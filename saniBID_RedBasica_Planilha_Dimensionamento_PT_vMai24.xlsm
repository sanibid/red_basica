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filterPrivacy="1" updateLinks="never" codeName="EstaPasta_de_trabalho"/>
  <xr:revisionPtr revIDLastSave="0" documentId="13_ncr:1_{C91B6A1E-B44B-4C27-8FAF-23B5A093A143}" xr6:coauthVersionLast="47" xr6:coauthVersionMax="47" xr10:uidLastSave="{00000000-0000-0000-0000-000000000000}"/>
  <bookViews>
    <workbookView xWindow="-108" yWindow="-108" windowWidth="23256" windowHeight="13176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state="hidden" r:id="rId15"/>
    <sheet name="A14" sheetId="45" r:id="rId16"/>
    <sheet name="A15" sheetId="44" r:id="rId17"/>
  </sheets>
  <functionGroups builtInGroupCount="19"/>
  <definedNames>
    <definedName name="_xlnm._FilterDatabase" localSheetId="10" hidden="1">'A4'!$A$14:$D$325</definedName>
    <definedName name="_xlnm._FilterDatabase" localSheetId="11" hidden="1">'A5'!$A$1:$A$571</definedName>
    <definedName name="_xlnm._FilterDatabase" localSheetId="12" hidden="1">'A7'!$B$1:$G$15</definedName>
    <definedName name="_xlnm._FilterDatabase" localSheetId="1" hidden="1">ImportQGIS!$A$1:$JX$1</definedName>
    <definedName name="_xlnm._FilterDatabase" localSheetId="3" hidden="1">RedBasica!$Z$12:$Z$174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ImportQGIS!$AF$1:$BI$312</definedName>
    <definedName name="sample_1" localSheetId="1">ImportQGIS!$AF$1:$BH$158</definedName>
    <definedName name="sample_10" localSheetId="1">ImportQGIS!$A$1:$AF$312</definedName>
    <definedName name="sample_11" localSheetId="1">ImportQGIS!$AF$1:$BH$161</definedName>
    <definedName name="sample_12" localSheetId="1">ImportQGIS!$AF$1:$BH$158</definedName>
    <definedName name="sample_13" localSheetId="1">ImportQGIS!$A$1:$AF$312</definedName>
    <definedName name="sample_14" localSheetId="1">ImportQGIS!$AF$1:$BH$161</definedName>
    <definedName name="sample_15" localSheetId="1">ImportQGIS!$A$1:$AF$312</definedName>
    <definedName name="sample_16" localSheetId="1">ImportQGIS!$AF$1:$BI$312</definedName>
    <definedName name="sample_17" localSheetId="1">ImportQGIS!$AF$1:$BI$312</definedName>
    <definedName name="sample_18" localSheetId="1">ImportQGIS!$A$1:$AF$312</definedName>
    <definedName name="sample_19" localSheetId="1">ImportQGIS!$A$1:$AF$312</definedName>
    <definedName name="sample_2" localSheetId="1">ImportQGIS!$AF$1:$BH$161</definedName>
    <definedName name="sample_20" localSheetId="1">ImportQGIS!$AF$1:$BH$161</definedName>
    <definedName name="sample_21" localSheetId="1">ImportQGIS!$AF$1:$BH$158</definedName>
    <definedName name="sample_22" localSheetId="1">ImportQGIS!$A$1:$AF$312</definedName>
    <definedName name="sample_23" localSheetId="1">ImportQGIS!$AF$1:$BH$161</definedName>
    <definedName name="sample_24" localSheetId="1">ImportQGIS!$A$1:$AF$312</definedName>
    <definedName name="sample_25" localSheetId="1">ImportQGIS!$AF$1:$BI$312</definedName>
    <definedName name="sample_26" localSheetId="1">ImportQGIS!$AF$1:$BI$312</definedName>
    <definedName name="sample_27" localSheetId="1">ImportQGIS!$A$1:$AF$128</definedName>
    <definedName name="sample_28" localSheetId="1">ImportQGIS!$A$1:$AF$312</definedName>
    <definedName name="sample_29" localSheetId="1">ImportQGIS!$A$1:$AF$312</definedName>
    <definedName name="sample_3" localSheetId="1">ImportQGIS!$AF$1:$BH$161</definedName>
    <definedName name="sample_30" localSheetId="1">ImportQGIS!$A$1:$AF$128</definedName>
    <definedName name="sample_31" localSheetId="1">ImportQGIS!$AF$1:$BI$312</definedName>
    <definedName name="sample_32" localSheetId="1">ImportQGIS!$A$1:$AF$312</definedName>
    <definedName name="sample_33" localSheetId="1">ImportQGIS!$AF$1:$BH$161</definedName>
    <definedName name="sample_34" localSheetId="1">ImportQGIS!$AF$1:$BI$312</definedName>
    <definedName name="sample_35" localSheetId="1">ImportQGIS!$A$1:$AF$312</definedName>
    <definedName name="sample_36" localSheetId="1">ImportQGIS!$A$1:$AF$315</definedName>
    <definedName name="sample_37" localSheetId="1">ImportQGIS!$A$1:$AF$312</definedName>
    <definedName name="sample_38" localSheetId="1">ImportQGIS!$A$1:$AF$312</definedName>
    <definedName name="sample_39" localSheetId="1">ImportQGIS!$AF$1:$BH$158</definedName>
    <definedName name="sample_4" localSheetId="1">ImportQGIS!$AF$1:$BI$312</definedName>
    <definedName name="sample_40" localSheetId="1">ImportQGIS!$A$1:$AF$312</definedName>
    <definedName name="sample_41" localSheetId="1">ImportQGIS!$A$1:$AF$312</definedName>
    <definedName name="sample_42" localSheetId="1">ImportQGIS!$A$1:$AF$312</definedName>
    <definedName name="sample_43" localSheetId="1">ImportQGIS!$AF$1:$BH$161</definedName>
    <definedName name="sample_44" localSheetId="1">ImportQGIS!$A$1:$AF$312</definedName>
    <definedName name="sample_45" localSheetId="1">ImportQGIS!$AF$1:$BH$161</definedName>
    <definedName name="sample_46" localSheetId="1">ImportQGIS!$AF$1:$BH$161</definedName>
    <definedName name="sample_47" localSheetId="1">ImportQGIS!$A$1:$AF$67</definedName>
    <definedName name="sample_48" localSheetId="1">ImportQGIS!$A$1:$AF$312</definedName>
    <definedName name="sample_49" localSheetId="1">ImportQGIS!$AF$1:$BI$312</definedName>
    <definedName name="sample_5" localSheetId="1">ImportQGIS!$A$1:$AF$312</definedName>
    <definedName name="sample_50" localSheetId="1">ImportQGIS!$A$1:$AF$312</definedName>
    <definedName name="sample_51" localSheetId="1">ImportQGIS!$AF$1:$BI$312</definedName>
    <definedName name="sample_52" localSheetId="1">ImportQGIS!$AF$1:$BH$161</definedName>
    <definedName name="sample_53" localSheetId="1">ImportQGIS!$AF$1:$BH$158</definedName>
    <definedName name="sample_54" localSheetId="1">ImportQGIS!$AF$1:$BH$158</definedName>
    <definedName name="sample_55" localSheetId="1">ImportQGIS!$A$1:$AF$312</definedName>
    <definedName name="sample_56" localSheetId="1">ImportQGIS!$AF$1:$BI$312</definedName>
    <definedName name="sample_57" localSheetId="1">ImportQGIS!$A$1:$AF$312</definedName>
    <definedName name="sample_58" localSheetId="1">ImportQGIS!$AF$1:$BH$161</definedName>
    <definedName name="sample_59" localSheetId="1">ImportQGIS!$AF$1:$BI$312</definedName>
    <definedName name="sample_6" localSheetId="1">ImportQGIS!$A$1:$AF$312</definedName>
    <definedName name="sample_60" localSheetId="1">ImportQGIS!$A$1:$AF$312</definedName>
    <definedName name="sample_61" localSheetId="1">ImportQGIS!$AF$1:$BI$312</definedName>
    <definedName name="sample_62" localSheetId="1">ImportQGIS!$AF$1:$BH$161</definedName>
    <definedName name="sample_63" localSheetId="1">ImportQGIS!$A$1:$AF$312</definedName>
    <definedName name="sample_64" localSheetId="1">ImportQGIS!$AF$1:$BH$158</definedName>
    <definedName name="sample_65" localSheetId="1">ImportQGIS!$AF$1:$BI$312</definedName>
    <definedName name="sample_66" localSheetId="1">ImportQGIS!$AF$1:$BH$161</definedName>
    <definedName name="sample_67" localSheetId="1">ImportQGIS!$A$1:$AF$312</definedName>
    <definedName name="sample_68" localSheetId="1">ImportQGIS!$A$1:$AF$312</definedName>
    <definedName name="sample_69" localSheetId="1">ImportQGIS!$AF$1:$BH$161</definedName>
    <definedName name="sample_7" localSheetId="1">ImportQGIS!$A$1:$AF$312</definedName>
    <definedName name="sample_70" localSheetId="1">ImportQGIS!$A$1:$AF$312</definedName>
    <definedName name="sample_71" localSheetId="1">ImportQGIS!$AF$1:$BH$161</definedName>
    <definedName name="sample_72" localSheetId="1">ImportQGIS!$A$1:$AF$67</definedName>
    <definedName name="sample_73" localSheetId="1">ImportQGIS!$AF$1:$BI$312</definedName>
    <definedName name="sample_74" localSheetId="1">ImportQGIS!$A$1:$AF$312</definedName>
    <definedName name="sample_75" localSheetId="1">ImportQGIS!$AF$1:$BI$312</definedName>
    <definedName name="sample_76" localSheetId="1">ImportQGIS!$A$1:$AF$312</definedName>
    <definedName name="sample_77" localSheetId="1">ImportQGIS!$A$1:$AF$312</definedName>
    <definedName name="sample_78" localSheetId="1">ImportQGIS!$AF$1:$BI$312</definedName>
    <definedName name="sample_79" localSheetId="1">ImportQGIS!$AF$1:$BH$161</definedName>
    <definedName name="sample_8" localSheetId="1">ImportQGIS!$A$1:$AF$312</definedName>
    <definedName name="sample_80" localSheetId="1">ImportQGIS!$A$1:$AF$312</definedName>
    <definedName name="sample_81" localSheetId="1">ImportQGIS!$AF$1:$BI$312</definedName>
    <definedName name="sample_82" localSheetId="1">ImportQGIS!$AF$1:$BH$161</definedName>
    <definedName name="sample_83" localSheetId="1">ImportQGIS!$A$1:$AF$312</definedName>
    <definedName name="sample_84" localSheetId="1">ImportQGIS!$A$1:$AF$128</definedName>
    <definedName name="sample_85" localSheetId="1">ImportQGIS!$AF$1:$BH$158</definedName>
    <definedName name="sample_86" localSheetId="1">ImportQGIS!$A$1:$AF$312</definedName>
    <definedName name="sample_87" localSheetId="1">ImportQGIS!$A$1:$AF$312</definedName>
    <definedName name="sample_88" localSheetId="1">ImportQGIS!$AF$1:$BH$158</definedName>
    <definedName name="sample_89" localSheetId="1">ImportQGIS!$A$1:$AF$312</definedName>
    <definedName name="sample_9" localSheetId="1">ImportQGIS!$A$1:$AF$312</definedName>
    <definedName name="sample_90" localSheetId="1">ImportQGIS!$A$1:$AE$312</definedName>
    <definedName name="sample_91" localSheetId="1">ImportQGIS!$A$1:$AE$312</definedName>
    <definedName name="sample_92" localSheetId="1">ImportQGIS!$A$1:$AE$567</definedName>
    <definedName name="sample_93" localSheetId="1">ImportQGIS!$A$1:$AE$567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21" l="1"/>
  <c r="F34" i="21"/>
  <c r="G28" i="21"/>
  <c r="F28" i="21"/>
  <c r="G23" i="21"/>
  <c r="G25" i="21" s="1"/>
  <c r="F23" i="21"/>
  <c r="F25" i="21" s="1"/>
  <c r="G9" i="1"/>
  <c r="G8" i="1"/>
  <c r="G7" i="1"/>
  <c r="G6" i="1"/>
  <c r="G5" i="1"/>
  <c r="G19" i="31"/>
  <c r="F19" i="31"/>
  <c r="G15" i="31"/>
  <c r="F15" i="31"/>
  <c r="G14" i="31"/>
  <c r="F14" i="31"/>
  <c r="G8" i="31"/>
  <c r="G10" i="31" s="1"/>
  <c r="F8" i="31"/>
  <c r="F10" i="31" s="1"/>
  <c r="AC40" i="24" l="1"/>
  <c r="U40" i="24"/>
  <c r="T40" i="24"/>
  <c r="L40" i="24"/>
  <c r="K40" i="24"/>
  <c r="J40" i="24"/>
  <c r="E40" i="24"/>
  <c r="V40" i="24" s="1"/>
  <c r="D40" i="24"/>
  <c r="C40" i="24"/>
  <c r="B40" i="24"/>
  <c r="A40" i="24"/>
  <c r="B89" i="21"/>
  <c r="B90" i="21"/>
  <c r="B91" i="21"/>
  <c r="B92" i="21"/>
  <c r="B93" i="21"/>
  <c r="B88" i="21"/>
  <c r="B70" i="24"/>
  <c r="A70" i="24"/>
  <c r="N11" i="1" l="1"/>
  <c r="M11" i="1"/>
  <c r="L11" i="1"/>
  <c r="K11" i="1"/>
  <c r="F11" i="1"/>
  <c r="G13" i="31" l="1"/>
  <c r="F13" i="31"/>
  <c r="A11" i="1"/>
  <c r="AL15" i="24"/>
  <c r="A90" i="24" l="1"/>
  <c r="G90" i="24" l="1"/>
  <c r="AJ50" i="24"/>
  <c r="AH50" i="24"/>
  <c r="AC50" i="24"/>
  <c r="D50" i="24"/>
  <c r="C50" i="24"/>
  <c r="B50" i="24"/>
  <c r="A50" i="24"/>
  <c r="C60" i="24"/>
  <c r="B60" i="24"/>
  <c r="A60" i="24"/>
  <c r="AI15" i="24"/>
  <c r="AH15" i="24"/>
  <c r="AG15" i="24"/>
  <c r="X15" i="24"/>
  <c r="AC15" i="24" s="1"/>
  <c r="Y15" i="24" s="1"/>
  <c r="U15" i="24"/>
  <c r="O15" i="24"/>
  <c r="A15" i="24"/>
  <c r="U8" i="17"/>
  <c r="BC15" i="24" l="1"/>
  <c r="V15" i="24"/>
  <c r="AE15" i="24" s="1"/>
  <c r="AD15" i="24"/>
  <c r="O19" i="31"/>
  <c r="N19" i="31"/>
  <c r="O15" i="31"/>
  <c r="N15" i="31"/>
  <c r="O14" i="31"/>
  <c r="N14" i="31"/>
  <c r="O8" i="31"/>
  <c r="O10" i="31" s="1"/>
  <c r="N8" i="31"/>
  <c r="N26" i="21"/>
  <c r="G29" i="21" s="1"/>
  <c r="M26" i="21"/>
  <c r="G30" i="21" s="1"/>
  <c r="W15" i="24" l="1"/>
  <c r="AF15" i="24" s="1"/>
  <c r="AJ15" i="24" s="1"/>
  <c r="N28" i="21"/>
  <c r="N10" i="31"/>
  <c r="M37" i="21"/>
  <c r="L28" i="21" l="1"/>
  <c r="K28" i="21" s="1"/>
  <c r="O13" i="31"/>
  <c r="N13" i="31"/>
  <c r="N90" i="24" l="1"/>
  <c r="G18" i="14" l="1"/>
  <c r="O2" i="45" l="1"/>
  <c r="T8" i="17" l="1"/>
  <c r="V8" i="17"/>
  <c r="B72" i="21" l="1"/>
  <c r="B73" i="21"/>
  <c r="B74" i="21"/>
  <c r="B75" i="21"/>
  <c r="B76" i="21"/>
  <c r="B77" i="21"/>
  <c r="B78" i="21"/>
  <c r="B79" i="21"/>
  <c r="B80" i="21"/>
  <c r="B81" i="21"/>
  <c r="B82" i="21"/>
  <c r="B83" i="21"/>
  <c r="B84" i="21"/>
  <c r="B71" i="21"/>
  <c r="C18" i="14"/>
  <c r="D71" i="21" s="1"/>
  <c r="D18" i="14"/>
  <c r="E18" i="14"/>
  <c r="F18" i="14"/>
  <c r="D74" i="21"/>
  <c r="D78" i="21"/>
  <c r="D82" i="21"/>
  <c r="H90" i="24" l="1"/>
  <c r="AM15" i="24"/>
  <c r="P15" i="24"/>
  <c r="D81" i="21"/>
  <c r="D77" i="21"/>
  <c r="D73" i="21"/>
  <c r="D84" i="21"/>
  <c r="D80" i="21"/>
  <c r="D76" i="21"/>
  <c r="D72" i="21"/>
  <c r="D83" i="21"/>
  <c r="D79" i="21"/>
  <c r="D75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E50" i="24" l="1"/>
  <c r="K50" i="24" l="1"/>
  <c r="AO15" i="24"/>
  <c r="AN15" i="24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AT15" i="24" a="1"/>
  <c r="AP15" i="24" a="1"/>
  <c r="AR15" i="24" a="1"/>
  <c r="AS15" i="24" a="1"/>
  <c r="AQ15" i="24" a="1"/>
  <c r="Q50" i="24" l="1"/>
  <c r="I50" i="24"/>
  <c r="AS15" i="24"/>
  <c r="AQ15" i="24"/>
  <c r="AP15" i="24"/>
  <c r="AT15" i="24"/>
  <c r="AR15" i="24"/>
  <c r="R90" i="24"/>
  <c r="P90" i="24"/>
  <c r="M90" i="24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C70" i="24" l="1"/>
  <c r="D70" i="24" s="1"/>
  <c r="O50" i="24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H4" i="45"/>
  <c r="I4" i="45"/>
  <c r="I6" i="45"/>
  <c r="J4" i="45"/>
  <c r="K4" i="45"/>
  <c r="K6" i="45"/>
  <c r="L4" i="45"/>
  <c r="L8" i="45"/>
  <c r="M4" i="45"/>
  <c r="M6" i="45"/>
  <c r="M8" i="45"/>
  <c r="N4" i="45"/>
  <c r="N8" i="45"/>
  <c r="O4" i="45"/>
  <c r="O6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J50" i="24" l="1"/>
  <c r="U50" i="24"/>
  <c r="I8" i="45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P50" i="24" l="1"/>
  <c r="N10" i="45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B10" i="45"/>
  <c r="H10" i="45"/>
  <c r="C11" i="24"/>
  <c r="C10" i="24"/>
  <c r="C9" i="24"/>
  <c r="C8" i="24"/>
  <c r="C7" i="24"/>
  <c r="K6" i="24"/>
  <c r="K5" i="24"/>
  <c r="K4" i="24"/>
  <c r="K3" i="24"/>
  <c r="K2" i="24"/>
  <c r="A80" i="24" l="1"/>
  <c r="P40" i="24" l="1"/>
  <c r="G40" i="24"/>
  <c r="Q40" i="24"/>
  <c r="Z40" i="24"/>
  <c r="H40" i="24"/>
  <c r="AA40" i="24"/>
  <c r="F40" i="24"/>
  <c r="AB40" i="24"/>
  <c r="R40" i="24"/>
  <c r="Y50" i="24"/>
  <c r="X50" i="24"/>
  <c r="G50" i="24"/>
  <c r="F50" i="24"/>
  <c r="L50" i="24"/>
  <c r="M50" i="24"/>
  <c r="R50" i="24"/>
  <c r="S50" i="24"/>
  <c r="F80" i="24"/>
  <c r="D80" i="24"/>
  <c r="C80" i="24"/>
  <c r="B80" i="24"/>
  <c r="AD40" i="24" l="1"/>
  <c r="I40" i="24"/>
  <c r="M40" i="24" s="1"/>
  <c r="S40" i="24"/>
  <c r="W40" i="24" s="1"/>
  <c r="H50" i="24"/>
  <c r="T50" i="24"/>
  <c r="V50" i="24" s="1"/>
  <c r="N50" i="24"/>
  <c r="N23" i="21"/>
  <c r="F29" i="21" s="1"/>
  <c r="X40" i="24" l="1"/>
  <c r="Y40" i="24"/>
  <c r="N40" i="24"/>
  <c r="O40" i="24"/>
  <c r="K30" i="24"/>
  <c r="K90" i="24" l="1"/>
  <c r="C90" i="24"/>
  <c r="M36" i="21"/>
  <c r="E90" i="24" l="1"/>
  <c r="K37" i="21"/>
  <c r="B90" i="24" l="1"/>
  <c r="K36" i="21"/>
  <c r="Q15" i="24" l="1"/>
  <c r="D90" i="24"/>
  <c r="L37" i="21"/>
  <c r="L36" i="21"/>
  <c r="AV15" i="24" l="1"/>
  <c r="AU15" i="24"/>
  <c r="M23" i="21"/>
  <c r="F30" i="21" s="1"/>
  <c r="AW15" i="24" a="1"/>
  <c r="AY15" i="24" a="1"/>
  <c r="AX15" i="24" a="1"/>
  <c r="AZ15" i="24" a="1"/>
  <c r="AK15" i="24" a="1"/>
  <c r="BA15" i="24" a="1"/>
  <c r="AY15" i="24" l="1"/>
  <c r="AW15" i="24"/>
  <c r="AX15" i="24"/>
  <c r="AZ15" i="24"/>
  <c r="BA15" i="24"/>
  <c r="AK15" i="24"/>
  <c r="F90" i="24"/>
  <c r="N25" i="21"/>
  <c r="AI50" i="24" l="1"/>
  <c r="AK50" i="24" s="1"/>
  <c r="W50" i="24"/>
  <c r="Z50" i="24" s="1"/>
  <c r="L25" i="21"/>
  <c r="K25" i="21" s="1"/>
  <c r="AA50" i="24" l="1"/>
  <c r="AB50" i="24" s="1"/>
  <c r="AD50" i="24" s="1"/>
  <c r="AB90" i="24"/>
  <c r="AA90" i="24"/>
  <c r="T90" i="24"/>
  <c r="X90" i="24"/>
  <c r="V90" i="24"/>
  <c r="L90" i="24"/>
  <c r="O90" i="24"/>
  <c r="Q90" i="24"/>
  <c r="W90" i="24" l="1"/>
  <c r="Y90" i="24"/>
  <c r="S90" i="24"/>
  <c r="U90" i="24"/>
  <c r="Z90" i="24"/>
  <c r="I90" i="24" l="1"/>
  <c r="J90" i="24"/>
  <c r="G80" i="24" l="1"/>
  <c r="Y30" i="24" l="1"/>
  <c r="Z30" i="24" l="1"/>
  <c r="L30" i="24" l="1"/>
  <c r="AF30" i="24"/>
  <c r="AA30" i="24"/>
  <c r="S30" i="24" l="1"/>
  <c r="AI30" i="24" l="1"/>
  <c r="O30" i="24"/>
  <c r="U30" i="24"/>
  <c r="Q30" i="24" l="1"/>
  <c r="T30" i="24"/>
  <c r="V30" i="24" l="1"/>
  <c r="P30" i="24"/>
  <c r="R30" i="24" l="1"/>
  <c r="AJ30" i="24"/>
  <c r="AE30" i="24" l="1"/>
  <c r="X30" i="24"/>
  <c r="AD30" i="24" l="1"/>
  <c r="AG30" i="24"/>
  <c r="AB30" i="24"/>
  <c r="AC30" i="24"/>
  <c r="AH30" i="24"/>
  <c r="D60" i="24" l="1"/>
  <c r="AF50" i="24" s="1" a="1"/>
  <c r="AF50" i="24" s="1"/>
  <c r="AG50" i="24" s="1"/>
  <c r="F60" i="24" l="1"/>
  <c r="E60" i="24" l="1"/>
  <c r="BE15" i="24" s="1"/>
  <c r="G60" i="24" l="1"/>
  <c r="H60" i="24" l="1"/>
  <c r="I60" i="24"/>
  <c r="V13" i="17" l="1"/>
  <c r="AB13" i="17" l="1"/>
  <c r="AE13" i="17" s="1"/>
  <c r="R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9" authorId="0" shapeId="0" xr:uid="{A507ACFA-762D-4F10-A9D4-58E06760A505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9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4" authorId="0" shapeId="0" xr:uid="{33E439CF-8A5C-48E9-A3B9-E2DEDA9D7FAF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0" shapeId="0" xr:uid="{9A6B51DA-DC4C-4C94-A8A9-AE2F673B72CA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13" authorId="0" shapeId="0" xr:uid="{C878A48A-155C-4047-A5DA-7014C0DCA354}">
      <text>
        <r>
          <rPr>
            <b/>
            <sz val="9"/>
            <color indexed="81"/>
            <rFont val="Segoe UI"/>
            <family val="2"/>
          </rPr>
          <t xml:space="preserve">Autor:
Na verdade a formula alterada foi a referência que se buscava na planilha A1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951604C8-5417-4E3A-A599-80A8D3388BA9}" name="ExportQGIS" type="6" refreshedVersion="8" background="1" saveData="1">
    <textPr prompt="0" codePage="850" sourceFile="D:\Servicos\saniBID RedBasica\_saniBID RedBasica 2022\__Planilhas saniBID RedBasica\Estudos Planilha 2022\saniBID RedBasica - Cap Haitien Testes\Export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28000000}" name="Falso" type="6" refreshedVersion="0" background="1">
    <textPr prompt="0" sourceFile="Falso">
      <textFields>
        <textField/>
      </textFields>
    </textPr>
  </connection>
  <connection id="123" xr16:uid="{00000000-0015-0000-FFFF-FFFF29000000}" name="Falso1" type="6" refreshedVersion="0" background="1">
    <textPr prompt="0" sourceFile="Falso">
      <textFields>
        <textField/>
      </textFields>
    </textPr>
  </connection>
  <connection id="124" xr16:uid="{00000000-0015-0000-FFFF-FFFF2A000000}" name="Falso10" type="6" refreshedVersion="0" background="1">
    <textPr prompt="0" sourceFile="Falso">
      <textFields>
        <textField/>
      </textFields>
    </textPr>
  </connection>
  <connection id="125" xr16:uid="{00000000-0015-0000-FFFF-FFFF2B000000}" name="Falso11" type="6" refreshedVersion="0" background="1">
    <textPr prompt="0" sourceFile="Falso">
      <textFields>
        <textField/>
      </textFields>
    </textPr>
  </connection>
  <connection id="126" xr16:uid="{00000000-0015-0000-FFFF-FFFF2C000000}" name="Falso12" type="6" refreshedVersion="0" background="1">
    <textPr prompt="0" sourceFile="Falso">
      <textFields>
        <textField/>
      </textFields>
    </textPr>
  </connection>
  <connection id="127" xr16:uid="{00000000-0015-0000-FFFF-FFFF2D000000}" name="Falso13" type="6" refreshedVersion="0" background="1">
    <textPr prompt="0" sourceFile="Falso">
      <textFields>
        <textField/>
      </textFields>
    </textPr>
  </connection>
  <connection id="128" xr16:uid="{00000000-0015-0000-FFFF-FFFF2E000000}" name="Falso14" type="6" refreshedVersion="0" background="1">
    <textPr prompt="0" sourceFile="Falso">
      <textFields>
        <textField/>
      </textFields>
    </textPr>
  </connection>
  <connection id="129" xr16:uid="{00000000-0015-0000-FFFF-FFFF2F000000}" name="Falso15" type="6" refreshedVersion="0" background="1">
    <textPr prompt="0" sourceFile="Falso">
      <textFields>
        <textField/>
      </textFields>
    </textPr>
  </connection>
  <connection id="130" xr16:uid="{00000000-0015-0000-FFFF-FFFF30000000}" name="Falso2" type="6" refreshedVersion="0" background="1">
    <textPr prompt="0" sourceFile="Falso">
      <textFields>
        <textField/>
      </textFields>
    </textPr>
  </connection>
  <connection id="131" xr16:uid="{00000000-0015-0000-FFFF-FFFF31000000}" name="Falso3" type="6" refreshedVersion="0" background="1">
    <textPr prompt="0" sourceFile="Falso">
      <textFields>
        <textField/>
      </textFields>
    </textPr>
  </connection>
  <connection id="132" xr16:uid="{00000000-0015-0000-FFFF-FFFF32000000}" name="Falso4" type="6" refreshedVersion="0" background="1">
    <textPr prompt="0" sourceFile="Falso">
      <textFields>
        <textField/>
      </textFields>
    </textPr>
  </connection>
  <connection id="133" xr16:uid="{00000000-0015-0000-FFFF-FFFF33000000}" name="Falso5" type="6" refreshedVersion="0" background="1">
    <textPr prompt="0" sourceFile="Falso">
      <textFields>
        <textField/>
      </textFields>
    </textPr>
  </connection>
  <connection id="134" xr16:uid="{00000000-0015-0000-FFFF-FFFF34000000}" name="Falso6" type="6" refreshedVersion="0" background="1">
    <textPr prompt="0" sourceFile="Falso">
      <textFields>
        <textField/>
      </textFields>
    </textPr>
  </connection>
  <connection id="135" xr16:uid="{00000000-0015-0000-FFFF-FFFF35000000}" name="Falso7" type="6" refreshedVersion="0" background="1">
    <textPr prompt="0" sourceFile="Falso">
      <textFields>
        <textField/>
      </textFields>
    </textPr>
  </connection>
  <connection id="136" xr16:uid="{00000000-0015-0000-FFFF-FFFF36000000}" name="Falso8" type="6" refreshedVersion="0" background="1">
    <textPr prompt="0" sourceFile="Falso">
      <textFields>
        <textField/>
      </textFields>
    </textPr>
  </connection>
  <connection id="137" xr16:uid="{00000000-0015-0000-FFFF-FFFF37000000}" name="Falso9" type="6" refreshedVersion="0" background="1">
    <textPr prompt="0" sourceFile="Falso">
      <textFields>
        <textField/>
      </textFields>
    </textPr>
  </connection>
  <connection id="138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9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3FD64010-E68F-41B8-B586-FDB16865C28D}" name="QGIS_EXPORT_SIMULADO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E5C0EF52-EE7E-4B57-B9EF-2AB63AA7B7E9}" name="QGIS_EXPORT_SIMULADO1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373C1D18-F8AD-4E48-ABA7-1FB6B0A0D906}" name="QGIS_Export2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43853DBE-2DFD-4E78-99FE-3F5292C2BDFF}" name="QGIS_Export3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0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1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2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3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4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<sst xmlns="http://schemas.openxmlformats.org/spreadsheetml/2006/main" count="803" uniqueCount="438">
  <si>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</si>
  <si>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</si>
  <si>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</si>
  <si>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</si>
  <si>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</si>
  <si>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</si>
  <si>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</si>
  <si>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</si>
  <si>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</si>
  <si>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</si>
  <si>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</si>
  <si>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</si>
  <si>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</si>
  <si>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</si>
  <si>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</si>
  <si>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</si>
  <si>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</si>
  <si>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</si>
  <si>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</si>
  <si>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</si>
  <si>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</si>
  <si>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</si>
  <si>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</si>
  <si>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</si>
  <si>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</si>
  <si>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</si>
  <si>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</si>
  <si>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</si>
  <si>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</si>
  <si>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</si>
  <si>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</si>
  <si>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</si>
  <si>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Nº Coletor e Trecho</t>
  </si>
  <si>
    <t>COTA DO TERRENO</t>
  </si>
  <si>
    <t>COTA DO COLETOR</t>
  </si>
  <si>
    <t>Rua = 0
Passeio = 1</t>
  </si>
  <si>
    <t>No ponto de MONTANTE do trecho (m)</t>
  </si>
  <si>
    <t>No ponto de JUSANTE do trecho (m)</t>
  </si>
  <si>
    <t>Terreno (m/m)</t>
  </si>
  <si>
    <t>Vel. crítica 
Vc</t>
  </si>
  <si>
    <t>Coletor m1
(l/s)</t>
  </si>
  <si>
    <t>Coletor m2
(l/s)</t>
  </si>
  <si>
    <t>Ramais Condominiais e Outros 
(l/s)</t>
  </si>
  <si>
    <t>Contribuição linear no trecho 
(l/s)</t>
  </si>
  <si>
    <t>CONTRIBUIÇÕES - INICIO DE PLANO</t>
  </si>
  <si>
    <t>CONTRIBUIÇÕES - FINAL DE PLANO</t>
  </si>
  <si>
    <t>Trecho anterior - Coletor atual
 (l/s)</t>
  </si>
  <si>
    <t>SUBTOTAL Trechos de Montante
(l/s)</t>
  </si>
  <si>
    <t>PROFUNDIDADES</t>
  </si>
  <si>
    <t>TRECHO a JUSANTE
Id</t>
  </si>
  <si>
    <t>Desnível total
(m)</t>
  </si>
  <si>
    <t>TRECHO ATUAL
Id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</si>
  <si>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</si>
  <si>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</si>
  <si>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</si>
  <si>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</si>
  <si>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</si>
  <si>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</si>
  <si>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</si>
  <si>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</si>
  <si>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</si>
  <si>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</si>
  <si>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</si>
  <si>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</si>
  <si>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</si>
  <si>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</si>
  <si>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</si>
  <si>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</si>
  <si>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</si>
  <si>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</si>
  <si>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Dispositivo de queda (tipo)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</si>
  <si>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</si>
  <si>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</si>
  <si>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</si>
  <si>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</si>
  <si>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</si>
  <si>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</si>
  <si>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</si>
  <si>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</si>
  <si>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</si>
  <si>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</si>
  <si>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</si>
  <si>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</si>
  <si>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</si>
  <si>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</si>
  <si>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</si>
  <si>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</si>
  <si>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</si>
  <si>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</si>
  <si>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</si>
  <si>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</si>
  <si>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</si>
  <si>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</si>
  <si>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</si>
  <si>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RedBasica</t>
  </si>
  <si>
    <t>6 -</t>
  </si>
  <si>
    <t xml:space="preserve">7 - </t>
  </si>
  <si>
    <t xml:space="preserve">8 - </t>
  </si>
  <si>
    <t>RedBasica - Memoria de cálculo</t>
  </si>
  <si>
    <t>GS</t>
  </si>
  <si>
    <t>NA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</si>
  <si>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</si>
  <si>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</si>
  <si>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</si>
  <si>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</si>
  <si>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</si>
  <si>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</si>
  <si>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</si>
  <si>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</si>
  <si>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</si>
  <si>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</si>
  <si>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</si>
  <si>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</si>
  <si>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Inspeções</t>
  </si>
  <si>
    <t>Tapadas</t>
  </si>
  <si>
    <t>un</t>
  </si>
  <si>
    <t>hab/dom</t>
  </si>
  <si>
    <t>Memória</t>
  </si>
  <si>
    <t>Por padrão</t>
  </si>
  <si>
    <t>h_tap_p2</t>
  </si>
  <si>
    <t>h_tap_p1</t>
  </si>
  <si>
    <t>PVC</t>
  </si>
  <si>
    <t>Tap_nodo</t>
  </si>
  <si>
    <t>Manning 
(n)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</si>
  <si>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</si>
  <si>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</si>
  <si>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</si>
  <si>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</si>
  <si>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</si>
  <si>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</si>
  <si>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</si>
  <si>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</si>
  <si>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</si>
  <si>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</si>
  <si>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</si>
  <si>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</si>
  <si>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</si>
  <si>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</si>
  <si>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</si>
  <si>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</si>
  <si>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</si>
  <si>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</si>
  <si>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</si>
  <si>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</si>
  <si>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</si>
  <si>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</si>
  <si>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</si>
  <si>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</si>
  <si>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</si>
  <si>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</si>
  <si>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</si>
  <si>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</si>
  <si>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</si>
  <si>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</si>
  <si>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</si>
  <si>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</si>
  <si>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</si>
  <si>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</si>
  <si>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</si>
  <si>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</si>
  <si>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</si>
  <si>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</si>
  <si>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</si>
  <si>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</si>
  <si>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INÍCIO</t>
  </si>
  <si>
    <t>Sistema de Esgotamento Sanitário - Rede Coletora</t>
  </si>
  <si>
    <t>VAZÕES REFERENCIAIS</t>
  </si>
  <si>
    <t>Vazão de referência de projeto - Qe</t>
  </si>
  <si>
    <t>Vazão média 
(l/dia)</t>
  </si>
  <si>
    <t>Vazão máx
(l/s)</t>
  </si>
  <si>
    <t xml:space="preserve">(*) Qe = Vazão equivalente a contribuição de uma unidade unifamiliar de referência </t>
  </si>
  <si>
    <t>Taxa de contribuição linear média</t>
  </si>
  <si>
    <t>População
(hab)</t>
  </si>
  <si>
    <t>Extensão da rede
(m)</t>
  </si>
  <si>
    <t>Tx contr linear média 
(l/s.km)</t>
  </si>
  <si>
    <t xml:space="preserve">    Inicio de plano</t>
  </si>
  <si>
    <t xml:space="preserve">    Final de plano</t>
  </si>
  <si>
    <t>Dispositivos de Inspeção</t>
  </si>
  <si>
    <t>Cidade:</t>
  </si>
  <si>
    <t>Data:</t>
  </si>
  <si>
    <t>Nº
Coletor</t>
  </si>
  <si>
    <t>Nº Coletor e Trecho Atual</t>
  </si>
  <si>
    <t>Extensão
 (m)</t>
  </si>
  <si>
    <t>CONTRIBUIÇÕES - IDENTIFICAÇÃO</t>
  </si>
  <si>
    <t>Trecho anterior - Coletor atual
Id</t>
  </si>
  <si>
    <t>Coletor m1
Id</t>
  </si>
  <si>
    <t>Coletor m2
Id</t>
  </si>
  <si>
    <t>Quadra e Outros
Id</t>
  </si>
  <si>
    <t>Quantidade
FINAL
 (QE)</t>
  </si>
  <si>
    <t>Quantidade
INICIAL
 (QE)</t>
  </si>
  <si>
    <t>VAZÕES</t>
  </si>
  <si>
    <t>INFILTRAÇÃO no trecho
(l/s)</t>
  </si>
  <si>
    <t>Posição do Coletor                                 (aux_pos - Rua=0 e Passeio=1)</t>
  </si>
  <si>
    <t>Interferências                     (aux_Prof_i)</t>
  </si>
  <si>
    <t>FORÇAR PROFUNDIDADE - ponto MONTANTE do trecho
(m)</t>
  </si>
  <si>
    <t>Recobrimento - ponto MONTANTE do trecho
(m)</t>
  </si>
  <si>
    <t>RECOBRIMENTO</t>
  </si>
  <si>
    <t>Recobrimento - ponto JUSANTE do trecho
(m)</t>
  </si>
  <si>
    <t>Profundidade - ponto MONTANTE do trecho
(m)</t>
  </si>
  <si>
    <t>Profundidade - ponto JUSANTE do trecho
(m)</t>
  </si>
  <si>
    <t>DECLIVIDADES</t>
  </si>
  <si>
    <t>I min ADMITIDO Coletor (m/m)</t>
  </si>
  <si>
    <t>DIÂMETRO</t>
  </si>
  <si>
    <t>I
ADOTADO coletor (m/m)</t>
  </si>
  <si>
    <t>DN
ADOTADO
(mm)</t>
  </si>
  <si>
    <t xml:space="preserve"> VERIFICAÇÃO HIDRÁULICA E DAS CONDIÇÕES DE ESCOAMENTO</t>
  </si>
  <si>
    <t>FINAL DE PLANO</t>
  </si>
  <si>
    <t>INICIO DE PLANO</t>
  </si>
  <si>
    <t>Lâmina Líquida
y
 (m)</t>
  </si>
  <si>
    <t>Tensão trativa
(Pa)</t>
  </si>
  <si>
    <t>Lâmina Líquida
y/do 
(%)</t>
  </si>
  <si>
    <t>Velocidade crítica 
Vc
(m/s)</t>
  </si>
  <si>
    <t>Velocidade (m/s)</t>
  </si>
  <si>
    <t>ID - 
INSPEÇÃO MONTANTE</t>
  </si>
  <si>
    <t>ID - 
INSPEÇÃO JUSANTE</t>
  </si>
  <si>
    <t>TIPO -
INSPEÇÃO MONTANTE</t>
  </si>
  <si>
    <t>TIPO -
INSPEÇÃO JUSANTE</t>
  </si>
  <si>
    <t>ID - TRECHO  JUSANTE</t>
  </si>
  <si>
    <t>OBSERVAÇÕES</t>
  </si>
  <si>
    <t xml:space="preserve">Cidade:      </t>
  </si>
  <si>
    <t>PARÂMETROS BÁSICOS :</t>
  </si>
  <si>
    <t>Consumo per capita de agua</t>
  </si>
  <si>
    <t>Taxa de infiltração - Ti  (l/s.km)</t>
  </si>
  <si>
    <t>Lâmina máxima (y /DN)</t>
  </si>
  <si>
    <t>Vazão mínima - Qmin  (l/s)</t>
  </si>
  <si>
    <r>
      <t xml:space="preserve">Tensão trativa mín - </t>
    </r>
    <r>
      <rPr>
        <sz val="8"/>
        <rFont val="Arial"/>
        <family val="2"/>
      </rPr>
      <t>σ   (Pa)</t>
    </r>
  </si>
  <si>
    <t>Diâmetro mínimo - DN min  (mm)</t>
  </si>
  <si>
    <t>Vazões distribuídas</t>
  </si>
  <si>
    <t>Taxa de contribuición linear - final  (l/s.km)</t>
  </si>
  <si>
    <t>Taxa de contribuición linear - inicial  (l/s.km)</t>
  </si>
  <si>
    <t>Recobrimentos mínimas</t>
  </si>
  <si>
    <t>Rua  (m)</t>
  </si>
  <si>
    <t>Calçada  (m)</t>
  </si>
  <si>
    <t>Declividades mínimas admitidas</t>
  </si>
  <si>
    <t>I mín (m/m)</t>
  </si>
  <si>
    <t>Vazão média
(l/dia)</t>
  </si>
  <si>
    <t>Vazão
 máx
(l/s)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</si>
  <si>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</si>
  <si>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Extensão</t>
  </si>
  <si>
    <t>Contribuições - Identificação</t>
  </si>
  <si>
    <t>Tramos MONTANTE</t>
  </si>
  <si>
    <t>Coletor a atual</t>
  </si>
  <si>
    <t>Col. b</t>
  </si>
  <si>
    <t>Col. c</t>
  </si>
  <si>
    <t>Quadras e outros</t>
  </si>
  <si>
    <t xml:space="preserve">Ramais Condominiais e Outros </t>
  </si>
  <si>
    <t xml:space="preserve">Contribuição equivalente
em quantidade de Unidades de Contribuição de Referência
</t>
  </si>
  <si>
    <t>Vazões</t>
  </si>
  <si>
    <t>Vazão de infiltração no trecho</t>
  </si>
  <si>
    <t>Cotas - Terreno</t>
  </si>
  <si>
    <t>No ponto de MONTANTE do trecho</t>
  </si>
  <si>
    <t>No ponto de JUSANTE do trecho</t>
  </si>
  <si>
    <t>Cotas - Coletor</t>
  </si>
  <si>
    <t>Cota GS</t>
  </si>
  <si>
    <t>COTA GS</t>
  </si>
  <si>
    <t>Ponto de JUSANTE do trecho (COLETOR)</t>
  </si>
  <si>
    <t>Declividades</t>
  </si>
  <si>
    <t>COLETOR
I col</t>
  </si>
  <si>
    <t xml:space="preserve">Diâmetro do Coletor DN </t>
  </si>
  <si>
    <t xml:space="preserve"> Verificação hidráulica e das condições de escoamento</t>
  </si>
  <si>
    <t>Final de Plano</t>
  </si>
  <si>
    <t>Inicio de Plano</t>
  </si>
  <si>
    <t>Lâmina 
y/do</t>
  </si>
  <si>
    <t>Lâmina
y/do</t>
  </si>
  <si>
    <t>Tensão trativa
σ</t>
  </si>
  <si>
    <t>Tipo de Inspeção MONTANTE</t>
  </si>
  <si>
    <t>Tipo de Inspeção JUSANTE</t>
  </si>
  <si>
    <t>Observações</t>
  </si>
  <si>
    <t>TRECHOS DE MONTANTE</t>
  </si>
  <si>
    <t>RAMAIS CONDOMINIAIS E OUTROS</t>
  </si>
  <si>
    <t>aux ajuste prof</t>
  </si>
  <si>
    <t>FP</t>
  </si>
  <si>
    <t>Navegação</t>
  </si>
  <si>
    <t>FORÇAR PROFUNDIDADE  ponto JUSANTE do trecho
(m)</t>
  </si>
  <si>
    <t xml:space="preserve">RAMAIS CONDOMINIAIS E OUTROS </t>
  </si>
  <si>
    <t>CONTRIBUIÇÃO - EQUIVALENTE EM FAMÍLIAS</t>
  </si>
  <si>
    <t>PARAMETROS E CRITÉRIOS BÁSICOS:</t>
  </si>
  <si>
    <t>População e conexões</t>
  </si>
  <si>
    <t xml:space="preserve">Taxa de ocupação </t>
  </si>
  <si>
    <t>Contribuições puntuais - Qe</t>
  </si>
  <si>
    <r>
      <t>Qe</t>
    </r>
    <r>
      <rPr>
        <b/>
        <sz val="10"/>
        <rFont val="Tahoma"/>
        <family val="2"/>
      </rPr>
      <t xml:space="preserve"> -</t>
    </r>
    <r>
      <rPr>
        <sz val="10"/>
        <rFont val="Tahoma"/>
        <family val="2"/>
      </rPr>
      <t xml:space="preserve"> Vazão de referência de projeto</t>
    </r>
  </si>
  <si>
    <t>Qe - Vazão de referência de projeto</t>
  </si>
  <si>
    <t>Contribuições distribuidas</t>
  </si>
  <si>
    <t>Taxa de contribuição linear de esgoto - média (final)</t>
  </si>
  <si>
    <t>Parâmetros - Cálculo Hidráulico</t>
  </si>
  <si>
    <t>Consumo per capita de Água</t>
  </si>
  <si>
    <t>Taxa de infiltração</t>
  </si>
  <si>
    <t>Vazão mín. Qmin</t>
  </si>
  <si>
    <t>Lâmina máx. - DN a partir de 150 mm</t>
  </si>
  <si>
    <t>Diâmetros</t>
  </si>
  <si>
    <t>Lâmina máx. - DN menor de 150mm</t>
  </si>
  <si>
    <t>Tensão trativa média - mínimo</t>
  </si>
  <si>
    <t>Declividades mínimas</t>
  </si>
  <si>
    <t>até DN</t>
  </si>
  <si>
    <t>Recobrimento mín. (rua)</t>
  </si>
  <si>
    <t>Recobrimento mín. (calçada e áreas verdes)</t>
  </si>
  <si>
    <t>Dispositivos de Inspeção e Limpeza</t>
  </si>
  <si>
    <t>Degrau máximo sem tubo de queda</t>
  </si>
  <si>
    <t>AUTOR :</t>
  </si>
  <si>
    <t xml:space="preserve">CIDADE:      </t>
  </si>
  <si>
    <t>DATA :</t>
  </si>
  <si>
    <t>MICROSSISTEMA :</t>
  </si>
  <si>
    <t>Sistema de Esgoto - Rede Básica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</si>
  <si>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</si>
  <si>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</si>
  <si>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</si>
  <si>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</si>
  <si>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</si>
  <si>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</si>
  <si>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</si>
  <si>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</si>
  <si>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</si>
  <si>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</si>
  <si>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</si>
  <si>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</si>
  <si>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</si>
  <si>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</si>
  <si>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</si>
  <si>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</si>
  <si>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</si>
  <si>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</si>
  <si>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</si>
  <si>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</si>
  <si>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</si>
  <si>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</si>
  <si>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</si>
  <si>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</si>
  <si>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</si>
  <si>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Planilha RedBasica</t>
  </si>
  <si>
    <t>Parâmetros de projeto</t>
  </si>
  <si>
    <t>Limpar planilha</t>
  </si>
  <si>
    <t>Imprimir Memória de Calculo - RedBasica</t>
  </si>
  <si>
    <t>Importar dados do QGIS (csv)</t>
  </si>
  <si>
    <t>Carregar planilha RedBasica</t>
  </si>
  <si>
    <t xml:space="preserve">Exportar resultados para o QGIS - Trechos (.csv) </t>
  </si>
  <si>
    <t xml:space="preserve">Exportar resultados para o QGIS - Nodos (.csv) </t>
  </si>
  <si>
    <t>Ferro</t>
  </si>
  <si>
    <t>Outro</t>
  </si>
  <si>
    <t>PROJETO :</t>
  </si>
  <si>
    <t>Projeto:</t>
  </si>
  <si>
    <t>Microssistema:</t>
  </si>
  <si>
    <t>CN_1</t>
  </si>
  <si>
    <t>CN_1-001</t>
  </si>
  <si>
    <t>CN_1-002</t>
  </si>
  <si>
    <t>Final</t>
  </si>
  <si>
    <t>Inicial</t>
  </si>
  <si>
    <t>População</t>
  </si>
  <si>
    <t>Quantidades de Qe</t>
  </si>
  <si>
    <t>Contribuição linear de esgoto ? (Sim ou Não)</t>
  </si>
  <si>
    <t>Quantidade de ligações</t>
  </si>
  <si>
    <t>Quantidade de domicilios</t>
  </si>
  <si>
    <t>Domicilios por ligação</t>
  </si>
  <si>
    <t>dom/lig</t>
  </si>
  <si>
    <t>VAZÃO média
FINAL DE PLANO - Sem infiltra
(l/s)</t>
  </si>
  <si>
    <t>VAZÃO média
INICIO DE PLANO  - Sem infiltra
(l/s)</t>
  </si>
  <si>
    <r>
      <t xml:space="preserve">QUADRO DE CONTRIBUIÇÕES - </t>
    </r>
    <r>
      <rPr>
        <sz val="10"/>
        <color rgb="FFFF0000"/>
        <rFont val="Tahoma"/>
        <family val="2"/>
      </rPr>
      <t>SEM INFILTRAÇÃO</t>
    </r>
  </si>
  <si>
    <t>INFILTRAÇÃO acumulada no trecho
(l/s)</t>
  </si>
  <si>
    <t>INFILTRAÇÃO Trecho anterior - Coletor atual
(l/s)</t>
  </si>
  <si>
    <t>INFILTRAÇÃO Coletor m1
(l/s)</t>
  </si>
  <si>
    <t>INFILTRAÇÃO Coletor m2
(l/s)</t>
  </si>
  <si>
    <t>QUADRO DE INFILTRAÇÕES ACUMULADAS POR TRECHO</t>
  </si>
  <si>
    <r>
      <t>Vazão máxima Qf</t>
    </r>
    <r>
      <rPr>
        <b/>
        <sz val="8"/>
        <rFont val="Tahoma"/>
        <family val="2"/>
      </rPr>
      <t>max</t>
    </r>
    <r>
      <rPr>
        <b/>
        <sz val="9"/>
        <rFont val="Tahoma"/>
        <family val="2"/>
      </rPr>
      <t xml:space="preserve">
 (l/s)
</t>
    </r>
    <r>
      <rPr>
        <sz val="8"/>
        <rFont val="Tahoma"/>
        <family val="2"/>
      </rPr>
      <t>[Qmedf x k1.k2 + I]</t>
    </r>
  </si>
  <si>
    <r>
      <t>Vazão recorrente
 Qf</t>
    </r>
    <r>
      <rPr>
        <b/>
        <sz val="8"/>
        <rFont val="Tahoma"/>
        <family val="2"/>
      </rPr>
      <t>r</t>
    </r>
    <r>
      <rPr>
        <b/>
        <sz val="9"/>
        <rFont val="Tahoma"/>
        <family val="2"/>
      </rPr>
      <t xml:space="preserve">
(l/s)
</t>
    </r>
    <r>
      <rPr>
        <sz val="8"/>
        <rFont val="Tahoma"/>
        <family val="2"/>
      </rPr>
      <t>[Qmedf x k2 + I]</t>
    </r>
  </si>
  <si>
    <r>
      <t xml:space="preserve">Vazão Média
</t>
    </r>
    <r>
      <rPr>
        <b/>
        <sz val="10"/>
        <rFont val="Tahoma"/>
        <family val="2"/>
      </rPr>
      <t>Q</t>
    </r>
    <r>
      <rPr>
        <b/>
        <sz val="9"/>
        <rFont val="Tahoma"/>
        <family val="2"/>
      </rPr>
      <t>med</t>
    </r>
    <r>
      <rPr>
        <b/>
        <sz val="8"/>
        <rFont val="Tahoma"/>
        <family val="2"/>
      </rPr>
      <t>f</t>
    </r>
    <r>
      <rPr>
        <b/>
        <sz val="9"/>
        <rFont val="Tahoma"/>
        <family val="2"/>
      </rPr>
      <t xml:space="preserve">
(l/s)</t>
    </r>
  </si>
  <si>
    <r>
      <t xml:space="preserve">Vazão Média
</t>
    </r>
    <r>
      <rPr>
        <b/>
        <sz val="10"/>
        <rFont val="Tahoma"/>
        <family val="2"/>
      </rPr>
      <t>Q</t>
    </r>
    <r>
      <rPr>
        <b/>
        <sz val="9"/>
        <rFont val="Tahoma"/>
        <family val="2"/>
      </rPr>
      <t>med</t>
    </r>
    <r>
      <rPr>
        <b/>
        <sz val="8"/>
        <rFont val="Tahoma"/>
        <family val="2"/>
      </rPr>
      <t>i</t>
    </r>
    <r>
      <rPr>
        <b/>
        <sz val="9"/>
        <rFont val="Tahoma"/>
        <family val="2"/>
      </rPr>
      <t xml:space="preserve">
(l/s)</t>
    </r>
  </si>
  <si>
    <r>
      <t>Vazão recorrente
 Qi</t>
    </r>
    <r>
      <rPr>
        <b/>
        <sz val="8"/>
        <rFont val="Tahoma"/>
        <family val="2"/>
      </rPr>
      <t>r</t>
    </r>
    <r>
      <rPr>
        <b/>
        <sz val="9"/>
        <rFont val="Tahoma"/>
        <family val="2"/>
      </rPr>
      <t xml:space="preserve">
(l/s)
</t>
    </r>
    <r>
      <rPr>
        <sz val="8"/>
        <rFont val="Tahoma"/>
        <family val="2"/>
      </rPr>
      <t>[Qmedi x k2 + I]</t>
    </r>
  </si>
  <si>
    <r>
      <t>Vazão máxima Qi</t>
    </r>
    <r>
      <rPr>
        <b/>
        <sz val="8"/>
        <rFont val="Tahoma"/>
        <family val="2"/>
      </rPr>
      <t>max</t>
    </r>
    <r>
      <rPr>
        <b/>
        <sz val="9"/>
        <rFont val="Tahoma"/>
        <family val="2"/>
      </rPr>
      <t xml:space="preserve">
 (l/s)
</t>
    </r>
    <r>
      <rPr>
        <sz val="8"/>
        <rFont val="Tahoma"/>
        <family val="2"/>
      </rPr>
      <t>[Qmedi x k1.k2 + I]</t>
    </r>
  </si>
  <si>
    <t>PRINT</t>
  </si>
  <si>
    <t>A2 (Ajuste NA)</t>
  </si>
  <si>
    <t>A1 (Vazões)</t>
  </si>
  <si>
    <t>A3</t>
  </si>
  <si>
    <t>A4 (D e TQ)</t>
  </si>
  <si>
    <t>ExportNodos</t>
  </si>
  <si>
    <t>ExportTramos</t>
  </si>
  <si>
    <r>
      <t xml:space="preserve">Vazão recorrente de projeto
 Qfr
(l/s)
</t>
    </r>
    <r>
      <rPr>
        <sz val="9"/>
        <rFont val="Tahoma"/>
        <family val="2"/>
      </rPr>
      <t>[Qmedf x k2 + I]</t>
    </r>
  </si>
  <si>
    <r>
      <t xml:space="preserve">Vazão máxima de projeto
Qfmax
 (l/s)
</t>
    </r>
    <r>
      <rPr>
        <sz val="9"/>
        <rFont val="Tahoma"/>
        <family val="2"/>
      </rPr>
      <t>[Qmedf x k1.k2 + I]</t>
    </r>
  </si>
  <si>
    <r>
      <t xml:space="preserve">Vazão recorrente de projeto
 Qir
(l/s)
</t>
    </r>
    <r>
      <rPr>
        <sz val="9"/>
        <rFont val="Tahoma"/>
        <family val="2"/>
      </rPr>
      <t>[Qmedi x k2 + I]</t>
    </r>
  </si>
  <si>
    <r>
      <t xml:space="preserve">Vazão máxima de projecto 
Qimax
 (l/s)
</t>
    </r>
    <r>
      <rPr>
        <sz val="9"/>
        <rFont val="Tahoma"/>
        <family val="2"/>
      </rPr>
      <t>[Qmedi x k1.k2 + I]</t>
    </r>
  </si>
  <si>
    <t>FORMULA ALTERADA</t>
  </si>
  <si>
    <t>Adotar TL (terminal de limpeza) nos trechos iniciais?</t>
  </si>
  <si>
    <t>aux Formula com "Sim" e "Não"- Traduzir</t>
  </si>
  <si>
    <t>Desnível, Degrau e Tubo de Queda</t>
  </si>
  <si>
    <t>Degrau mínimo admitido para CIs e PVs</t>
  </si>
  <si>
    <t>Não</t>
  </si>
  <si>
    <t>Menor das cotas anteriores</t>
  </si>
  <si>
    <t>COTA no pto jusante DO TRECHO A MONTANTE (mesmo coletor e outros coletores m1.m2)</t>
  </si>
  <si>
    <t>Cota no pto montante do TRECHO ATUAL</t>
  </si>
  <si>
    <t>SAÍDA DO PV</t>
  </si>
  <si>
    <t>Cota</t>
  </si>
  <si>
    <t>ENTRADA DO PV</t>
  </si>
  <si>
    <t>Menor cota</t>
  </si>
  <si>
    <t>ENTRADA PV</t>
  </si>
  <si>
    <t>Desnível mín. entre chegada e saída dos CIs ou PVs</t>
  </si>
  <si>
    <t>SAIDA DO PV</t>
  </si>
  <si>
    <t>Fundo coletor</t>
  </si>
  <si>
    <t>Fundo Coletor</t>
  </si>
  <si>
    <t>Nivel de Agua</t>
  </si>
  <si>
    <t>Vazão concentrada no trecho
(l/s)</t>
  </si>
  <si>
    <t>Qmed_i</t>
  </si>
  <si>
    <t>Qmed_f</t>
  </si>
  <si>
    <t>Inf_acum</t>
  </si>
  <si>
    <t>Lâmina Líquida
 y
(m)</t>
  </si>
  <si>
    <t>Qr_i</t>
  </si>
  <si>
    <t>Qr_f</t>
  </si>
  <si>
    <t>Qmax_i</t>
  </si>
  <si>
    <t>Qmax_f</t>
  </si>
  <si>
    <t>Vc_i</t>
  </si>
  <si>
    <t>Vc_f</t>
  </si>
  <si>
    <t>Qfmax</t>
  </si>
  <si>
    <t>Ttrativa f</t>
  </si>
  <si>
    <t>y rel f</t>
  </si>
  <si>
    <t>y abs f</t>
  </si>
  <si>
    <t>y abs i</t>
  </si>
  <si>
    <t>y rel i</t>
  </si>
  <si>
    <t>Ttrativa i</t>
  </si>
  <si>
    <t>LOGICA TOTALMENTE DIFERENTE</t>
  </si>
  <si>
    <t>Verificação de Capacidade</t>
  </si>
  <si>
    <t>Verificação de Auto-limpeza</t>
  </si>
  <si>
    <t>Veloc.
V</t>
  </si>
  <si>
    <t>Qmax de projeto
Qmax</t>
  </si>
  <si>
    <t>Vazão recor. diaria
Qr</t>
  </si>
  <si>
    <t>Ponto de MONTANTE do trecho (DISPOSITIVO DE INSP.)</t>
  </si>
  <si>
    <t>CONTRIBUIÇÃO CONCENTRADA</t>
  </si>
  <si>
    <t>Vazão concentrada
FINAL
 Qc_f
(l/s)</t>
  </si>
  <si>
    <t>Vazão concentrada
INICIAL
Qc_I
(l/s)</t>
  </si>
  <si>
    <t>VAZÃO max total FINAL DE PLANO</t>
  </si>
  <si>
    <t>VAZÃO max total INÍCIO DE PLANO</t>
  </si>
  <si>
    <r>
      <t xml:space="preserve">Tensão trativa
</t>
    </r>
    <r>
      <rPr>
        <sz val="11"/>
        <color theme="1"/>
        <rFont val="Calibri"/>
        <family val="2"/>
      </rPr>
      <t>σ</t>
    </r>
  </si>
  <si>
    <r>
      <t xml:space="preserve">Tensão trativa
</t>
    </r>
    <r>
      <rPr>
        <b/>
        <sz val="11"/>
        <color theme="1"/>
        <rFont val="Calibri"/>
        <family val="2"/>
      </rPr>
      <t>σ</t>
    </r>
  </si>
  <si>
    <t>Taxa Ocup. (hab/familia)</t>
  </si>
  <si>
    <t>-</t>
  </si>
  <si>
    <t xml:space="preserve"> 1000 Qe =</t>
  </si>
  <si>
    <t>1000 Familia =</t>
  </si>
  <si>
    <t>População (hab.)</t>
  </si>
  <si>
    <t>QE_FP</t>
  </si>
  <si>
    <t>QE_IP</t>
  </si>
  <si>
    <t>Qc_f</t>
  </si>
  <si>
    <t>Qc_i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</si>
</sst>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0&quot; familias =&quot;"/>
    <numFmt numFmtId="187" formatCode="#,##0.00000;[Red]\-#,##0.00000"/>
    <numFmt numFmtId="188" formatCode="0_);\(0\)"/>
    <numFmt numFmtId="189" formatCode="000"/>
    <numFmt numFmtId="190" formatCode="\ #,##0&quot; l/dia&quot;"/>
    <numFmt numFmtId="191" formatCode="#,##0.0"/>
    <numFmt numFmtId="192" formatCode="#,##0;[Red]#,##0"/>
    <numFmt numFmtId="193" formatCode="#,##0.00_ ;[Red]\-#,##0.00\ "/>
    <numFmt numFmtId="194" formatCode="#,##0_ ;[Red]\-#,##0\ "/>
    <numFmt numFmtId="195" formatCode="#,##0.0000_ ;[Red]\-#,##0.0000\ "/>
    <numFmt numFmtId="196" formatCode="&quot;Yes&quot;_)_%;&quot;ERROR&quot;_)_%;&quot;No&quot;_)_%;&quot;ERROR&quot;_)_%"/>
    <numFmt numFmtId="197" formatCode="_(* #,##0_);_(* \(#,##0\);_(* \-??_);_(@_)"/>
    <numFmt numFmtId="198" formatCode="#,##0.00000000000000000_ ;[Red]\-#,##0.00000000000000000\ "/>
    <numFmt numFmtId="199" formatCode="0.00000000000000000000"/>
    <numFmt numFmtId="200" formatCode="#,##0.000000000000000\ _€;[Red]\-#,##0.000000000000000\ _€"/>
    <numFmt numFmtId="201" formatCode="\ #,##0.00&quot; l/s&quot;"/>
    <numFmt numFmtId="202" formatCode="#,##0.00_);[Red]\(#,##0.00\)"/>
  </numFmts>
  <fonts count="96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sz val="8"/>
      <name val="Arial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12"/>
      <color rgb="FFFF0000"/>
      <name val="Tahoma"/>
      <family val="2"/>
    </font>
    <font>
      <b/>
      <sz val="7.5"/>
      <name val="Tahoma"/>
      <family val="2"/>
    </font>
    <font>
      <i/>
      <sz val="9"/>
      <name val="Tahoma"/>
      <family val="2"/>
    </font>
    <font>
      <b/>
      <sz val="9"/>
      <color indexed="81"/>
      <name val="Segoe UI"/>
      <family val="2"/>
    </font>
    <font>
      <sz val="8"/>
      <color theme="1"/>
      <name val="Tahoma"/>
      <family val="2"/>
    </font>
    <font>
      <sz val="11"/>
      <color theme="1"/>
      <name val="Calibri"/>
      <family val="2"/>
    </font>
    <font>
      <sz val="7.5"/>
      <color theme="1"/>
      <name val="Tahoma"/>
      <family val="2"/>
    </font>
    <font>
      <sz val="11"/>
      <name val="Calibri"/>
      <family val="2"/>
      <scheme val="minor"/>
    </font>
  </fonts>
  <fills count="9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rgb="FFFFFFCC"/>
        <bgColor indexed="15"/>
      </patternFill>
    </fill>
    <fill>
      <patternFill patternType="solid">
        <fgColor theme="6" tint="0.39997558519241921"/>
        <bgColor indexed="41"/>
      </patternFill>
    </fill>
    <fill>
      <patternFill patternType="solid">
        <fgColor rgb="FFECF2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/>
        <bgColor theme="3" tint="0.79998168889431442"/>
      </patternFill>
    </fill>
    <fill>
      <patternFill patternType="solid">
        <fgColor theme="0" tint="-0.249977111117893"/>
        <bgColor indexed="15"/>
      </patternFill>
    </fill>
    <fill>
      <patternFill patternType="solid">
        <fgColor theme="1" tint="0.499984740745262"/>
        <bgColor indexed="1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8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indexed="8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11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5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33" borderId="0" applyNumberFormat="0" applyBorder="0" applyAlignment="0" applyProtection="0"/>
    <xf numFmtId="0" fontId="14" fillId="3" borderId="0" applyNumberFormat="0" applyBorder="0" applyAlignment="0" applyProtection="0"/>
    <xf numFmtId="0" fontId="8" fillId="10" borderId="0" applyNumberFormat="0" applyBorder="0" applyAlignment="0" applyProtection="0"/>
    <xf numFmtId="0" fontId="11" fillId="34" borderId="1" applyNumberFormat="0" applyAlignment="0" applyProtection="0"/>
    <xf numFmtId="0" fontId="11" fillId="35" borderId="1" applyNumberFormat="0" applyAlignment="0" applyProtection="0"/>
    <xf numFmtId="0" fontId="9" fillId="36" borderId="2" applyNumberFormat="0" applyAlignment="0" applyProtection="0"/>
    <xf numFmtId="0" fontId="10" fillId="0" borderId="3" applyNumberFormat="0" applyFill="0" applyAlignment="0" applyProtection="0"/>
    <xf numFmtId="0" fontId="9" fillId="36" borderId="2" applyNumberFormat="0" applyAlignment="0" applyProtection="0"/>
    <xf numFmtId="164" fontId="44" fillId="0" borderId="0" applyFont="0" applyFill="0" applyBorder="0" applyAlignment="0" applyProtection="0"/>
    <xf numFmtId="0" fontId="45" fillId="0" borderId="0">
      <protection locked="0"/>
    </xf>
    <xf numFmtId="179" fontId="46" fillId="0" borderId="0">
      <protection locked="0"/>
    </xf>
    <xf numFmtId="179" fontId="46" fillId="0" borderId="0">
      <protection locked="0"/>
    </xf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40" borderId="0" applyNumberFormat="0" applyBorder="0" applyAlignment="0" applyProtection="0"/>
    <xf numFmtId="0" fontId="13" fillId="13" borderId="1" applyNumberFormat="0" applyAlignment="0" applyProtection="0"/>
    <xf numFmtId="180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78" fontId="45" fillId="0" borderId="0">
      <protection locked="0"/>
    </xf>
    <xf numFmtId="176" fontId="45" fillId="0" borderId="0">
      <protection locked="0"/>
    </xf>
    <xf numFmtId="0" fontId="8" fillId="4" borderId="0" applyNumberFormat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3" fillId="7" borderId="1" applyNumberFormat="0" applyAlignment="0" applyProtection="0"/>
    <xf numFmtId="0" fontId="10" fillId="0" borderId="3" applyNumberFormat="0" applyFill="0" applyAlignment="0" applyProtection="0"/>
    <xf numFmtId="165" fontId="43" fillId="0" borderId="0" applyFill="0" applyBorder="0" applyAlignment="0" applyProtection="0"/>
    <xf numFmtId="177" fontId="45" fillId="0" borderId="0">
      <protection locked="0"/>
    </xf>
    <xf numFmtId="0" fontId="15" fillId="41" borderId="0" applyNumberFormat="0" applyBorder="0" applyAlignment="0" applyProtection="0"/>
    <xf numFmtId="0" fontId="16" fillId="0" borderId="0"/>
    <xf numFmtId="0" fontId="16" fillId="0" borderId="0"/>
    <xf numFmtId="0" fontId="5" fillId="0" borderId="0"/>
    <xf numFmtId="0" fontId="6" fillId="0" borderId="0"/>
    <xf numFmtId="0" fontId="40" fillId="0" borderId="0" applyBorder="0" applyAlignment="0">
      <alignment horizontal="left"/>
    </xf>
    <xf numFmtId="0" fontId="17" fillId="0" borderId="0" applyBorder="0" applyAlignment="0"/>
    <xf numFmtId="0" fontId="40" fillId="0" borderId="0" applyBorder="0" applyAlignment="0">
      <alignment horizontal="left"/>
    </xf>
    <xf numFmtId="0" fontId="43" fillId="43" borderId="7" applyNumberFormat="0" applyAlignment="0" applyProtection="0"/>
    <xf numFmtId="0" fontId="5" fillId="42" borderId="7" applyNumberFormat="0" applyFont="0" applyAlignment="0" applyProtection="0"/>
    <xf numFmtId="0" fontId="18" fillId="34" borderId="8" applyNumberFormat="0" applyAlignment="0" applyProtection="0"/>
    <xf numFmtId="9" fontId="43" fillId="0" borderId="0" applyFill="0" applyBorder="0" applyAlignment="0" applyProtection="0"/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8" fillId="35" borderId="8" applyNumberFormat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0" borderId="0" applyNumberFormat="0" applyFill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40" fontId="42" fillId="0" borderId="0" applyFont="0" applyFill="0" applyBorder="0" applyAlignment="0" applyProtection="0"/>
    <xf numFmtId="40" fontId="43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9" applyNumberFormat="0" applyFill="0" applyAlignment="0" applyProtection="0"/>
    <xf numFmtId="172" fontId="43" fillId="0" borderId="0" applyFill="0" applyBorder="0" applyAlignment="0" applyProtection="0"/>
    <xf numFmtId="183" fontId="16" fillId="0" borderId="0" applyFill="0" applyBorder="0" applyAlignment="0" applyProtection="0"/>
    <xf numFmtId="0" fontId="19" fillId="0" borderId="0" applyNumberFormat="0" applyFill="0" applyBorder="0" applyAlignment="0" applyProtection="0"/>
    <xf numFmtId="0" fontId="6" fillId="42" borderId="32" applyNumberFormat="0" applyFont="0" applyAlignment="0" applyProtection="0"/>
    <xf numFmtId="164" fontId="5" fillId="0" borderId="0" quotePrefix="1">
      <protection locked="0"/>
    </xf>
    <xf numFmtId="0" fontId="4" fillId="0" borderId="0"/>
    <xf numFmtId="0" fontId="3" fillId="0" borderId="0"/>
    <xf numFmtId="0" fontId="2" fillId="0" borderId="0"/>
  </cellStyleXfs>
  <cellXfs count="631">
    <xf numFmtId="0" fontId="0" fillId="0" borderId="0" xfId="0"/>
    <xf numFmtId="0" fontId="26" fillId="0" borderId="0" xfId="81" applyFont="1" applyBorder="1" applyAlignment="1"/>
    <xf numFmtId="0" fontId="26" fillId="46" borderId="0" xfId="81" applyFont="1" applyFill="1" applyBorder="1" applyAlignment="1"/>
    <xf numFmtId="0" fontId="25" fillId="46" borderId="0" xfId="81" applyFont="1" applyFill="1" applyBorder="1" applyAlignment="1">
      <alignment horizontal="left"/>
    </xf>
    <xf numFmtId="0" fontId="27" fillId="46" borderId="0" xfId="81" applyFont="1" applyFill="1" applyBorder="1" applyAlignment="1"/>
    <xf numFmtId="0" fontId="36" fillId="46" borderId="0" xfId="81" applyFont="1" applyFill="1" applyBorder="1" applyAlignment="1">
      <alignment horizontal="center"/>
    </xf>
    <xf numFmtId="0" fontId="26" fillId="46" borderId="0" xfId="81" applyFont="1" applyFill="1" applyBorder="1" applyAlignment="1">
      <alignment horizontal="center"/>
    </xf>
    <xf numFmtId="0" fontId="0" fillId="46" borderId="0" xfId="0" applyFill="1"/>
    <xf numFmtId="0" fontId="26" fillId="0" borderId="0" xfId="80" applyFont="1" applyAlignment="1"/>
    <xf numFmtId="0" fontId="28" fillId="48" borderId="0" xfId="80" applyFont="1" applyFill="1" applyBorder="1" applyAlignment="1">
      <alignment horizontal="center"/>
    </xf>
    <xf numFmtId="0" fontId="28" fillId="48" borderId="0" xfId="80" applyFont="1" applyFill="1" applyBorder="1" applyAlignment="1">
      <alignment horizontal="left"/>
    </xf>
    <xf numFmtId="0" fontId="40" fillId="47" borderId="0" xfId="80" applyFill="1" applyBorder="1" applyAlignment="1"/>
    <xf numFmtId="0" fontId="26" fillId="47" borderId="0" xfId="80" applyFont="1" applyFill="1" applyBorder="1" applyAlignment="1"/>
    <xf numFmtId="0" fontId="26" fillId="47" borderId="0" xfId="80" applyFont="1" applyFill="1" applyAlignment="1" applyProtection="1">
      <protection locked="0"/>
    </xf>
    <xf numFmtId="0" fontId="26" fillId="0" borderId="0" xfId="80" applyFont="1" applyAlignment="1" applyProtection="1">
      <protection locked="0"/>
    </xf>
    <xf numFmtId="173" fontId="26" fillId="0" borderId="0" xfId="80" applyNumberFormat="1" applyFont="1" applyBorder="1" applyAlignment="1"/>
    <xf numFmtId="4" fontId="26" fillId="0" borderId="0" xfId="80" applyNumberFormat="1" applyFont="1" applyAlignment="1"/>
    <xf numFmtId="0" fontId="25" fillId="47" borderId="14" xfId="80" quotePrefix="1" applyFont="1" applyFill="1" applyBorder="1" applyAlignment="1">
      <alignment horizontal="left" vertical="center"/>
    </xf>
    <xf numFmtId="0" fontId="28" fillId="47" borderId="14" xfId="80" applyFont="1" applyFill="1" applyBorder="1" applyAlignment="1">
      <alignment horizontal="center"/>
    </xf>
    <xf numFmtId="0" fontId="26" fillId="0" borderId="14" xfId="80" applyFont="1" applyBorder="1" applyAlignment="1"/>
    <xf numFmtId="0" fontId="48" fillId="47" borderId="14" xfId="80" applyFont="1" applyFill="1" applyBorder="1" applyAlignment="1"/>
    <xf numFmtId="0" fontId="34" fillId="47" borderId="14" xfId="80" applyFont="1" applyFill="1" applyBorder="1" applyAlignment="1">
      <alignment horizontal="center" vertical="center" wrapText="1"/>
    </xf>
    <xf numFmtId="166" fontId="34" fillId="47" borderId="14" xfId="80" applyNumberFormat="1" applyFont="1" applyFill="1" applyBorder="1" applyAlignment="1" applyProtection="1">
      <alignment horizontal="center" vertical="center"/>
      <protection locked="0"/>
    </xf>
    <xf numFmtId="0" fontId="34" fillId="47" borderId="14" xfId="80" applyFont="1" applyFill="1" applyBorder="1" applyAlignment="1">
      <alignment horizontal="left" vertical="center" wrapText="1"/>
    </xf>
    <xf numFmtId="0" fontId="40" fillId="47" borderId="14" xfId="80" applyFill="1" applyBorder="1" applyAlignment="1"/>
    <xf numFmtId="2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>
      <alignment horizontal="left" vertical="center" wrapText="1"/>
    </xf>
    <xf numFmtId="166" fontId="34" fillId="0" borderId="15" xfId="80" applyNumberFormat="1" applyFont="1" applyBorder="1" applyAlignment="1" applyProtection="1">
      <alignment horizontal="center" vertical="center"/>
      <protection locked="0"/>
    </xf>
    <xf numFmtId="1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 applyProtection="1">
      <alignment horizontal="center" vertical="center"/>
      <protection locked="0"/>
    </xf>
    <xf numFmtId="0" fontId="26" fillId="0" borderId="0" xfId="80" applyFont="1" applyBorder="1" applyAlignment="1"/>
    <xf numFmtId="168" fontId="34" fillId="0" borderId="16" xfId="80" applyNumberFormat="1" applyFont="1" applyBorder="1" applyAlignment="1" applyProtection="1">
      <alignment horizontal="center" vertical="center"/>
      <protection locked="0"/>
    </xf>
    <xf numFmtId="175" fontId="34" fillId="0" borderId="15" xfId="98" applyNumberFormat="1" applyFont="1" applyFill="1" applyBorder="1" applyAlignment="1" applyProtection="1">
      <alignment horizontal="center" vertical="center"/>
      <protection locked="0"/>
    </xf>
    <xf numFmtId="9" fontId="34" fillId="0" borderId="15" xfId="88" applyFont="1" applyFill="1" applyBorder="1" applyAlignment="1" applyProtection="1">
      <alignment horizontal="center" vertical="center"/>
      <protection locked="0"/>
    </xf>
    <xf numFmtId="0" fontId="40" fillId="0" borderId="0" xfId="80" applyAlignment="1"/>
    <xf numFmtId="0" fontId="28" fillId="0" borderId="0" xfId="80" applyFont="1" applyBorder="1" applyAlignment="1">
      <alignment horizontal="center"/>
    </xf>
    <xf numFmtId="0" fontId="25" fillId="47" borderId="14" xfId="80" applyFont="1" applyFill="1" applyBorder="1" applyAlignment="1">
      <alignment horizontal="left" vertical="center"/>
    </xf>
    <xf numFmtId="0" fontId="30" fillId="47" borderId="0" xfId="80" applyFont="1" applyFill="1" applyBorder="1" applyAlignment="1">
      <alignment horizontal="left" vertical="center"/>
    </xf>
    <xf numFmtId="188" fontId="43" fillId="0" borderId="15" xfId="110" applyNumberFormat="1" applyFill="1" applyBorder="1" applyAlignment="1">
      <alignment horizontal="center" vertical="center"/>
    </xf>
    <xf numFmtId="171" fontId="5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/>
    <xf numFmtId="0" fontId="32" fillId="50" borderId="0" xfId="81" applyFont="1" applyFill="1" applyBorder="1" applyAlignment="1"/>
    <xf numFmtId="0" fontId="26" fillId="51" borderId="0" xfId="81" applyFont="1" applyFill="1" applyBorder="1" applyAlignment="1"/>
    <xf numFmtId="0" fontId="26" fillId="50" borderId="0" xfId="81" applyFont="1" applyFill="1" applyBorder="1" applyAlignment="1"/>
    <xf numFmtId="2" fontId="33" fillId="52" borderId="0" xfId="81" applyNumberFormat="1" applyFont="1" applyFill="1" applyBorder="1" applyAlignment="1">
      <alignment horizontal="center" vertical="center"/>
    </xf>
    <xf numFmtId="0" fontId="34" fillId="0" borderId="15" xfId="80" applyFont="1" applyBorder="1" applyAlignment="1">
      <alignment horizontal="center" vertical="center" wrapText="1"/>
    </xf>
    <xf numFmtId="0" fontId="55" fillId="50" borderId="0" xfId="81" applyFont="1" applyFill="1" applyBorder="1" applyAlignment="1">
      <alignment vertical="center"/>
    </xf>
    <xf numFmtId="174" fontId="31" fillId="47" borderId="26" xfId="80" applyNumberFormat="1" applyFont="1" applyFill="1" applyBorder="1" applyAlignment="1">
      <alignment horizontal="left"/>
    </xf>
    <xf numFmtId="0" fontId="25" fillId="50" borderId="0" xfId="81" applyFont="1" applyFill="1" applyBorder="1" applyAlignment="1">
      <alignment horizontal="left"/>
    </xf>
    <xf numFmtId="0" fontId="0" fillId="51" borderId="0" xfId="0" applyFill="1"/>
    <xf numFmtId="0" fontId="61" fillId="51" borderId="0" xfId="80" applyFont="1" applyFill="1" applyBorder="1" applyAlignment="1">
      <alignment horizontal="left" vertical="center"/>
    </xf>
    <xf numFmtId="0" fontId="26" fillId="51" borderId="0" xfId="80" applyFont="1" applyFill="1" applyAlignment="1" applyProtection="1">
      <protection locked="0"/>
    </xf>
    <xf numFmtId="0" fontId="26" fillId="51" borderId="0" xfId="80" applyFont="1" applyFill="1" applyAlignment="1"/>
    <xf numFmtId="0" fontId="27" fillId="50" borderId="0" xfId="81" applyFont="1" applyFill="1" applyBorder="1" applyAlignment="1"/>
    <xf numFmtId="0" fontId="27" fillId="51" borderId="0" xfId="81" applyFont="1" applyFill="1" applyBorder="1" applyAlignment="1"/>
    <xf numFmtId="189" fontId="28" fillId="45" borderId="0" xfId="81" applyNumberFormat="1" applyFont="1" applyFill="1" applyBorder="1" applyAlignment="1">
      <alignment horizontal="left"/>
    </xf>
    <xf numFmtId="189" fontId="26" fillId="51" borderId="0" xfId="81" applyNumberFormat="1" applyFont="1" applyFill="1" applyBorder="1" applyAlignment="1"/>
    <xf numFmtId="0" fontId="0" fillId="50" borderId="0" xfId="81" applyFont="1" applyFill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0" fillId="46" borderId="0" xfId="81" applyFont="1" applyFill="1" applyBorder="1" applyAlignment="1">
      <alignment vertical="center"/>
    </xf>
    <xf numFmtId="1" fontId="33" fillId="0" borderId="15" xfId="81" applyNumberFormat="1" applyFont="1" applyBorder="1" applyAlignment="1" applyProtection="1">
      <alignment horizontal="center"/>
      <protection hidden="1"/>
    </xf>
    <xf numFmtId="184" fontId="33" fillId="0" borderId="15" xfId="99" applyNumberFormat="1" applyFont="1" applyFill="1" applyBorder="1" applyAlignment="1" applyProtection="1">
      <alignment horizontal="right"/>
      <protection hidden="1"/>
    </xf>
    <xf numFmtId="167" fontId="33" fillId="0" borderId="15" xfId="81" applyNumberFormat="1" applyFont="1" applyBorder="1" applyAlignment="1" applyProtection="1">
      <protection hidden="1"/>
    </xf>
    <xf numFmtId="40" fontId="33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3" fillId="0" borderId="15" xfId="81" applyNumberFormat="1" applyFont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right"/>
      <protection hidden="1"/>
    </xf>
    <xf numFmtId="170" fontId="33" fillId="0" borderId="15" xfId="99" applyNumberFormat="1" applyFont="1" applyFill="1" applyBorder="1" applyAlignment="1" applyProtection="1">
      <alignment horizontal="right"/>
      <protection hidden="1"/>
    </xf>
    <xf numFmtId="170" fontId="49" fillId="0" borderId="15" xfId="99" applyNumberFormat="1" applyFont="1" applyFill="1" applyBorder="1" applyAlignment="1" applyProtection="1">
      <alignment horizontal="right"/>
      <protection hidden="1"/>
    </xf>
    <xf numFmtId="187" fontId="33" fillId="0" borderId="15" xfId="99" applyNumberFormat="1" applyFont="1" applyFill="1" applyBorder="1" applyAlignment="1" applyProtection="1">
      <alignment horizontal="center"/>
      <protection hidden="1"/>
    </xf>
    <xf numFmtId="1" fontId="33" fillId="52" borderId="15" xfId="81" applyNumberFormat="1" applyFont="1" applyFill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center"/>
      <protection hidden="1"/>
    </xf>
    <xf numFmtId="0" fontId="34" fillId="0" borderId="15" xfId="80" applyFont="1" applyBorder="1" applyAlignment="1" applyProtection="1">
      <alignment horizontal="center"/>
      <protection hidden="1"/>
    </xf>
    <xf numFmtId="2" fontId="34" fillId="0" borderId="15" xfId="80" applyNumberFormat="1" applyFont="1" applyBorder="1" applyAlignment="1" applyProtection="1">
      <alignment horizontal="right"/>
      <protection hidden="1"/>
    </xf>
    <xf numFmtId="4" fontId="34" fillId="0" borderId="15" xfId="80" applyNumberFormat="1" applyFont="1" applyBorder="1" applyAlignment="1" applyProtection="1">
      <alignment horizontal="right"/>
      <protection hidden="1"/>
    </xf>
    <xf numFmtId="40" fontId="34" fillId="0" borderId="15" xfId="98" applyFont="1" applyFill="1" applyBorder="1" applyAlignment="1" applyProtection="1">
      <alignment horizontal="right"/>
      <protection hidden="1"/>
    </xf>
    <xf numFmtId="40" fontId="34" fillId="0" borderId="15" xfId="98" applyFont="1" applyFill="1" applyBorder="1" applyProtection="1">
      <protection hidden="1"/>
    </xf>
    <xf numFmtId="170" fontId="34" fillId="0" borderId="15" xfId="98" applyNumberFormat="1" applyFont="1" applyFill="1" applyBorder="1" applyAlignment="1" applyProtection="1">
      <alignment horizontal="right"/>
      <protection hidden="1"/>
    </xf>
    <xf numFmtId="1" fontId="34" fillId="0" borderId="15" xfId="80" applyNumberFormat="1" applyFont="1" applyBorder="1" applyAlignment="1" applyProtection="1">
      <protection hidden="1"/>
    </xf>
    <xf numFmtId="9" fontId="34" fillId="0" borderId="15" xfId="88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3" fillId="0" borderId="15" xfId="81" applyNumberFormat="1" applyFont="1" applyBorder="1" applyAlignment="1" applyProtection="1">
      <alignment horizontal="center"/>
      <protection hidden="1"/>
    </xf>
    <xf numFmtId="4" fontId="33" fillId="0" borderId="15" xfId="81" applyNumberFormat="1" applyFont="1" applyBorder="1" applyAlignment="1" applyProtection="1">
      <protection hidden="1"/>
    </xf>
    <xf numFmtId="4" fontId="33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Border="1" applyAlignment="1">
      <alignment horizontal="center" vertical="center"/>
    </xf>
    <xf numFmtId="0" fontId="41" fillId="50" borderId="0" xfId="81" applyFont="1" applyFill="1" applyBorder="1" applyAlignment="1" applyProtection="1">
      <alignment horizontal="center"/>
      <protection hidden="1"/>
    </xf>
    <xf numFmtId="40" fontId="33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3" fillId="51" borderId="0" xfId="81" applyNumberFormat="1" applyFont="1" applyFill="1" applyBorder="1" applyAlignment="1" applyProtection="1">
      <alignment horizontal="center"/>
      <protection locked="0"/>
    </xf>
    <xf numFmtId="0" fontId="26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2" fillId="51" borderId="0" xfId="78" applyFont="1" applyFill="1"/>
    <xf numFmtId="0" fontId="5" fillId="51" borderId="0" xfId="78" applyFill="1"/>
    <xf numFmtId="0" fontId="26" fillId="0" borderId="0" xfId="80" applyFont="1" applyBorder="1" applyAlignment="1" applyProtection="1">
      <protection hidden="1"/>
    </xf>
    <xf numFmtId="173" fontId="26" fillId="0" borderId="0" xfId="80" applyNumberFormat="1" applyFont="1" applyBorder="1" applyAlignment="1" applyProtection="1">
      <protection hidden="1"/>
    </xf>
    <xf numFmtId="4" fontId="26" fillId="0" borderId="0" xfId="80" applyNumberFormat="1" applyFont="1" applyBorder="1" applyAlignment="1" applyProtection="1">
      <protection hidden="1"/>
    </xf>
    <xf numFmtId="1" fontId="39" fillId="0" borderId="0" xfId="0" applyNumberFormat="1" applyFont="1" applyAlignment="1" applyProtection="1">
      <alignment horizontal="right" vertical="center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168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182" fontId="26" fillId="0" borderId="0" xfId="110" applyNumberFormat="1" applyFont="1" applyFill="1" applyBorder="1" applyAlignment="1" applyProtection="1">
      <alignment horizontal="right"/>
      <protection hidden="1"/>
    </xf>
    <xf numFmtId="173" fontId="26" fillId="0" borderId="0" xfId="86" applyNumberFormat="1" applyFont="1" applyFill="1" applyBorder="1" applyAlignment="1" applyProtection="1">
      <alignment horizontal="center"/>
      <protection hidden="1"/>
    </xf>
    <xf numFmtId="40" fontId="26" fillId="0" borderId="0" xfId="99" applyFont="1" applyFill="1" applyBorder="1" applyAlignment="1" applyProtection="1">
      <alignment horizontal="right"/>
      <protection hidden="1"/>
    </xf>
    <xf numFmtId="0" fontId="26" fillId="51" borderId="0" xfId="81" applyFont="1" applyFill="1" applyBorder="1" applyAlignment="1">
      <alignment vertical="center"/>
    </xf>
    <xf numFmtId="186" fontId="0" fillId="51" borderId="0" xfId="82" applyNumberFormat="1" applyFont="1" applyFill="1" applyBorder="1" applyAlignment="1">
      <alignment horizontal="right" vertical="center"/>
    </xf>
    <xf numFmtId="0" fontId="0" fillId="51" borderId="24" xfId="0" applyFill="1" applyBorder="1"/>
    <xf numFmtId="0" fontId="0" fillId="50" borderId="0" xfId="81" applyFont="1" applyFill="1" applyBorder="1" applyAlignment="1">
      <alignment vertical="center" wrapText="1"/>
    </xf>
    <xf numFmtId="0" fontId="26" fillId="50" borderId="24" xfId="81" applyFont="1" applyFill="1" applyBorder="1" applyAlignment="1">
      <alignment vertical="center"/>
    </xf>
    <xf numFmtId="0" fontId="65" fillId="61" borderId="30" xfId="82" applyFont="1" applyFill="1" applyBorder="1" applyAlignment="1">
      <alignment horizontal="left" vertical="center" wrapText="1"/>
    </xf>
    <xf numFmtId="0" fontId="66" fillId="61" borderId="29" xfId="81" applyFont="1" applyFill="1" applyBorder="1" applyAlignment="1"/>
    <xf numFmtId="0" fontId="66" fillId="64" borderId="29" xfId="81" applyFont="1" applyFill="1" applyBorder="1" applyAlignment="1">
      <alignment horizontal="left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>
      <alignment vertical="center"/>
    </xf>
    <xf numFmtId="0" fontId="25" fillId="46" borderId="0" xfId="81" applyFont="1" applyFill="1" applyBorder="1" applyAlignment="1">
      <alignment vertical="center"/>
    </xf>
    <xf numFmtId="0" fontId="26" fillId="46" borderId="0" xfId="81" applyFont="1" applyFill="1" applyBorder="1" applyAlignment="1">
      <alignment vertical="center"/>
    </xf>
    <xf numFmtId="169" fontId="33" fillId="0" borderId="20" xfId="99" applyNumberFormat="1" applyFont="1" applyFill="1" applyBorder="1" applyAlignment="1" applyProtection="1">
      <alignment horizontal="center" vertical="center"/>
    </xf>
    <xf numFmtId="40" fontId="34" fillId="0" borderId="15" xfId="98" applyFont="1" applyFill="1" applyBorder="1" applyAlignment="1" applyProtection="1">
      <alignment horizontal="left"/>
      <protection hidden="1"/>
    </xf>
    <xf numFmtId="1" fontId="33" fillId="63" borderId="15" xfId="81" applyNumberFormat="1" applyFont="1" applyFill="1" applyBorder="1" applyAlignment="1" applyProtection="1">
      <alignment horizontal="center"/>
      <protection hidden="1"/>
    </xf>
    <xf numFmtId="0" fontId="53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3" fillId="52" borderId="12" xfId="81" applyNumberFormat="1" applyFont="1" applyFill="1" applyBorder="1" applyAlignment="1" applyProtection="1">
      <alignment horizontal="center" vertical="center"/>
      <protection locked="0"/>
    </xf>
    <xf numFmtId="0" fontId="43" fillId="50" borderId="0" xfId="81" applyFont="1" applyFill="1" applyBorder="1" applyAlignment="1">
      <alignment vertical="center"/>
    </xf>
    <xf numFmtId="0" fontId="43" fillId="51" borderId="0" xfId="0" applyFont="1" applyFill="1" applyAlignment="1">
      <alignment vertical="center"/>
    </xf>
    <xf numFmtId="0" fontId="43" fillId="51" borderId="0" xfId="81" applyFont="1" applyFill="1" applyBorder="1" applyAlignment="1">
      <alignment vertical="center"/>
    </xf>
    <xf numFmtId="0" fontId="5" fillId="53" borderId="15" xfId="78" applyFill="1" applyBorder="1" applyAlignment="1">
      <alignment horizontal="center" vertical="center" wrapText="1"/>
    </xf>
    <xf numFmtId="0" fontId="53" fillId="65" borderId="15" xfId="78" applyFont="1" applyFill="1" applyBorder="1" applyAlignment="1">
      <alignment horizontal="center"/>
    </xf>
    <xf numFmtId="187" fontId="33" fillId="49" borderId="15" xfId="99" applyNumberFormat="1" applyFont="1" applyFill="1" applyBorder="1" applyAlignment="1" applyProtection="1">
      <alignment horizontal="right"/>
      <protection hidden="1"/>
    </xf>
    <xf numFmtId="0" fontId="60" fillId="67" borderId="0" xfId="81" applyFont="1" applyFill="1" applyBorder="1" applyAlignment="1">
      <alignment wrapText="1"/>
    </xf>
    <xf numFmtId="0" fontId="26" fillId="51" borderId="0" xfId="80" applyFont="1" applyFill="1" applyBorder="1" applyAlignment="1" applyProtection="1">
      <protection locked="0"/>
    </xf>
    <xf numFmtId="0" fontId="26" fillId="51" borderId="0" xfId="80" applyFont="1" applyFill="1" applyBorder="1" applyAlignment="1"/>
    <xf numFmtId="181" fontId="0" fillId="50" borderId="0" xfId="81" applyNumberFormat="1" applyFont="1" applyFill="1" applyBorder="1" applyAlignment="1">
      <alignment horizontal="center" vertical="center"/>
    </xf>
    <xf numFmtId="3" fontId="25" fillId="51" borderId="0" xfId="82" applyNumberFormat="1" applyFont="1" applyFill="1" applyBorder="1" applyAlignment="1">
      <alignment horizontal="center" vertical="center"/>
    </xf>
    <xf numFmtId="2" fontId="33" fillId="63" borderId="0" xfId="81" applyNumberFormat="1" applyFont="1" applyFill="1" applyBorder="1" applyAlignment="1">
      <alignment horizontal="center" vertical="center"/>
    </xf>
    <xf numFmtId="3" fontId="33" fillId="63" borderId="0" xfId="81" applyNumberFormat="1" applyFont="1" applyFill="1" applyBorder="1" applyAlignment="1">
      <alignment horizontal="center" vertical="center"/>
    </xf>
    <xf numFmtId="9" fontId="33" fillId="52" borderId="0" xfId="86" applyFont="1" applyFill="1" applyBorder="1" applyAlignment="1" applyProtection="1">
      <alignment horizontal="center" vertical="center"/>
    </xf>
    <xf numFmtId="0" fontId="37" fillId="50" borderId="0" xfId="81" applyFont="1" applyFill="1" applyBorder="1" applyAlignment="1">
      <alignment horizontal="center" vertical="center"/>
    </xf>
    <xf numFmtId="0" fontId="33" fillId="51" borderId="0" xfId="81" applyFont="1" applyFill="1" applyBorder="1" applyAlignment="1"/>
    <xf numFmtId="0" fontId="33" fillId="52" borderId="0" xfId="81" applyFont="1" applyFill="1" applyBorder="1" applyAlignment="1">
      <alignment horizontal="center" vertical="center"/>
    </xf>
    <xf numFmtId="2" fontId="33" fillId="52" borderId="0" xfId="81" applyNumberFormat="1" applyFont="1" applyFill="1" applyBorder="1" applyAlignment="1">
      <alignment horizontal="center"/>
    </xf>
    <xf numFmtId="0" fontId="33" fillId="0" borderId="0" xfId="0" applyFont="1" applyAlignment="1">
      <alignment vertical="center"/>
    </xf>
    <xf numFmtId="171" fontId="33" fillId="63" borderId="0" xfId="81" applyNumberFormat="1" applyFont="1" applyFill="1" applyBorder="1" applyAlignment="1">
      <alignment horizontal="center" vertical="center"/>
    </xf>
    <xf numFmtId="173" fontId="67" fillId="63" borderId="0" xfId="86" applyNumberFormat="1" applyFont="1" applyFill="1" applyBorder="1" applyAlignment="1" applyProtection="1">
      <alignment horizontal="center" vertical="center"/>
    </xf>
    <xf numFmtId="3" fontId="33" fillId="63" borderId="0" xfId="81" applyNumberFormat="1" applyFont="1" applyFill="1" applyBorder="1" applyAlignment="1">
      <alignment horizontal="center"/>
    </xf>
    <xf numFmtId="9" fontId="33" fillId="46" borderId="22" xfId="86" applyFont="1" applyFill="1" applyBorder="1" applyAlignment="1" applyProtection="1">
      <alignment horizontal="center"/>
      <protection hidden="1"/>
    </xf>
    <xf numFmtId="0" fontId="71" fillId="68" borderId="0" xfId="0" applyFont="1" applyFill="1"/>
    <xf numFmtId="0" fontId="72" fillId="68" borderId="0" xfId="0" applyFont="1" applyFill="1" applyAlignment="1">
      <alignment vertical="center"/>
    </xf>
    <xf numFmtId="0" fontId="5" fillId="69" borderId="0" xfId="0" applyFont="1" applyFill="1"/>
    <xf numFmtId="0" fontId="5" fillId="70" borderId="0" xfId="0" applyFont="1" applyFill="1"/>
    <xf numFmtId="0" fontId="5" fillId="69" borderId="0" xfId="0" applyFont="1" applyFill="1" applyAlignment="1">
      <alignment vertical="center"/>
    </xf>
    <xf numFmtId="0" fontId="70" fillId="69" borderId="0" xfId="0" applyFont="1" applyFill="1" applyAlignment="1">
      <alignment vertical="center"/>
    </xf>
    <xf numFmtId="0" fontId="5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vertical="center"/>
    </xf>
    <xf numFmtId="0" fontId="5" fillId="69" borderId="0" xfId="0" applyFont="1" applyFill="1" applyAlignment="1">
      <alignment horizontal="center"/>
    </xf>
    <xf numFmtId="0" fontId="73" fillId="69" borderId="0" xfId="0" applyFont="1" applyFill="1" applyAlignment="1">
      <alignment horizontal="left" vertical="center"/>
    </xf>
    <xf numFmtId="0" fontId="53" fillId="69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5" fillId="71" borderId="0" xfId="0" applyFont="1" applyFill="1"/>
    <xf numFmtId="0" fontId="37" fillId="58" borderId="33" xfId="81" applyFont="1" applyFill="1" applyBorder="1" applyAlignment="1">
      <alignment horizontal="center" vertical="center" wrapText="1"/>
    </xf>
    <xf numFmtId="0" fontId="75" fillId="46" borderId="0" xfId="81" applyFont="1" applyFill="1" applyBorder="1" applyAlignment="1">
      <alignment horizontal="center" vertical="center"/>
    </xf>
    <xf numFmtId="4" fontId="0" fillId="0" borderId="0" xfId="0" applyNumberFormat="1"/>
    <xf numFmtId="1" fontId="67" fillId="52" borderId="15" xfId="81" applyNumberFormat="1" applyFont="1" applyFill="1" applyBorder="1" applyAlignment="1" applyProtection="1">
      <alignment horizontal="center"/>
      <protection hidden="1"/>
    </xf>
    <xf numFmtId="1" fontId="1" fillId="0" borderId="0" xfId="117" applyNumberFormat="1" applyFont="1"/>
    <xf numFmtId="49" fontId="56" fillId="0" borderId="0" xfId="0" applyNumberFormat="1" applyFont="1"/>
    <xf numFmtId="2" fontId="56" fillId="0" borderId="0" xfId="0" applyNumberFormat="1" applyFont="1"/>
    <xf numFmtId="1" fontId="56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8" fillId="45" borderId="0" xfId="81" applyNumberFormat="1" applyFont="1" applyFill="1" applyBorder="1" applyAlignment="1">
      <alignment horizontal="left"/>
    </xf>
    <xf numFmtId="49" fontId="0" fillId="50" borderId="0" xfId="81" applyNumberFormat="1" applyFont="1" applyFill="1" applyBorder="1" applyAlignment="1">
      <alignment horizontal="left"/>
    </xf>
    <xf numFmtId="49" fontId="61" fillId="51" borderId="0" xfId="80" applyNumberFormat="1" applyFont="1" applyFill="1" applyBorder="1" applyAlignment="1">
      <alignment horizontal="left" vertical="center"/>
    </xf>
    <xf numFmtId="49" fontId="26" fillId="51" borderId="0" xfId="80" applyNumberFormat="1" applyFont="1" applyFill="1" applyAlignment="1"/>
    <xf numFmtId="49" fontId="35" fillId="46" borderId="0" xfId="81" applyNumberFormat="1" applyFont="1" applyFill="1" applyBorder="1" applyAlignment="1">
      <alignment horizontal="center"/>
    </xf>
    <xf numFmtId="49" fontId="26" fillId="51" borderId="0" xfId="81" applyNumberFormat="1" applyFont="1" applyFill="1" applyBorder="1" applyAlignment="1"/>
    <xf numFmtId="0" fontId="56" fillId="0" borderId="0" xfId="0" applyFont="1"/>
    <xf numFmtId="49" fontId="30" fillId="47" borderId="0" xfId="80" applyNumberFormat="1" applyFont="1" applyFill="1" applyBorder="1" applyAlignment="1">
      <alignment horizontal="left" vertical="center"/>
    </xf>
    <xf numFmtId="1" fontId="0" fillId="0" borderId="0" xfId="0" applyNumberFormat="1"/>
    <xf numFmtId="0" fontId="26" fillId="67" borderId="0" xfId="81" applyFont="1" applyFill="1" applyBorder="1" applyAlignment="1">
      <alignment horizontal="center"/>
    </xf>
    <xf numFmtId="0" fontId="37" fillId="60" borderId="27" xfId="81" applyFont="1" applyFill="1" applyBorder="1" applyAlignment="1">
      <alignment horizontal="center" vertical="center" wrapText="1"/>
    </xf>
    <xf numFmtId="0" fontId="26" fillId="73" borderId="17" xfId="81" applyFont="1" applyFill="1" applyBorder="1" applyAlignment="1"/>
    <xf numFmtId="0" fontId="26" fillId="73" borderId="18" xfId="81" applyFont="1" applyFill="1" applyBorder="1" applyAlignment="1"/>
    <xf numFmtId="0" fontId="26" fillId="73" borderId="16" xfId="81" applyFont="1" applyFill="1" applyBorder="1" applyAlignment="1">
      <alignment horizontal="center" vertical="center"/>
    </xf>
    <xf numFmtId="189" fontId="37" fillId="60" borderId="42" xfId="81" applyNumberFormat="1" applyFont="1" applyFill="1" applyBorder="1" applyAlignment="1">
      <alignment horizontal="center" vertical="center" wrapText="1"/>
    </xf>
    <xf numFmtId="189" fontId="37" fillId="75" borderId="42" xfId="81" applyNumberFormat="1" applyFont="1" applyFill="1" applyBorder="1" applyAlignment="1">
      <alignment horizontal="center" vertical="center" wrapText="1"/>
    </xf>
    <xf numFmtId="1" fontId="67" fillId="0" borderId="15" xfId="81" applyNumberFormat="1" applyFont="1" applyBorder="1" applyAlignment="1" applyProtection="1">
      <alignment horizontal="center"/>
      <protection hidden="1"/>
    </xf>
    <xf numFmtId="189" fontId="33" fillId="0" borderId="15" xfId="81" applyNumberFormat="1" applyFont="1" applyBorder="1" applyAlignment="1" applyProtection="1">
      <alignment horizontal="center"/>
      <protection hidden="1"/>
    </xf>
    <xf numFmtId="0" fontId="33" fillId="0" borderId="15" xfId="81" applyFont="1" applyBorder="1" applyAlignment="1" applyProtection="1">
      <alignment horizontal="center"/>
      <protection hidden="1"/>
    </xf>
    <xf numFmtId="2" fontId="67" fillId="0" borderId="15" xfId="81" applyNumberFormat="1" applyFont="1" applyBorder="1" applyAlignment="1" applyProtection="1">
      <protection hidden="1"/>
    </xf>
    <xf numFmtId="2" fontId="28" fillId="48" borderId="0" xfId="80" applyNumberFormat="1" applyFont="1" applyFill="1" applyBorder="1" applyAlignment="1">
      <alignment horizontal="center"/>
    </xf>
    <xf numFmtId="2" fontId="0" fillId="50" borderId="0" xfId="81" applyNumberFormat="1" applyFont="1" applyFill="1" applyBorder="1" applyAlignment="1"/>
    <xf numFmtId="2" fontId="26" fillId="51" borderId="0" xfId="80" applyNumberFormat="1" applyFont="1" applyFill="1" applyBorder="1" applyAlignment="1" applyProtection="1">
      <protection locked="0"/>
    </xf>
    <xf numFmtId="2" fontId="26" fillId="51" borderId="0" xfId="80" applyNumberFormat="1" applyFont="1" applyFill="1" applyAlignment="1" applyProtection="1">
      <protection locked="0"/>
    </xf>
    <xf numFmtId="2" fontId="26" fillId="51" borderId="0" xfId="81" applyNumberFormat="1" applyFont="1" applyFill="1" applyBorder="1" applyAlignment="1"/>
    <xf numFmtId="167" fontId="34" fillId="0" borderId="15" xfId="80" applyNumberFormat="1" applyFont="1" applyBorder="1" applyAlignment="1" applyProtection="1">
      <alignment horizontal="right"/>
      <protection hidden="1"/>
    </xf>
    <xf numFmtId="172" fontId="43" fillId="51" borderId="17" xfId="110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3" fillId="51" borderId="17" xfId="110" applyNumberFormat="1" applyFill="1" applyBorder="1" applyAlignment="1" applyProtection="1">
      <alignment horizontal="center" vertical="center"/>
      <protection locked="0"/>
    </xf>
    <xf numFmtId="0" fontId="27" fillId="67" borderId="0" xfId="81" applyFont="1" applyFill="1" applyBorder="1" applyAlignment="1">
      <alignment horizontal="center"/>
    </xf>
    <xf numFmtId="166" fontId="38" fillId="77" borderId="0" xfId="82" applyNumberFormat="1" applyFont="1" applyFill="1" applyBorder="1" applyAlignment="1">
      <alignment horizontal="right" vertical="center"/>
    </xf>
    <xf numFmtId="190" fontId="38" fillId="77" borderId="0" xfId="82" applyNumberFormat="1" applyFont="1" applyFill="1" applyBorder="1" applyAlignment="1">
      <alignment horizontal="center" vertical="center"/>
    </xf>
    <xf numFmtId="185" fontId="38" fillId="77" borderId="25" xfId="82" applyNumberFormat="1" applyFont="1" applyFill="1" applyBorder="1" applyAlignment="1">
      <alignment horizontal="center" vertical="center"/>
    </xf>
    <xf numFmtId="0" fontId="77" fillId="53" borderId="0" xfId="80" applyFont="1" applyFill="1" applyBorder="1" applyAlignment="1" applyProtection="1">
      <protection locked="0"/>
    </xf>
    <xf numFmtId="0" fontId="68" fillId="73" borderId="28" xfId="81" applyFont="1" applyFill="1" applyBorder="1" applyAlignment="1">
      <alignment horizontal="left" vertical="center"/>
    </xf>
    <xf numFmtId="0" fontId="69" fillId="78" borderId="29" xfId="81" applyFont="1" applyFill="1" applyBorder="1" applyAlignment="1"/>
    <xf numFmtId="0" fontId="69" fillId="78" borderId="30" xfId="82" applyFont="1" applyFill="1" applyBorder="1" applyAlignment="1">
      <alignment horizontal="left" vertical="center" wrapText="1"/>
    </xf>
    <xf numFmtId="0" fontId="69" fillId="73" borderId="29" xfId="81" applyFont="1" applyFill="1" applyBorder="1" applyAlignment="1">
      <alignment horizontal="left" vertical="center"/>
    </xf>
    <xf numFmtId="0" fontId="69" fillId="78" borderId="30" xfId="81" applyFont="1" applyFill="1" applyBorder="1" applyAlignment="1"/>
    <xf numFmtId="0" fontId="37" fillId="53" borderId="0" xfId="82" applyFont="1" applyFill="1" applyBorder="1" applyAlignment="1">
      <alignment horizontal="center" vertical="center" wrapText="1"/>
    </xf>
    <xf numFmtId="0" fontId="40" fillId="76" borderId="0" xfId="80" applyFill="1" applyAlignment="1"/>
    <xf numFmtId="167" fontId="33" fillId="52" borderId="0" xfId="86" applyNumberFormat="1" applyFont="1" applyFill="1" applyBorder="1" applyAlignment="1" applyProtection="1">
      <alignment horizontal="center" vertical="center"/>
    </xf>
    <xf numFmtId="168" fontId="33" fillId="52" borderId="0" xfId="81" applyNumberFormat="1" applyFont="1" applyFill="1" applyBorder="1" applyAlignment="1">
      <alignment horizontal="center" vertical="center"/>
    </xf>
    <xf numFmtId="19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7" fillId="55" borderId="43" xfId="81" applyFont="1" applyFill="1" applyBorder="1" applyAlignment="1">
      <alignment horizontal="center" vertical="center" wrapText="1"/>
    </xf>
    <xf numFmtId="0" fontId="57" fillId="55" borderId="52" xfId="81" applyFont="1" applyFill="1" applyBorder="1" applyAlignment="1">
      <alignment horizontal="center" vertical="center" wrapText="1"/>
    </xf>
    <xf numFmtId="0" fontId="57" fillId="56" borderId="43" xfId="81" applyFont="1" applyFill="1" applyBorder="1" applyAlignment="1">
      <alignment horizontal="center" vertical="center" wrapText="1"/>
    </xf>
    <xf numFmtId="0" fontId="57" fillId="55" borderId="49" xfId="81" applyFont="1" applyFill="1" applyBorder="1" applyAlignment="1">
      <alignment horizontal="center" vertical="center" wrapText="1"/>
    </xf>
    <xf numFmtId="0" fontId="57" fillId="56" borderId="44" xfId="81" applyFont="1" applyFill="1" applyBorder="1" applyAlignment="1">
      <alignment horizontal="center" vertical="center" wrapText="1"/>
    </xf>
    <xf numFmtId="189" fontId="57" fillId="60" borderId="42" xfId="81" applyNumberFormat="1" applyFont="1" applyFill="1" applyBorder="1" applyAlignment="1">
      <alignment horizontal="center" vertical="center" wrapText="1"/>
    </xf>
    <xf numFmtId="0" fontId="79" fillId="64" borderId="28" xfId="81" applyFont="1" applyFill="1" applyBorder="1" applyAlignment="1">
      <alignment horizontal="left" vertical="center"/>
    </xf>
    <xf numFmtId="0" fontId="80" fillId="50" borderId="0" xfId="81" applyFont="1" applyFill="1" applyBorder="1" applyAlignment="1">
      <alignment vertical="center"/>
    </xf>
    <xf numFmtId="2" fontId="82" fillId="51" borderId="0" xfId="81" applyNumberFormat="1" applyFont="1" applyFill="1" applyBorder="1" applyAlignment="1">
      <alignment horizontal="center"/>
    </xf>
    <xf numFmtId="0" fontId="43" fillId="51" borderId="0" xfId="81" applyFont="1" applyFill="1" applyBorder="1" applyAlignment="1">
      <alignment horizontal="center"/>
    </xf>
    <xf numFmtId="0" fontId="27" fillId="67" borderId="0" xfId="81" applyFont="1" applyFill="1" applyBorder="1" applyAlignment="1"/>
    <xf numFmtId="0" fontId="37" fillId="59" borderId="45" xfId="81" applyFont="1" applyFill="1" applyBorder="1" applyAlignment="1">
      <alignment horizontal="center" vertical="center" wrapText="1"/>
    </xf>
    <xf numFmtId="0" fontId="34" fillId="0" borderId="22" xfId="80" applyFont="1" applyBorder="1" applyAlignment="1">
      <alignment horizontal="left" vertical="center" wrapText="1"/>
    </xf>
    <xf numFmtId="0" fontId="77" fillId="0" borderId="0" xfId="80" applyFont="1" applyAlignment="1"/>
    <xf numFmtId="0" fontId="77" fillId="0" borderId="0" xfId="80" applyFont="1" applyBorder="1" applyAlignment="1" applyProtection="1">
      <protection hidden="1"/>
    </xf>
    <xf numFmtId="0" fontId="37" fillId="53" borderId="25" xfId="82" applyFont="1" applyFill="1" applyBorder="1" applyAlignment="1">
      <alignment horizontal="center" vertical="center" wrapText="1"/>
    </xf>
    <xf numFmtId="40" fontId="34" fillId="0" borderId="15" xfId="98" applyFont="1" applyFill="1" applyBorder="1" applyAlignment="1" applyProtection="1">
      <alignment horizontal="center"/>
      <protection hidden="1"/>
    </xf>
    <xf numFmtId="0" fontId="53" fillId="65" borderId="15" xfId="78" applyFont="1" applyFill="1" applyBorder="1" applyAlignment="1">
      <alignment horizontal="center" vertical="center"/>
    </xf>
    <xf numFmtId="0" fontId="5" fillId="51" borderId="15" xfId="78" applyFill="1" applyBorder="1" applyAlignment="1">
      <alignment horizontal="center"/>
    </xf>
    <xf numFmtId="0" fontId="53" fillId="49" borderId="15" xfId="78" applyFont="1" applyFill="1" applyBorder="1" applyAlignment="1">
      <alignment horizontal="center" vertical="center"/>
    </xf>
    <xf numFmtId="0" fontId="5" fillId="81" borderId="15" xfId="78" applyFill="1" applyBorder="1" applyAlignment="1">
      <alignment horizontal="center"/>
    </xf>
    <xf numFmtId="0" fontId="53" fillId="81" borderId="15" xfId="78" applyFont="1" applyFill="1" applyBorder="1" applyAlignment="1">
      <alignment horizontal="center"/>
    </xf>
    <xf numFmtId="0" fontId="76" fillId="82" borderId="15" xfId="0" applyFont="1" applyFill="1" applyBorder="1" applyAlignment="1">
      <alignment horizontal="center"/>
    </xf>
    <xf numFmtId="0" fontId="0" fillId="83" borderId="0" xfId="0" applyFill="1"/>
    <xf numFmtId="0" fontId="53" fillId="82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8" borderId="15" xfId="0" applyFill="1" applyBorder="1"/>
    <xf numFmtId="0" fontId="5" fillId="84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6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protection hidden="1"/>
    </xf>
    <xf numFmtId="0" fontId="26" fillId="50" borderId="0" xfId="81" applyFont="1" applyFill="1" applyBorder="1" applyAlignment="1" applyProtection="1">
      <alignment horizontal="center"/>
      <protection hidden="1"/>
    </xf>
    <xf numFmtId="0" fontId="29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27" fillId="51" borderId="0" xfId="81" applyFont="1" applyFill="1" applyBorder="1" applyAlignment="1" applyProtection="1">
      <protection hidden="1"/>
    </xf>
    <xf numFmtId="0" fontId="26" fillId="46" borderId="0" xfId="81" applyFont="1" applyFill="1" applyBorder="1" applyAlignment="1">
      <alignment horizontal="center" wrapText="1"/>
    </xf>
    <xf numFmtId="0" fontId="50" fillId="0" borderId="0" xfId="80" applyFont="1" applyBorder="1" applyAlignment="1" applyProtection="1">
      <alignment vertical="center"/>
      <protection locked="0"/>
    </xf>
    <xf numFmtId="49" fontId="50" fillId="51" borderId="0" xfId="80" applyNumberFormat="1" applyFont="1" applyFill="1" applyBorder="1" applyAlignment="1">
      <alignment horizontal="right" vertical="center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93" fontId="0" fillId="0" borderId="15" xfId="0" applyNumberFormat="1" applyBorder="1"/>
    <xf numFmtId="0" fontId="37" fillId="0" borderId="0" xfId="81" applyFont="1" applyBorder="1" applyAlignment="1" applyProtection="1">
      <alignment horizontal="center" vertical="center" wrapText="1"/>
      <protection hidden="1"/>
    </xf>
    <xf numFmtId="2" fontId="84" fillId="51" borderId="0" xfId="81" applyNumberFormat="1" applyFont="1" applyFill="1" applyBorder="1" applyAlignment="1">
      <alignment horizontal="center" vertical="center"/>
    </xf>
    <xf numFmtId="188" fontId="43" fillId="86" borderId="15" xfId="110" applyNumberFormat="1" applyFill="1" applyBorder="1" applyAlignment="1">
      <alignment horizontal="center" vertical="center"/>
    </xf>
    <xf numFmtId="0" fontId="5" fillId="86" borderId="17" xfId="0" applyFont="1" applyFill="1" applyBorder="1" applyAlignment="1">
      <alignment horizontal="center" vertical="center"/>
    </xf>
    <xf numFmtId="0" fontId="0" fillId="86" borderId="0" xfId="0" applyFill="1" applyAlignment="1">
      <alignment horizontal="center" vertical="center" wrapText="1"/>
    </xf>
    <xf numFmtId="0" fontId="0" fillId="81" borderId="15" xfId="0" applyFill="1" applyBorder="1" applyAlignment="1">
      <alignment horizontal="center"/>
    </xf>
    <xf numFmtId="0" fontId="76" fillId="50" borderId="0" xfId="81" applyFont="1" applyFill="1" applyBorder="1" applyAlignment="1">
      <alignment horizontal="right" vertical="center"/>
    </xf>
    <xf numFmtId="0" fontId="76" fillId="50" borderId="0" xfId="81" applyFont="1" applyFill="1" applyBorder="1" applyAlignment="1">
      <alignment horizontal="center" vertical="center"/>
    </xf>
    <xf numFmtId="194" fontId="0" fillId="0" borderId="15" xfId="0" applyNumberFormat="1" applyBorder="1"/>
    <xf numFmtId="0" fontId="0" fillId="0" borderId="15" xfId="0" applyBorder="1"/>
    <xf numFmtId="0" fontId="86" fillId="50" borderId="0" xfId="81" applyFont="1" applyFill="1" applyBorder="1" applyAlignment="1">
      <alignment horizontal="left"/>
    </xf>
    <xf numFmtId="0" fontId="40" fillId="51" borderId="0" xfId="80" applyFill="1" applyAlignment="1"/>
    <xf numFmtId="0" fontId="34" fillId="51" borderId="0" xfId="80" applyFont="1" applyFill="1" applyBorder="1" applyAlignment="1"/>
    <xf numFmtId="0" fontId="87" fillId="50" borderId="0" xfId="81" applyFont="1" applyFill="1" applyBorder="1" applyAlignment="1">
      <alignment horizontal="left" vertical="center"/>
    </xf>
    <xf numFmtId="0" fontId="26" fillId="51" borderId="0" xfId="80" applyFont="1" applyFill="1" applyAlignment="1">
      <alignment horizontal="left" vertical="center" indent="1"/>
    </xf>
    <xf numFmtId="0" fontId="26" fillId="51" borderId="0" xfId="80" applyFont="1" applyFill="1" applyAlignment="1">
      <alignment vertical="center"/>
    </xf>
    <xf numFmtId="0" fontId="86" fillId="50" borderId="0" xfId="81" applyFont="1" applyFill="1" applyBorder="1" applyAlignment="1">
      <alignment horizontal="left" vertical="center"/>
    </xf>
    <xf numFmtId="0" fontId="26" fillId="51" borderId="0" xfId="81" applyFont="1" applyFill="1" applyAlignment="1">
      <alignment vertical="center"/>
    </xf>
    <xf numFmtId="174" fontId="31" fillId="51" borderId="0" xfId="81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33" fillId="0" borderId="0" xfId="81" applyFont="1" applyBorder="1" applyAlignment="1" applyProtection="1">
      <alignment horizontal="center" vertical="center" wrapText="1"/>
      <protection hidden="1"/>
    </xf>
    <xf numFmtId="0" fontId="33" fillId="0" borderId="17" xfId="81" applyFont="1" applyBorder="1" applyAlignment="1" applyProtection="1">
      <alignment horizontal="center" vertical="center" wrapText="1"/>
      <protection hidden="1"/>
    </xf>
    <xf numFmtId="0" fontId="33" fillId="0" borderId="19" xfId="81" applyFont="1" applyBorder="1" applyAlignment="1" applyProtection="1">
      <alignment horizontal="center" vertical="center" wrapText="1"/>
      <protection hidden="1"/>
    </xf>
    <xf numFmtId="0" fontId="33" fillId="0" borderId="39" xfId="81" applyFont="1" applyBorder="1" applyAlignment="1" applyProtection="1">
      <alignment horizontal="center" vertical="center" wrapText="1"/>
      <protection hidden="1"/>
    </xf>
    <xf numFmtId="0" fontId="33" fillId="0" borderId="18" xfId="81" applyFont="1" applyBorder="1" applyAlignment="1" applyProtection="1">
      <alignment horizontal="center" vertical="center" wrapText="1"/>
      <protection hidden="1"/>
    </xf>
    <xf numFmtId="0" fontId="88" fillId="51" borderId="0" xfId="0" applyFont="1" applyFill="1"/>
    <xf numFmtId="1" fontId="54" fillId="88" borderId="0" xfId="81" applyNumberFormat="1" applyFont="1" applyFill="1" applyBorder="1" applyAlignment="1">
      <alignment horizontal="center" vertical="center"/>
    </xf>
    <xf numFmtId="181" fontId="43" fillId="89" borderId="0" xfId="81" applyNumberFormat="1" applyFont="1" applyFill="1" applyBorder="1" applyAlignment="1">
      <alignment horizontal="center" vertical="center"/>
    </xf>
    <xf numFmtId="0" fontId="37" fillId="90" borderId="17" xfId="81" applyFont="1" applyFill="1" applyBorder="1" applyAlignment="1" applyProtection="1">
      <alignment horizontal="center" vertical="center" wrapText="1"/>
      <protection hidden="1"/>
    </xf>
    <xf numFmtId="0" fontId="37" fillId="90" borderId="18" xfId="81" applyFont="1" applyFill="1" applyBorder="1" applyAlignment="1" applyProtection="1">
      <alignment horizontal="center" vertical="center" wrapText="1"/>
      <protection hidden="1"/>
    </xf>
    <xf numFmtId="0" fontId="25" fillId="90" borderId="0" xfId="81" applyFont="1" applyFill="1" applyBorder="1" applyAlignment="1" applyProtection="1">
      <alignment horizontal="center" vertical="center" wrapText="1"/>
      <protection hidden="1"/>
    </xf>
    <xf numFmtId="0" fontId="43" fillId="0" borderId="21" xfId="81" applyFont="1" applyBorder="1" applyAlignment="1" applyProtection="1">
      <alignment vertical="center" wrapText="1"/>
      <protection hidden="1"/>
    </xf>
    <xf numFmtId="0" fontId="43" fillId="0" borderId="31" xfId="81" applyFont="1" applyBorder="1" applyAlignment="1" applyProtection="1">
      <alignment vertical="center" wrapText="1"/>
      <protection hidden="1"/>
    </xf>
    <xf numFmtId="168" fontId="0" fillId="0" borderId="15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4" fontId="33" fillId="0" borderId="15" xfId="99" applyNumberFormat="1" applyFont="1" applyFill="1" applyBorder="1" applyAlignment="1" applyProtection="1">
      <alignment horizontal="right"/>
      <protection hidden="1"/>
    </xf>
    <xf numFmtId="4" fontId="33" fillId="91" borderId="15" xfId="81" applyNumberFormat="1" applyFont="1" applyFill="1" applyBorder="1" applyAlignment="1" applyProtection="1">
      <protection hidden="1"/>
    </xf>
    <xf numFmtId="40" fontId="33" fillId="0" borderId="54" xfId="99" applyFont="1" applyFill="1" applyBorder="1" applyAlignment="1" applyProtection="1">
      <alignment horizontal="center"/>
      <protection hidden="1"/>
    </xf>
    <xf numFmtId="0" fontId="37" fillId="56" borderId="56" xfId="81" applyFont="1" applyFill="1" applyBorder="1" applyAlignment="1">
      <alignment horizontal="center" vertical="center" wrapText="1"/>
    </xf>
    <xf numFmtId="171" fontId="33" fillId="51" borderId="54" xfId="81" applyNumberFormat="1" applyFont="1" applyFill="1" applyBorder="1" applyAlignment="1" applyProtection="1">
      <protection hidden="1"/>
    </xf>
    <xf numFmtId="1" fontId="67" fillId="0" borderId="31" xfId="81" applyNumberFormat="1" applyFont="1" applyBorder="1" applyAlignment="1" applyProtection="1">
      <alignment horizontal="center"/>
      <protection hidden="1"/>
    </xf>
    <xf numFmtId="0" fontId="89" fillId="0" borderId="0" xfId="80" applyFont="1" applyBorder="1" applyAlignment="1" applyProtection="1">
      <protection hidden="1"/>
    </xf>
    <xf numFmtId="0" fontId="25" fillId="0" borderId="0" xfId="0" applyFont="1" applyProtection="1">
      <protection hidden="1"/>
    </xf>
    <xf numFmtId="1" fontId="0" fillId="0" borderId="0" xfId="0" applyNumberFormat="1" applyProtection="1">
      <protection hidden="1"/>
    </xf>
    <xf numFmtId="0" fontId="76" fillId="92" borderId="0" xfId="0" applyFont="1" applyFill="1" applyProtection="1">
      <protection hidden="1"/>
    </xf>
    <xf numFmtId="196" fontId="0" fillId="51" borderId="0" xfId="0" applyNumberFormat="1" applyFill="1"/>
    <xf numFmtId="0" fontId="25" fillId="0" borderId="0" xfId="0" applyFont="1" applyAlignment="1" applyProtection="1">
      <alignment horizontal="center" vertical="center" wrapText="1"/>
      <protection hidden="1"/>
    </xf>
    <xf numFmtId="0" fontId="0" fillId="51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hidden="1"/>
    </xf>
    <xf numFmtId="2" fontId="0" fillId="51" borderId="0" xfId="0" applyNumberFormat="1" applyFill="1" applyProtection="1">
      <protection hidden="1"/>
    </xf>
    <xf numFmtId="0" fontId="56" fillId="50" borderId="0" xfId="81" applyFont="1" applyFill="1" applyBorder="1" applyAlignment="1">
      <alignment horizontal="left" vertical="center" wrapText="1"/>
    </xf>
    <xf numFmtId="0" fontId="26" fillId="50" borderId="0" xfId="81" applyFont="1" applyFill="1" applyBorder="1" applyAlignment="1">
      <alignment vertical="center"/>
    </xf>
    <xf numFmtId="0" fontId="25" fillId="50" borderId="0" xfId="81" applyFont="1" applyFill="1" applyBorder="1" applyAlignment="1">
      <alignment horizontal="right" vertical="center"/>
    </xf>
    <xf numFmtId="0" fontId="79" fillId="64" borderId="29" xfId="81" applyFont="1" applyFill="1" applyBorder="1" applyAlignment="1">
      <alignment horizontal="left" vertical="center"/>
    </xf>
    <xf numFmtId="0" fontId="79" fillId="64" borderId="30" xfId="81" applyFont="1" applyFill="1" applyBorder="1" applyAlignment="1">
      <alignment horizontal="left" vertical="center"/>
    </xf>
    <xf numFmtId="0" fontId="0" fillId="51" borderId="79" xfId="0" applyFill="1" applyBorder="1"/>
    <xf numFmtId="1" fontId="0" fillId="93" borderId="0" xfId="81" applyNumberFormat="1" applyFont="1" applyFill="1" applyBorder="1" applyAlignment="1">
      <alignment horizontal="right" vertical="center"/>
    </xf>
    <xf numFmtId="0" fontId="0" fillId="93" borderId="0" xfId="81" applyFont="1" applyFill="1" applyBorder="1" applyAlignment="1">
      <alignment horizontal="center" vertical="center"/>
    </xf>
    <xf numFmtId="1" fontId="25" fillId="93" borderId="0" xfId="81" applyNumberFormat="1" applyFont="1" applyFill="1" applyBorder="1" applyAlignment="1">
      <alignment horizontal="right" vertical="center"/>
    </xf>
    <xf numFmtId="186" fontId="43" fillId="77" borderId="0" xfId="82" applyNumberFormat="1" applyFont="1" applyFill="1" applyBorder="1" applyAlignment="1">
      <alignment horizontal="right" vertical="center"/>
    </xf>
    <xf numFmtId="0" fontId="25" fillId="93" borderId="70" xfId="81" applyFont="1" applyFill="1" applyBorder="1" applyAlignment="1">
      <alignment horizontal="right" vertical="center"/>
    </xf>
    <xf numFmtId="0" fontId="25" fillId="93" borderId="71" xfId="81" applyFont="1" applyFill="1" applyBorder="1" applyAlignment="1">
      <alignment horizontal="right" vertical="center"/>
    </xf>
    <xf numFmtId="186" fontId="0" fillId="77" borderId="71" xfId="82" applyNumberFormat="1" applyFont="1" applyFill="1" applyBorder="1" applyAlignment="1">
      <alignment horizontal="right" vertical="center"/>
    </xf>
    <xf numFmtId="3" fontId="25" fillId="77" borderId="71" xfId="82" applyNumberFormat="1" applyFont="1" applyFill="1" applyBorder="1" applyAlignment="1">
      <alignment horizontal="center" vertical="center"/>
    </xf>
    <xf numFmtId="167" fontId="25" fillId="77" borderId="72" xfId="82" applyNumberFormat="1" applyFont="1" applyFill="1" applyBorder="1" applyAlignment="1">
      <alignment horizontal="center" vertical="center"/>
    </xf>
    <xf numFmtId="1" fontId="90" fillId="93" borderId="82" xfId="81" applyNumberFormat="1" applyFont="1" applyFill="1" applyBorder="1" applyAlignment="1">
      <alignment horizontal="right" vertical="center"/>
    </xf>
    <xf numFmtId="1" fontId="25" fillId="93" borderId="82" xfId="81" applyNumberFormat="1" applyFont="1" applyFill="1" applyBorder="1" applyAlignment="1">
      <alignment horizontal="right" vertical="center"/>
    </xf>
    <xf numFmtId="191" fontId="25" fillId="77" borderId="81" xfId="82" applyNumberFormat="1" applyFont="1" applyFill="1" applyBorder="1" applyAlignment="1">
      <alignment horizontal="center" vertical="center"/>
    </xf>
    <xf numFmtId="0" fontId="26" fillId="51" borderId="82" xfId="81" applyFont="1" applyFill="1" applyBorder="1" applyAlignment="1">
      <alignment vertical="center"/>
    </xf>
    <xf numFmtId="167" fontId="25" fillId="51" borderId="81" xfId="82" applyNumberFormat="1" applyFont="1" applyFill="1" applyBorder="1" applyAlignment="1">
      <alignment horizontal="center" vertical="center"/>
    </xf>
    <xf numFmtId="1" fontId="90" fillId="50" borderId="82" xfId="81" applyNumberFormat="1" applyFont="1" applyFill="1" applyBorder="1" applyAlignment="1">
      <alignment horizontal="right" vertical="center"/>
    </xf>
    <xf numFmtId="0" fontId="26" fillId="51" borderId="73" xfId="81" applyFont="1" applyFill="1" applyBorder="1" applyAlignment="1">
      <alignment vertical="center"/>
    </xf>
    <xf numFmtId="1" fontId="25" fillId="50" borderId="74" xfId="81" applyNumberFormat="1" applyFont="1" applyFill="1" applyBorder="1" applyAlignment="1">
      <alignment horizontal="right" vertical="center"/>
    </xf>
    <xf numFmtId="186" fontId="43" fillId="51" borderId="74" xfId="82" applyNumberFormat="1" applyFont="1" applyFill="1" applyBorder="1" applyAlignment="1">
      <alignment horizontal="right" vertical="center"/>
    </xf>
    <xf numFmtId="191" fontId="25" fillId="51" borderId="75" xfId="82" applyNumberFormat="1" applyFont="1" applyFill="1" applyBorder="1" applyAlignment="1">
      <alignment horizontal="center" vertical="center"/>
    </xf>
    <xf numFmtId="37" fontId="57" fillId="77" borderId="0" xfId="81" applyNumberFormat="1" applyFont="1" applyFill="1" applyBorder="1" applyAlignment="1">
      <alignment horizontal="center" vertical="center"/>
    </xf>
    <xf numFmtId="171" fontId="25" fillId="77" borderId="25" xfId="82" applyNumberFormat="1" applyFont="1" applyFill="1" applyBorder="1" applyAlignment="1">
      <alignment horizontal="center" vertical="center"/>
    </xf>
    <xf numFmtId="37" fontId="57" fillId="51" borderId="74" xfId="81" applyNumberFormat="1" applyFont="1" applyFill="1" applyBorder="1" applyAlignment="1">
      <alignment horizontal="center" vertical="center"/>
    </xf>
    <xf numFmtId="171" fontId="25" fillId="51" borderId="80" xfId="82" applyNumberFormat="1" applyFont="1" applyFill="1" applyBorder="1" applyAlignment="1">
      <alignment horizontal="center" vertical="center"/>
    </xf>
    <xf numFmtId="0" fontId="57" fillId="56" borderId="60" xfId="81" applyFont="1" applyFill="1" applyBorder="1" applyAlignment="1">
      <alignment horizontal="center" vertical="center" wrapText="1"/>
    </xf>
    <xf numFmtId="197" fontId="43" fillId="52" borderId="0" xfId="110" applyNumberFormat="1" applyFill="1" applyBorder="1" applyAlignment="1">
      <alignment horizontal="center" vertical="center"/>
    </xf>
    <xf numFmtId="0" fontId="0" fillId="51" borderId="0" xfId="81" applyFont="1" applyFill="1" applyBorder="1" applyAlignment="1">
      <alignment vertical="center"/>
    </xf>
    <xf numFmtId="0" fontId="25" fillId="51" borderId="0" xfId="0" applyFont="1" applyFill="1" applyAlignment="1">
      <alignment horizontal="center"/>
    </xf>
    <xf numFmtId="3" fontId="33" fillId="50" borderId="0" xfId="110" applyNumberFormat="1" applyFont="1" applyFill="1" applyBorder="1" applyAlignment="1">
      <alignment horizontal="center" vertical="center"/>
    </xf>
    <xf numFmtId="3" fontId="0" fillId="51" borderId="0" xfId="0" applyNumberFormat="1" applyFill="1" applyAlignment="1">
      <alignment horizontal="center"/>
    </xf>
    <xf numFmtId="181" fontId="33" fillId="50" borderId="0" xfId="81" applyNumberFormat="1" applyFont="1" applyFill="1" applyBorder="1" applyAlignment="1">
      <alignment horizontal="center" vertical="center"/>
    </xf>
    <xf numFmtId="0" fontId="0" fillId="51" borderId="0" xfId="0" applyFill="1" applyAlignment="1">
      <alignment horizontal="left" vertical="center"/>
    </xf>
    <xf numFmtId="0" fontId="0" fillId="51" borderId="0" xfId="0" applyFill="1" applyAlignment="1">
      <alignment horizontal="left"/>
    </xf>
    <xf numFmtId="2" fontId="0" fillId="51" borderId="0" xfId="110" applyNumberFormat="1" applyFont="1" applyFill="1" applyAlignment="1">
      <alignment horizontal="left"/>
    </xf>
    <xf numFmtId="2" fontId="0" fillId="51" borderId="0" xfId="110" applyNumberFormat="1" applyFont="1" applyFill="1" applyAlignment="1">
      <alignment horizontal="left" vertical="center"/>
    </xf>
    <xf numFmtId="2" fontId="0" fillId="49" borderId="0" xfId="110" applyNumberFormat="1" applyFont="1" applyFill="1" applyAlignment="1">
      <alignment horizontal="center" vertical="center"/>
    </xf>
    <xf numFmtId="1" fontId="90" fillId="93" borderId="83" xfId="81" applyNumberFormat="1" applyFont="1" applyFill="1" applyBorder="1" applyAlignment="1">
      <alignment horizontal="right" vertical="center"/>
    </xf>
    <xf numFmtId="1" fontId="90" fillId="50" borderId="79" xfId="81" applyNumberFormat="1" applyFont="1" applyFill="1" applyBorder="1" applyAlignment="1">
      <alignment horizontal="right" vertical="center"/>
    </xf>
    <xf numFmtId="0" fontId="26" fillId="93" borderId="0" xfId="81" applyFont="1" applyFill="1" applyBorder="1" applyAlignment="1">
      <alignment vertical="center"/>
    </xf>
    <xf numFmtId="0" fontId="26" fillId="93" borderId="81" xfId="81" applyFont="1" applyFill="1" applyBorder="1" applyAlignment="1">
      <alignment vertical="center"/>
    </xf>
    <xf numFmtId="0" fontId="0" fillId="77" borderId="0" xfId="0" applyFill="1" applyAlignment="1">
      <alignment vertical="center"/>
    </xf>
    <xf numFmtId="0" fontId="26" fillId="51" borderId="81" xfId="81" applyFont="1" applyFill="1" applyBorder="1" applyAlignment="1">
      <alignment vertical="center"/>
    </xf>
    <xf numFmtId="0" fontId="0" fillId="51" borderId="74" xfId="0" applyFill="1" applyBorder="1" applyAlignment="1">
      <alignment vertical="center"/>
    </xf>
    <xf numFmtId="0" fontId="33" fillId="49" borderId="0" xfId="0" applyFont="1" applyFill="1" applyAlignment="1" applyProtection="1">
      <alignment horizontal="center" vertical="center"/>
      <protection hidden="1"/>
    </xf>
    <xf numFmtId="0" fontId="43" fillId="0" borderId="0" xfId="81" applyFont="1" applyBorder="1" applyAlignment="1">
      <alignment vertical="center"/>
    </xf>
    <xf numFmtId="0" fontId="56" fillId="95" borderId="0" xfId="81" applyFont="1" applyFill="1" applyBorder="1" applyAlignment="1">
      <alignment vertical="center"/>
    </xf>
    <xf numFmtId="0" fontId="43" fillId="95" borderId="0" xfId="81" applyFont="1" applyFill="1" applyBorder="1" applyAlignment="1">
      <alignment vertical="center"/>
    </xf>
    <xf numFmtId="0" fontId="43" fillId="65" borderId="0" xfId="0" applyFont="1" applyFill="1" applyAlignment="1">
      <alignment vertical="center"/>
    </xf>
    <xf numFmtId="2" fontId="0" fillId="49" borderId="0" xfId="0" applyNumberFormat="1" applyFill="1" applyAlignment="1">
      <alignment horizontal="center" vertical="center"/>
    </xf>
    <xf numFmtId="0" fontId="37" fillId="55" borderId="44" xfId="81" applyFont="1" applyFill="1" applyBorder="1" applyAlignment="1">
      <alignment horizontal="center" vertical="center" wrapText="1"/>
    </xf>
    <xf numFmtId="0" fontId="37" fillId="55" borderId="49" xfId="81" applyFont="1" applyFill="1" applyBorder="1" applyAlignment="1">
      <alignment horizontal="center" vertical="center" wrapText="1"/>
    </xf>
    <xf numFmtId="0" fontId="57" fillId="56" borderId="45" xfId="81" applyFont="1" applyFill="1" applyBorder="1" applyAlignment="1">
      <alignment horizontal="center" vertical="center" wrapText="1"/>
    </xf>
    <xf numFmtId="0" fontId="37" fillId="56" borderId="54" xfId="81" applyFont="1" applyFill="1" applyBorder="1" applyAlignment="1">
      <alignment horizontal="center" vertical="center" wrapText="1"/>
    </xf>
    <xf numFmtId="0" fontId="0" fillId="96" borderId="0" xfId="0" applyFill="1"/>
    <xf numFmtId="0" fontId="26" fillId="96" borderId="0" xfId="81" applyFont="1" applyFill="1" applyBorder="1" applyAlignment="1"/>
    <xf numFmtId="0" fontId="0" fillId="51" borderId="0" xfId="0" applyFill="1" applyAlignment="1">
      <alignment horizontal="center"/>
    </xf>
    <xf numFmtId="0" fontId="0" fillId="50" borderId="0" xfId="81" applyFont="1" applyFill="1" applyBorder="1" applyAlignment="1">
      <alignment horizontal="center"/>
    </xf>
    <xf numFmtId="0" fontId="26" fillId="50" borderId="0" xfId="81" applyFont="1" applyFill="1" applyBorder="1" applyAlignment="1">
      <alignment horizontal="center"/>
    </xf>
    <xf numFmtId="2" fontId="26" fillId="50" borderId="0" xfId="81" applyNumberFormat="1" applyFont="1" applyFill="1" applyBorder="1" applyAlignment="1">
      <alignment horizontal="center"/>
    </xf>
    <xf numFmtId="0" fontId="0" fillId="46" borderId="0" xfId="0" applyFill="1" applyAlignment="1">
      <alignment horizontal="center"/>
    </xf>
    <xf numFmtId="2" fontId="33" fillId="51" borderId="31" xfId="81" applyNumberFormat="1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 applyProtection="1">
      <alignment horizontal="center"/>
      <protection locked="0"/>
    </xf>
    <xf numFmtId="40" fontId="33" fillId="0" borderId="31" xfId="99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>
      <alignment horizontal="center"/>
    </xf>
    <xf numFmtId="198" fontId="0" fillId="51" borderId="0" xfId="0" applyNumberFormat="1" applyFill="1" applyProtection="1">
      <protection hidden="1"/>
    </xf>
    <xf numFmtId="199" fontId="0" fillId="51" borderId="0" xfId="0" applyNumberFormat="1" applyFill="1" applyProtection="1">
      <protection hidden="1"/>
    </xf>
    <xf numFmtId="200" fontId="0" fillId="51" borderId="0" xfId="0" applyNumberFormat="1" applyFill="1" applyProtection="1">
      <protection hidden="1"/>
    </xf>
    <xf numFmtId="172" fontId="43" fillId="0" borderId="15" xfId="110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81" fillId="92" borderId="0" xfId="0" applyFont="1" applyFill="1" applyAlignment="1">
      <alignment horizontal="center"/>
    </xf>
    <xf numFmtId="0" fontId="76" fillId="0" borderId="0" xfId="0" applyFont="1" applyProtection="1">
      <protection hidden="1"/>
    </xf>
    <xf numFmtId="2" fontId="26" fillId="92" borderId="0" xfId="0" applyNumberFormat="1" applyFont="1" applyFill="1" applyAlignment="1" applyProtection="1">
      <alignment horizontal="center"/>
      <protection hidden="1"/>
    </xf>
    <xf numFmtId="1" fontId="26" fillId="92" borderId="0" xfId="0" applyNumberFormat="1" applyFont="1" applyFill="1" applyAlignment="1" applyProtection="1">
      <alignment horizontal="center"/>
      <protection hidden="1"/>
    </xf>
    <xf numFmtId="168" fontId="26" fillId="92" borderId="0" xfId="0" applyNumberFormat="1" applyFont="1" applyFill="1" applyAlignment="1" applyProtection="1">
      <alignment horizontal="center"/>
      <protection hidden="1"/>
    </xf>
    <xf numFmtId="0" fontId="26" fillId="92" borderId="0" xfId="0" applyFont="1" applyFill="1" applyProtection="1">
      <protection hidden="1"/>
    </xf>
    <xf numFmtId="182" fontId="26" fillId="92" borderId="0" xfId="110" applyNumberFormat="1" applyFont="1" applyFill="1" applyBorder="1" applyAlignment="1" applyProtection="1">
      <alignment horizontal="right"/>
      <protection hidden="1"/>
    </xf>
    <xf numFmtId="1" fontId="60" fillId="92" borderId="0" xfId="0" applyNumberFormat="1" applyFont="1" applyFill="1" applyAlignment="1" applyProtection="1">
      <alignment horizontal="left" vertical="center"/>
      <protection hidden="1"/>
    </xf>
    <xf numFmtId="0" fontId="0" fillId="92" borderId="0" xfId="0" applyFill="1" applyProtection="1">
      <protection hidden="1"/>
    </xf>
    <xf numFmtId="0" fontId="34" fillId="97" borderId="15" xfId="80" applyFont="1" applyFill="1" applyBorder="1" applyAlignment="1">
      <alignment horizontal="center" vertical="center" wrapText="1"/>
    </xf>
    <xf numFmtId="0" fontId="92" fillId="97" borderId="15" xfId="80" applyFont="1" applyFill="1" applyBorder="1" applyAlignment="1">
      <alignment horizontal="center" vertical="center" wrapText="1"/>
    </xf>
    <xf numFmtId="0" fontId="38" fillId="0" borderId="0" xfId="80" applyFont="1" applyAlignment="1">
      <alignment horizontal="center"/>
    </xf>
    <xf numFmtId="181" fontId="34" fillId="0" borderId="15" xfId="81" applyNumberFormat="1" applyFont="1" applyBorder="1" applyAlignment="1">
      <alignment horizontal="center" vertical="center"/>
    </xf>
    <xf numFmtId="186" fontId="38" fillId="53" borderId="0" xfId="82" applyNumberFormat="1" applyFont="1" applyFill="1" applyBorder="1" applyAlignment="1">
      <alignment horizontal="right" vertical="center"/>
    </xf>
    <xf numFmtId="190" fontId="38" fillId="53" borderId="0" xfId="82" applyNumberFormat="1" applyFont="1" applyFill="1" applyBorder="1" applyAlignment="1">
      <alignment horizontal="center" vertical="center"/>
    </xf>
    <xf numFmtId="185" fontId="38" fillId="53" borderId="25" xfId="82" applyNumberFormat="1" applyFont="1" applyFill="1" applyBorder="1" applyAlignment="1">
      <alignment horizontal="center" vertical="center"/>
    </xf>
    <xf numFmtId="201" fontId="38" fillId="53" borderId="25" xfId="82" applyNumberFormat="1" applyFont="1" applyFill="1" applyBorder="1" applyAlignment="1">
      <alignment horizontal="center" vertical="center"/>
    </xf>
    <xf numFmtId="20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94" fillId="53" borderId="24" xfId="80" applyFont="1" applyFill="1" applyBorder="1" applyAlignment="1">
      <alignment horizontal="left" vertical="center"/>
    </xf>
    <xf numFmtId="0" fontId="92" fillId="77" borderId="24" xfId="80" applyFont="1" applyFill="1" applyBorder="1" applyAlignment="1">
      <alignment horizontal="left" vertical="center"/>
    </xf>
    <xf numFmtId="0" fontId="92" fillId="53" borderId="24" xfId="80" applyFont="1" applyFill="1" applyBorder="1" applyAlignment="1">
      <alignment horizontal="left" vertical="center"/>
    </xf>
    <xf numFmtId="2" fontId="67" fillId="52" borderId="15" xfId="81" applyNumberFormat="1" applyFont="1" applyFill="1" applyBorder="1" applyAlignment="1" applyProtection="1">
      <alignment horizontal="center"/>
      <protection hidden="1"/>
    </xf>
    <xf numFmtId="0" fontId="38" fillId="0" borderId="31" xfId="80" applyFont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2" fontId="95" fillId="0" borderId="0" xfId="0" applyNumberFormat="1" applyFont="1" applyAlignment="1">
      <alignment vertical="center"/>
    </xf>
    <xf numFmtId="0" fontId="83" fillId="0" borderId="0" xfId="80" applyFont="1" applyAlignment="1"/>
    <xf numFmtId="0" fontId="38" fillId="0" borderId="17" xfId="80" applyFont="1" applyBorder="1" applyAlignment="1">
      <alignment horizontal="center" vertical="center" wrapText="1"/>
    </xf>
    <xf numFmtId="0" fontId="33" fillId="0" borderId="0" xfId="80" applyFont="1" applyAlignment="1"/>
    <xf numFmtId="0" fontId="33" fillId="0" borderId="24" xfId="80" applyFont="1" applyBorder="1" applyAlignment="1">
      <alignment horizontal="center" wrapText="1"/>
    </xf>
    <xf numFmtId="0" fontId="38" fillId="0" borderId="15" xfId="80" applyFont="1" applyBorder="1" applyAlignment="1">
      <alignment horizontal="center" vertical="center" wrapText="1"/>
    </xf>
    <xf numFmtId="0" fontId="58" fillId="0" borderId="15" xfId="80" applyFont="1" applyBorder="1" applyAlignment="1">
      <alignment horizontal="center" vertical="center" wrapText="1"/>
    </xf>
    <xf numFmtId="0" fontId="31" fillId="51" borderId="0" xfId="81" applyFont="1" applyFill="1" applyBorder="1" applyAlignment="1"/>
    <xf numFmtId="173" fontId="26" fillId="51" borderId="0" xfId="81" applyNumberFormat="1" applyFont="1" applyFill="1" applyBorder="1" applyAlignment="1"/>
    <xf numFmtId="195" fontId="26" fillId="51" borderId="0" xfId="81" applyNumberFormat="1" applyFont="1" applyFill="1" applyBorder="1" applyAlignment="1">
      <alignment horizontal="center"/>
    </xf>
    <xf numFmtId="171" fontId="26" fillId="51" borderId="0" xfId="81" applyNumberFormat="1" applyFont="1" applyFill="1" applyBorder="1" applyAlignment="1">
      <alignment horizontal="center"/>
    </xf>
    <xf numFmtId="0" fontId="50" fillId="51" borderId="0" xfId="80" applyFont="1" applyFill="1" applyBorder="1" applyAlignment="1" applyProtection="1">
      <alignment vertical="center"/>
      <protection locked="0"/>
    </xf>
    <xf numFmtId="49" fontId="30" fillId="51" borderId="0" xfId="80" applyNumberFormat="1" applyFont="1" applyFill="1" applyBorder="1" applyAlignment="1">
      <alignment horizontal="left" vertical="center"/>
    </xf>
    <xf numFmtId="0" fontId="43" fillId="51" borderId="0" xfId="81" applyFont="1" applyFill="1" applyBorder="1" applyAlignment="1"/>
    <xf numFmtId="0" fontId="43" fillId="51" borderId="0" xfId="0" applyFont="1" applyFill="1"/>
    <xf numFmtId="0" fontId="43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alignment horizontal="center"/>
      <protection hidden="1"/>
    </xf>
    <xf numFmtId="167" fontId="26" fillId="51" borderId="0" xfId="81" applyNumberFormat="1" applyFont="1" applyFill="1" applyBorder="1" applyAlignment="1" applyProtection="1">
      <alignment horizontal="center"/>
      <protection hidden="1"/>
    </xf>
    <xf numFmtId="0" fontId="33" fillId="51" borderId="15" xfId="81" applyFont="1" applyFill="1" applyBorder="1" applyAlignment="1" applyProtection="1">
      <alignment horizontal="center" vertical="center" wrapText="1"/>
      <protection hidden="1"/>
    </xf>
    <xf numFmtId="0" fontId="37" fillId="80" borderId="18" xfId="81" applyFont="1" applyFill="1" applyBorder="1" applyAlignment="1" applyProtection="1">
      <alignment horizontal="center" vertical="center" wrapText="1"/>
      <protection hidden="1"/>
    </xf>
    <xf numFmtId="0" fontId="57" fillId="80" borderId="18" xfId="81" applyFont="1" applyFill="1" applyBorder="1" applyAlignment="1" applyProtection="1">
      <alignment horizontal="center" vertical="center" wrapText="1"/>
      <protection hidden="1"/>
    </xf>
    <xf numFmtId="168" fontId="37" fillId="80" borderId="18" xfId="81" applyNumberFormat="1" applyFont="1" applyFill="1" applyBorder="1" applyAlignment="1" applyProtection="1">
      <alignment horizontal="center" vertical="center" wrapText="1"/>
      <protection hidden="1"/>
    </xf>
    <xf numFmtId="0" fontId="37" fillId="80" borderId="17" xfId="81" applyFont="1" applyFill="1" applyBorder="1" applyAlignment="1" applyProtection="1">
      <alignment horizontal="center" vertical="center" wrapText="1"/>
      <protection hidden="1"/>
    </xf>
    <xf numFmtId="0" fontId="25" fillId="98" borderId="15" xfId="0" applyFont="1" applyFill="1" applyBorder="1" applyAlignment="1" applyProtection="1">
      <alignment horizontal="center" vertical="center" wrapText="1"/>
      <protection locked="0"/>
    </xf>
    <xf numFmtId="0" fontId="37" fillId="51" borderId="0" xfId="81" applyFont="1" applyFill="1" applyBorder="1" applyAlignment="1" applyProtection="1">
      <alignment horizontal="center" vertical="center" wrapText="1"/>
      <protection hidden="1"/>
    </xf>
    <xf numFmtId="0" fontId="33" fillId="51" borderId="0" xfId="81" applyFont="1" applyFill="1" applyBorder="1" applyAlignment="1" applyProtection="1">
      <alignment horizontal="center" vertical="center" wrapText="1"/>
      <protection hidden="1"/>
    </xf>
    <xf numFmtId="0" fontId="37" fillId="51" borderId="25" xfId="82" applyFont="1" applyFill="1" applyBorder="1" applyAlignment="1">
      <alignment horizontal="center" vertical="center" wrapText="1"/>
    </xf>
    <xf numFmtId="0" fontId="56" fillId="50" borderId="24" xfId="81" applyFont="1" applyFill="1" applyBorder="1" applyAlignment="1">
      <alignment horizontal="left" vertical="center" wrapText="1"/>
    </xf>
    <xf numFmtId="0" fontId="56" fillId="50" borderId="0" xfId="81" applyFont="1" applyFill="1" applyBorder="1" applyAlignment="1">
      <alignment horizontal="left" vertical="center" wrapText="1"/>
    </xf>
    <xf numFmtId="0" fontId="56" fillId="50" borderId="25" xfId="81" applyFont="1" applyFill="1" applyBorder="1" applyAlignment="1">
      <alignment horizontal="left" vertical="center" wrapText="1"/>
    </xf>
    <xf numFmtId="0" fontId="56" fillId="50" borderId="23" xfId="81" applyFont="1" applyFill="1" applyBorder="1" applyAlignment="1">
      <alignment horizontal="left" vertical="center" wrapText="1"/>
    </xf>
    <xf numFmtId="0" fontId="56" fillId="50" borderId="26" xfId="81" applyFont="1" applyFill="1" applyBorder="1" applyAlignment="1">
      <alignment horizontal="left" vertical="center" wrapText="1"/>
    </xf>
    <xf numFmtId="0" fontId="56" fillId="50" borderId="27" xfId="81" applyFont="1" applyFill="1" applyBorder="1" applyAlignment="1">
      <alignment horizontal="left" vertical="center" wrapText="1"/>
    </xf>
    <xf numFmtId="0" fontId="54" fillId="94" borderId="0" xfId="81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 wrapText="1"/>
    </xf>
    <xf numFmtId="0" fontId="25" fillId="51" borderId="26" xfId="0" applyFont="1" applyFill="1" applyBorder="1" applyAlignment="1">
      <alignment horizontal="center" vertical="center" wrapText="1"/>
    </xf>
    <xf numFmtId="0" fontId="81" fillId="51" borderId="25" xfId="0" applyFont="1" applyFill="1" applyBorder="1" applyAlignment="1">
      <alignment horizontal="center" vertical="center" wrapText="1"/>
    </xf>
    <xf numFmtId="0" fontId="81" fillId="51" borderId="27" xfId="0" applyFont="1" applyFill="1" applyBorder="1" applyAlignment="1">
      <alignment horizontal="center" vertical="center" wrapText="1"/>
    </xf>
    <xf numFmtId="0" fontId="37" fillId="51" borderId="0" xfId="82" applyFont="1" applyFill="1" applyBorder="1" applyAlignment="1">
      <alignment horizontal="center" vertical="center" wrapText="1"/>
    </xf>
    <xf numFmtId="0" fontId="86" fillId="87" borderId="22" xfId="80" applyFont="1" applyFill="1" applyBorder="1" applyAlignment="1">
      <alignment horizontal="left" vertical="center" wrapText="1" indent="1"/>
    </xf>
    <xf numFmtId="0" fontId="86" fillId="87" borderId="21" xfId="80" applyFont="1" applyFill="1" applyBorder="1" applyAlignment="1">
      <alignment horizontal="left" vertical="center" wrapText="1" indent="1"/>
    </xf>
    <xf numFmtId="0" fontId="86" fillId="87" borderId="31" xfId="80" applyFont="1" applyFill="1" applyBorder="1" applyAlignment="1">
      <alignment horizontal="left" vertical="center" wrapText="1" indent="1"/>
    </xf>
    <xf numFmtId="14" fontId="86" fillId="87" borderId="22" xfId="80" applyNumberFormat="1" applyFont="1" applyFill="1" applyBorder="1" applyAlignment="1">
      <alignment horizontal="left" vertical="center" wrapText="1" indent="1"/>
    </xf>
    <xf numFmtId="189" fontId="81" fillId="60" borderId="38" xfId="81" applyNumberFormat="1" applyFont="1" applyFill="1" applyBorder="1" applyAlignment="1">
      <alignment horizontal="center" vertical="center" textRotation="90" wrapText="1"/>
    </xf>
    <xf numFmtId="189" fontId="81" fillId="60" borderId="53" xfId="81" applyNumberFormat="1" applyFont="1" applyFill="1" applyBorder="1" applyAlignment="1">
      <alignment horizontal="center" vertical="center" textRotation="90" wrapText="1"/>
    </xf>
    <xf numFmtId="189" fontId="81" fillId="60" borderId="44" xfId="81" applyNumberFormat="1" applyFont="1" applyFill="1" applyBorder="1" applyAlignment="1">
      <alignment horizontal="center" vertical="center" textRotation="90" wrapText="1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57" fillId="55" borderId="17" xfId="81" applyFont="1" applyFill="1" applyBorder="1" applyAlignment="1">
      <alignment horizontal="center" vertical="center" wrapText="1"/>
    </xf>
    <xf numFmtId="0" fontId="57" fillId="55" borderId="16" xfId="81" applyFont="1" applyFill="1" applyBorder="1" applyAlignment="1">
      <alignment horizontal="center" vertical="center" wrapText="1"/>
    </xf>
    <xf numFmtId="0" fontId="37" fillId="55" borderId="22" xfId="81" applyFont="1" applyFill="1" applyBorder="1" applyAlignment="1">
      <alignment horizontal="center" vertical="center" wrapText="1"/>
    </xf>
    <xf numFmtId="0" fontId="37" fillId="55" borderId="21" xfId="81" applyFont="1" applyFill="1" applyBorder="1" applyAlignment="1">
      <alignment horizontal="center" vertical="center" wrapText="1"/>
    </xf>
    <xf numFmtId="0" fontId="37" fillId="55" borderId="41" xfId="81" applyFont="1" applyFill="1" applyBorder="1" applyAlignment="1">
      <alignment horizontal="center" vertical="center" wrapText="1"/>
    </xf>
    <xf numFmtId="0" fontId="57" fillId="54" borderId="28" xfId="81" applyFont="1" applyFill="1" applyBorder="1" applyAlignment="1">
      <alignment horizontal="center" vertical="center" wrapText="1"/>
    </xf>
    <xf numFmtId="0" fontId="57" fillId="54" borderId="30" xfId="81" applyFont="1" applyFill="1" applyBorder="1" applyAlignment="1">
      <alignment horizontal="center" vertical="center" wrapText="1"/>
    </xf>
    <xf numFmtId="0" fontId="57" fillId="54" borderId="24" xfId="81" applyFont="1" applyFill="1" applyBorder="1" applyAlignment="1">
      <alignment horizontal="center" vertical="center" wrapText="1"/>
    </xf>
    <xf numFmtId="0" fontId="57" fillId="54" borderId="25" xfId="81" applyFont="1" applyFill="1" applyBorder="1" applyAlignment="1">
      <alignment horizontal="center" vertical="center" wrapText="1"/>
    </xf>
    <xf numFmtId="3" fontId="43" fillId="51" borderId="23" xfId="110" applyNumberFormat="1" applyFill="1" applyBorder="1" applyAlignment="1" applyProtection="1">
      <alignment horizontal="center" vertical="center"/>
      <protection locked="0"/>
    </xf>
    <xf numFmtId="3" fontId="43" fillId="51" borderId="26" xfId="110" applyNumberFormat="1" applyFill="1" applyBorder="1" applyAlignment="1" applyProtection="1">
      <alignment horizontal="center" vertical="center"/>
      <protection locked="0"/>
    </xf>
    <xf numFmtId="0" fontId="37" fillId="74" borderId="46" xfId="81" applyFont="1" applyFill="1" applyBorder="1" applyAlignment="1">
      <alignment horizontal="center" vertical="center" wrapText="1"/>
    </xf>
    <xf numFmtId="0" fontId="37" fillId="74" borderId="11" xfId="81" applyFont="1" applyFill="1" applyBorder="1" applyAlignment="1">
      <alignment horizontal="center" vertical="center" wrapText="1"/>
    </xf>
    <xf numFmtId="0" fontId="37" fillId="74" borderId="43" xfId="81" applyFont="1" applyFill="1" applyBorder="1" applyAlignment="1">
      <alignment horizontal="center" vertical="center" wrapText="1"/>
    </xf>
    <xf numFmtId="189" fontId="81" fillId="60" borderId="46" xfId="81" applyNumberFormat="1" applyFont="1" applyFill="1" applyBorder="1" applyAlignment="1">
      <alignment horizontal="center" vertical="center" textRotation="90" wrapText="1"/>
    </xf>
    <xf numFmtId="189" fontId="81" fillId="60" borderId="11" xfId="81" applyNumberFormat="1" applyFont="1" applyFill="1" applyBorder="1" applyAlignment="1">
      <alignment horizontal="center" vertical="center" textRotation="90" wrapText="1"/>
    </xf>
    <xf numFmtId="189" fontId="81" fillId="60" borderId="43" xfId="81" applyNumberFormat="1" applyFont="1" applyFill="1" applyBorder="1" applyAlignment="1">
      <alignment horizontal="center" vertical="center" textRotation="90" wrapText="1"/>
    </xf>
    <xf numFmtId="0" fontId="67" fillId="79" borderId="64" xfId="81" applyFont="1" applyFill="1" applyBorder="1" applyAlignment="1">
      <alignment horizontal="center" vertical="center" wrapText="1"/>
    </xf>
    <xf numFmtId="0" fontId="67" fillId="79" borderId="65" xfId="81" applyFont="1" applyFill="1" applyBorder="1" applyAlignment="1">
      <alignment horizontal="center" vertical="center" wrapText="1"/>
    </xf>
    <xf numFmtId="0" fontId="67" fillId="79" borderId="66" xfId="81" applyFont="1" applyFill="1" applyBorder="1" applyAlignment="1">
      <alignment horizontal="center" vertical="center" wrapText="1"/>
    </xf>
    <xf numFmtId="49" fontId="37" fillId="72" borderId="46" xfId="81" applyNumberFormat="1" applyFont="1" applyFill="1" applyBorder="1" applyAlignment="1">
      <alignment horizontal="center" vertical="center" wrapText="1"/>
    </xf>
    <xf numFmtId="49" fontId="37" fillId="72" borderId="11" xfId="81" applyNumberFormat="1" applyFont="1" applyFill="1" applyBorder="1" applyAlignment="1">
      <alignment horizontal="center" vertical="center" wrapText="1"/>
    </xf>
    <xf numFmtId="49" fontId="37" fillId="72" borderId="43" xfId="81" applyNumberFormat="1" applyFont="1" applyFill="1" applyBorder="1" applyAlignment="1">
      <alignment horizontal="center" vertical="center" wrapText="1"/>
    </xf>
    <xf numFmtId="0" fontId="37" fillId="59" borderId="61" xfId="81" applyFont="1" applyFill="1" applyBorder="1" applyAlignment="1">
      <alignment horizontal="center" vertical="center" wrapText="1"/>
    </xf>
    <xf numFmtId="0" fontId="37" fillId="59" borderId="62" xfId="81" applyFont="1" applyFill="1" applyBorder="1" applyAlignment="1">
      <alignment horizontal="center" vertical="center" wrapText="1"/>
    </xf>
    <xf numFmtId="0" fontId="37" fillId="55" borderId="60" xfId="81" applyFont="1" applyFill="1" applyBorder="1" applyAlignment="1">
      <alignment horizontal="center" vertical="center" wrapText="1"/>
    </xf>
    <xf numFmtId="0" fontId="37" fillId="55" borderId="31" xfId="81" applyFont="1" applyFill="1" applyBorder="1" applyAlignment="1">
      <alignment horizontal="center" vertical="center" wrapText="1"/>
    </xf>
    <xf numFmtId="0" fontId="37" fillId="57" borderId="22" xfId="81" applyFont="1" applyFill="1" applyBorder="1" applyAlignment="1">
      <alignment horizontal="center" vertical="center" wrapText="1"/>
    </xf>
    <xf numFmtId="0" fontId="37" fillId="57" borderId="31" xfId="81" applyFont="1" applyFill="1" applyBorder="1" applyAlignment="1">
      <alignment horizontal="center" vertical="center" wrapText="1"/>
    </xf>
    <xf numFmtId="0" fontId="25" fillId="55" borderId="30" xfId="81" applyFont="1" applyFill="1" applyBorder="1" applyAlignment="1">
      <alignment horizontal="center" vertical="center" textRotation="90" wrapText="1"/>
    </xf>
    <xf numFmtId="0" fontId="25" fillId="55" borderId="27" xfId="81" applyFont="1" applyFill="1" applyBorder="1" applyAlignment="1">
      <alignment horizontal="center" vertical="center" textRotation="90" wrapText="1"/>
    </xf>
    <xf numFmtId="189" fontId="37" fillId="74" borderId="46" xfId="81" applyNumberFormat="1" applyFont="1" applyFill="1" applyBorder="1" applyAlignment="1">
      <alignment horizontal="center" vertical="center" wrapText="1"/>
    </xf>
    <xf numFmtId="189" fontId="37" fillId="74" borderId="11" xfId="81" applyNumberFormat="1" applyFont="1" applyFill="1" applyBorder="1" applyAlignment="1">
      <alignment horizontal="center" vertical="center" wrapText="1"/>
    </xf>
    <xf numFmtId="189" fontId="37" fillId="74" borderId="43" xfId="81" applyNumberFormat="1" applyFont="1" applyFill="1" applyBorder="1" applyAlignment="1">
      <alignment horizontal="center" vertical="center" wrapText="1"/>
    </xf>
    <xf numFmtId="2" fontId="37" fillId="72" borderId="47" xfId="81" applyNumberFormat="1" applyFont="1" applyFill="1" applyBorder="1" applyAlignment="1">
      <alignment horizontal="center" vertical="center" wrapText="1"/>
    </xf>
    <xf numFmtId="2" fontId="37" fillId="72" borderId="39" xfId="81" applyNumberFormat="1" applyFont="1" applyFill="1" applyBorder="1" applyAlignment="1">
      <alignment horizontal="center" vertical="center" wrapText="1"/>
    </xf>
    <xf numFmtId="2" fontId="37" fillId="72" borderId="45" xfId="81" applyNumberFormat="1" applyFont="1" applyFill="1" applyBorder="1" applyAlignment="1">
      <alignment horizontal="center" vertical="center" wrapText="1"/>
    </xf>
    <xf numFmtId="0" fontId="57" fillId="60" borderId="22" xfId="81" applyFont="1" applyFill="1" applyBorder="1" applyAlignment="1">
      <alignment horizontal="center" vertical="center" wrapText="1"/>
    </xf>
    <xf numFmtId="0" fontId="57" fillId="60" borderId="21" xfId="81" applyFont="1" applyFill="1" applyBorder="1" applyAlignment="1">
      <alignment horizontal="center" vertical="center" wrapText="1"/>
    </xf>
    <xf numFmtId="0" fontId="57" fillId="60" borderId="31" xfId="81" applyFont="1" applyFill="1" applyBorder="1" applyAlignment="1">
      <alignment horizontal="center" vertical="center" wrapText="1"/>
    </xf>
    <xf numFmtId="0" fontId="37" fillId="60" borderId="60" xfId="81" applyFont="1" applyFill="1" applyBorder="1" applyAlignment="1">
      <alignment horizontal="center" vertical="center" wrapText="1"/>
    </xf>
    <xf numFmtId="0" fontId="37" fillId="60" borderId="21" xfId="81" applyFont="1" applyFill="1" applyBorder="1" applyAlignment="1">
      <alignment horizontal="center" vertical="center" wrapText="1"/>
    </xf>
    <xf numFmtId="0" fontId="37" fillId="60" borderId="31" xfId="81" applyFont="1" applyFill="1" applyBorder="1" applyAlignment="1">
      <alignment horizontal="center" vertical="center" wrapText="1"/>
    </xf>
    <xf numFmtId="189" fontId="81" fillId="60" borderId="40" xfId="81" applyNumberFormat="1" applyFont="1" applyFill="1" applyBorder="1" applyAlignment="1">
      <alignment horizontal="center" textRotation="90" wrapText="1"/>
    </xf>
    <xf numFmtId="189" fontId="81" fillId="60" borderId="48" xfId="81" applyNumberFormat="1" applyFont="1" applyFill="1" applyBorder="1" applyAlignment="1">
      <alignment horizontal="center" textRotation="90" wrapText="1"/>
    </xf>
    <xf numFmtId="189" fontId="81" fillId="60" borderId="49" xfId="81" applyNumberFormat="1" applyFont="1" applyFill="1" applyBorder="1" applyAlignment="1">
      <alignment horizontal="center" textRotation="90" wrapText="1"/>
    </xf>
    <xf numFmtId="0" fontId="37" fillId="57" borderId="17" xfId="81" applyFont="1" applyFill="1" applyBorder="1" applyAlignment="1">
      <alignment horizontal="center" vertical="center" wrapText="1"/>
    </xf>
    <xf numFmtId="0" fontId="37" fillId="57" borderId="16" xfId="81" applyFont="1" applyFill="1" applyBorder="1" applyAlignment="1">
      <alignment horizontal="center" vertical="center" wrapText="1"/>
    </xf>
    <xf numFmtId="189" fontId="81" fillId="60" borderId="46" xfId="81" applyNumberFormat="1" applyFont="1" applyFill="1" applyBorder="1" applyAlignment="1">
      <alignment horizontal="center" textRotation="90" wrapText="1"/>
    </xf>
    <xf numFmtId="189" fontId="81" fillId="60" borderId="11" xfId="81" applyNumberFormat="1" applyFont="1" applyFill="1" applyBorder="1" applyAlignment="1">
      <alignment horizontal="center" textRotation="90" wrapText="1"/>
    </xf>
    <xf numFmtId="189" fontId="81" fillId="60" borderId="43" xfId="81" applyNumberFormat="1" applyFont="1" applyFill="1" applyBorder="1" applyAlignment="1">
      <alignment horizontal="center" textRotation="90" wrapText="1"/>
    </xf>
    <xf numFmtId="189" fontId="81" fillId="85" borderId="46" xfId="81" applyNumberFormat="1" applyFont="1" applyFill="1" applyBorder="1" applyAlignment="1">
      <alignment horizontal="center" vertical="center" textRotation="90" wrapText="1"/>
    </xf>
    <xf numFmtId="189" fontId="81" fillId="85" borderId="11" xfId="81" applyNumberFormat="1" applyFont="1" applyFill="1" applyBorder="1" applyAlignment="1">
      <alignment horizontal="center" vertical="center" textRotation="90" wrapText="1"/>
    </xf>
    <xf numFmtId="189" fontId="81" fillId="85" borderId="43" xfId="81" applyNumberFormat="1" applyFont="1" applyFill="1" applyBorder="1" applyAlignment="1">
      <alignment horizontal="center" vertical="center" textRotation="90" wrapText="1"/>
    </xf>
    <xf numFmtId="0" fontId="33" fillId="54" borderId="17" xfId="81" applyFont="1" applyFill="1" applyBorder="1" applyAlignment="1">
      <alignment horizontal="center" vertical="center" wrapText="1"/>
    </xf>
    <xf numFmtId="0" fontId="33" fillId="54" borderId="18" xfId="81" applyFont="1" applyFill="1" applyBorder="1" applyAlignment="1">
      <alignment horizontal="center" vertical="center" wrapText="1"/>
    </xf>
    <xf numFmtId="0" fontId="33" fillId="54" borderId="16" xfId="81" applyFont="1" applyFill="1" applyBorder="1" applyAlignment="1">
      <alignment horizontal="center" vertical="center" wrapText="1"/>
    </xf>
    <xf numFmtId="189" fontId="81" fillId="60" borderId="57" xfId="81" applyNumberFormat="1" applyFont="1" applyFill="1" applyBorder="1" applyAlignment="1">
      <alignment horizontal="center" vertical="center" textRotation="90" wrapText="1"/>
    </xf>
    <xf numFmtId="189" fontId="81" fillId="60" borderId="58" xfId="81" applyNumberFormat="1" applyFont="1" applyFill="1" applyBorder="1" applyAlignment="1">
      <alignment horizontal="center" vertical="center" textRotation="90" wrapText="1"/>
    </xf>
    <xf numFmtId="189" fontId="81" fillId="60" borderId="59" xfId="81" applyNumberFormat="1" applyFont="1" applyFill="1" applyBorder="1" applyAlignment="1">
      <alignment horizontal="center" vertical="center" textRotation="90" wrapText="1"/>
    </xf>
    <xf numFmtId="0" fontId="67" fillId="80" borderId="17" xfId="81" applyFont="1" applyFill="1" applyBorder="1" applyAlignment="1">
      <alignment horizontal="center" vertical="center" wrapText="1"/>
    </xf>
    <xf numFmtId="0" fontId="67" fillId="80" borderId="18" xfId="81" applyFont="1" applyFill="1" applyBorder="1" applyAlignment="1">
      <alignment horizontal="center" vertical="center" wrapText="1"/>
    </xf>
    <xf numFmtId="0" fontId="67" fillId="80" borderId="16" xfId="81" applyFont="1" applyFill="1" applyBorder="1" applyAlignment="1">
      <alignment horizontal="center" vertical="center" wrapText="1"/>
    </xf>
    <xf numFmtId="0" fontId="37" fillId="57" borderId="50" xfId="81" applyFont="1" applyFill="1" applyBorder="1" applyAlignment="1">
      <alignment horizontal="center" vertical="center" wrapText="1"/>
    </xf>
    <xf numFmtId="0" fontId="37" fillId="57" borderId="52" xfId="81" applyFont="1" applyFill="1" applyBorder="1" applyAlignment="1">
      <alignment horizontal="center" vertical="center" wrapText="1"/>
    </xf>
    <xf numFmtId="3" fontId="76" fillId="51" borderId="0" xfId="110" applyNumberFormat="1" applyFont="1" applyFill="1" applyBorder="1" applyAlignment="1" applyProtection="1">
      <alignment horizontal="center" vertical="center"/>
      <protection locked="0"/>
    </xf>
    <xf numFmtId="0" fontId="37" fillId="74" borderId="40" xfId="81" applyFont="1" applyFill="1" applyBorder="1" applyAlignment="1">
      <alignment horizontal="center" vertical="center" wrapText="1"/>
    </xf>
    <xf numFmtId="0" fontId="37" fillId="74" borderId="48" xfId="81" applyFont="1" applyFill="1" applyBorder="1" applyAlignment="1">
      <alignment horizontal="center" vertical="center" wrapText="1"/>
    </xf>
    <xf numFmtId="0" fontId="37" fillId="74" borderId="49" xfId="81" applyFont="1" applyFill="1" applyBorder="1" applyAlignment="1">
      <alignment horizontal="center" vertical="center" wrapText="1"/>
    </xf>
    <xf numFmtId="49" fontId="57" fillId="72" borderId="50" xfId="81" applyNumberFormat="1" applyFont="1" applyFill="1" applyBorder="1" applyAlignment="1">
      <alignment horizontal="center" vertical="center" wrapText="1"/>
    </xf>
    <xf numFmtId="49" fontId="57" fillId="72" borderId="51" xfId="81" applyNumberFormat="1" applyFont="1" applyFill="1" applyBorder="1" applyAlignment="1">
      <alignment horizontal="center" vertical="center" wrapText="1"/>
    </xf>
    <xf numFmtId="49" fontId="57" fillId="72" borderId="52" xfId="81" applyNumberFormat="1" applyFont="1" applyFill="1" applyBorder="1" applyAlignment="1">
      <alignment horizontal="center" vertical="center" wrapText="1"/>
    </xf>
    <xf numFmtId="0" fontId="57" fillId="54" borderId="22" xfId="81" applyFont="1" applyFill="1" applyBorder="1" applyAlignment="1">
      <alignment horizontal="center" vertical="center" wrapText="1"/>
    </xf>
    <xf numFmtId="0" fontId="57" fillId="54" borderId="31" xfId="81" applyFont="1" applyFill="1" applyBorder="1" applyAlignment="1">
      <alignment horizontal="center" vertical="center" wrapText="1"/>
    </xf>
    <xf numFmtId="0" fontId="37" fillId="60" borderId="22" xfId="81" applyFont="1" applyFill="1" applyBorder="1" applyAlignment="1">
      <alignment horizontal="center" vertical="center" wrapText="1"/>
    </xf>
    <xf numFmtId="0" fontId="37" fillId="58" borderId="47" xfId="81" applyFont="1" applyFill="1" applyBorder="1" applyAlignment="1">
      <alignment horizontal="center" vertical="center" wrapText="1"/>
    </xf>
    <xf numFmtId="0" fontId="37" fillId="58" borderId="77" xfId="81" applyFont="1" applyFill="1" applyBorder="1" applyAlignment="1">
      <alignment horizontal="center" vertical="center" wrapText="1"/>
    </xf>
    <xf numFmtId="0" fontId="37" fillId="58" borderId="20" xfId="81" applyFont="1" applyFill="1" applyBorder="1" applyAlignment="1">
      <alignment horizontal="center" vertical="center" wrapText="1"/>
    </xf>
    <xf numFmtId="0" fontId="37" fillId="58" borderId="78" xfId="81" applyFont="1" applyFill="1" applyBorder="1" applyAlignment="1">
      <alignment horizontal="center" vertical="center" wrapText="1"/>
    </xf>
    <xf numFmtId="0" fontId="67" fillId="80" borderId="40" xfId="81" applyFont="1" applyFill="1" applyBorder="1" applyAlignment="1">
      <alignment horizontal="center" vertical="center" wrapText="1"/>
    </xf>
    <xf numFmtId="0" fontId="67" fillId="80" borderId="48" xfId="81" applyFont="1" applyFill="1" applyBorder="1" applyAlignment="1">
      <alignment horizontal="center" vertical="center" wrapText="1"/>
    </xf>
    <xf numFmtId="0" fontId="67" fillId="80" borderId="49" xfId="81" applyFont="1" applyFill="1" applyBorder="1" applyAlignment="1">
      <alignment horizontal="center" vertical="center" wrapText="1"/>
    </xf>
    <xf numFmtId="0" fontId="67" fillId="79" borderId="17" xfId="81" applyFont="1" applyFill="1" applyBorder="1" applyAlignment="1">
      <alignment horizontal="center" vertical="center" wrapText="1"/>
    </xf>
    <xf numFmtId="0" fontId="67" fillId="79" borderId="18" xfId="81" applyFont="1" applyFill="1" applyBorder="1" applyAlignment="1">
      <alignment horizontal="center" vertical="center" wrapText="1"/>
    </xf>
    <xf numFmtId="0" fontId="67" fillId="79" borderId="16" xfId="81" applyFont="1" applyFill="1" applyBorder="1" applyAlignment="1">
      <alignment horizontal="center" vertical="center" wrapText="1"/>
    </xf>
    <xf numFmtId="0" fontId="37" fillId="66" borderId="47" xfId="81" applyFont="1" applyFill="1" applyBorder="1" applyAlignment="1">
      <alignment horizontal="center" vertical="center" wrapText="1"/>
    </xf>
    <xf numFmtId="0" fontId="37" fillId="66" borderId="38" xfId="81" applyFont="1" applyFill="1" applyBorder="1" applyAlignment="1">
      <alignment horizontal="center" vertical="center" wrapText="1"/>
    </xf>
    <xf numFmtId="0" fontId="37" fillId="66" borderId="45" xfId="81" applyFont="1" applyFill="1" applyBorder="1" applyAlignment="1">
      <alignment horizontal="center" vertical="center" wrapText="1"/>
    </xf>
    <xf numFmtId="0" fontId="37" fillId="66" borderId="44" xfId="81" applyFont="1" applyFill="1" applyBorder="1" applyAlignment="1">
      <alignment horizontal="center" vertical="center" wrapText="1"/>
    </xf>
    <xf numFmtId="0" fontId="37" fillId="58" borderId="38" xfId="81" applyFont="1" applyFill="1" applyBorder="1" applyAlignment="1">
      <alignment horizontal="center" vertical="center" wrapText="1"/>
    </xf>
    <xf numFmtId="0" fontId="37" fillId="58" borderId="76" xfId="81" applyFont="1" applyFill="1" applyBorder="1" applyAlignment="1">
      <alignment horizontal="center" vertical="center" wrapText="1"/>
    </xf>
    <xf numFmtId="0" fontId="37" fillId="59" borderId="70" xfId="81" applyFont="1" applyFill="1" applyBorder="1" applyAlignment="1">
      <alignment horizontal="center" vertical="center" wrapText="1"/>
    </xf>
    <xf numFmtId="0" fontId="37" fillId="59" borderId="71" xfId="81" applyFont="1" applyFill="1" applyBorder="1" applyAlignment="1">
      <alignment horizontal="center" vertical="center" wrapText="1"/>
    </xf>
    <xf numFmtId="0" fontId="37" fillId="59" borderId="72" xfId="81" applyFont="1" applyFill="1" applyBorder="1" applyAlignment="1">
      <alignment horizontal="center" vertical="center" wrapText="1"/>
    </xf>
    <xf numFmtId="0" fontId="37" fillId="59" borderId="73" xfId="81" applyFont="1" applyFill="1" applyBorder="1" applyAlignment="1">
      <alignment horizontal="center" vertical="center" wrapText="1"/>
    </xf>
    <xf numFmtId="0" fontId="37" fillId="59" borderId="74" xfId="81" applyFont="1" applyFill="1" applyBorder="1" applyAlignment="1">
      <alignment horizontal="center" vertical="center" wrapText="1"/>
    </xf>
    <xf numFmtId="0" fontId="37" fillId="59" borderId="75" xfId="81" applyFont="1" applyFill="1" applyBorder="1" applyAlignment="1">
      <alignment horizontal="center" vertical="center" wrapText="1"/>
    </xf>
    <xf numFmtId="0" fontId="37" fillId="53" borderId="67" xfId="81" applyFont="1" applyFill="1" applyBorder="1" applyAlignment="1">
      <alignment horizontal="center" vertical="center" wrapText="1"/>
    </xf>
    <xf numFmtId="0" fontId="37" fillId="53" borderId="30" xfId="81" applyFont="1" applyFill="1" applyBorder="1" applyAlignment="1">
      <alignment horizontal="center" vertical="center" wrapText="1"/>
    </xf>
    <xf numFmtId="0" fontId="37" fillId="53" borderId="68" xfId="81" applyFont="1" applyFill="1" applyBorder="1" applyAlignment="1">
      <alignment horizontal="center" vertical="center" wrapText="1"/>
    </xf>
    <xf numFmtId="0" fontId="37" fillId="53" borderId="69" xfId="81" applyFont="1" applyFill="1" applyBorder="1" applyAlignment="1">
      <alignment horizontal="center" vertical="center" wrapText="1"/>
    </xf>
    <xf numFmtId="0" fontId="37" fillId="56" borderId="63" xfId="81" applyFont="1" applyFill="1" applyBorder="1" applyAlignment="1">
      <alignment horizontal="center" vertical="center" wrapText="1"/>
    </xf>
    <xf numFmtId="0" fontId="37" fillId="56" borderId="21" xfId="81" applyFont="1" applyFill="1" applyBorder="1" applyAlignment="1">
      <alignment horizontal="center" vertical="center" wrapText="1"/>
    </xf>
    <xf numFmtId="0" fontId="37" fillId="56" borderId="55" xfId="81" applyFont="1" applyFill="1" applyBorder="1" applyAlignment="1">
      <alignment horizontal="center" vertical="center" wrapText="1"/>
    </xf>
    <xf numFmtId="0" fontId="37" fillId="55" borderId="63" xfId="81" applyFont="1" applyFill="1" applyBorder="1" applyAlignment="1">
      <alignment horizontal="center" vertical="center" wrapText="1"/>
    </xf>
    <xf numFmtId="0" fontId="37" fillId="55" borderId="55" xfId="81" applyFont="1" applyFill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 wrapText="1"/>
    </xf>
    <xf numFmtId="0" fontId="38" fillId="0" borderId="16" xfId="80" applyFont="1" applyBorder="1" applyAlignment="1">
      <alignment horizontal="center" vertical="center" wrapText="1"/>
    </xf>
    <xf numFmtId="0" fontId="38" fillId="0" borderId="18" xfId="80" applyFont="1" applyBorder="1" applyAlignment="1">
      <alignment horizontal="center" vertical="center" wrapText="1"/>
    </xf>
    <xf numFmtId="0" fontId="38" fillId="0" borderId="22" xfId="80" applyFont="1" applyBorder="1" applyAlignment="1">
      <alignment horizontal="center" vertical="center" wrapText="1"/>
    </xf>
    <xf numFmtId="0" fontId="38" fillId="0" borderId="21" xfId="80" applyFont="1" applyBorder="1" applyAlignment="1">
      <alignment horizontal="center" vertical="center" wrapText="1"/>
    </xf>
    <xf numFmtId="0" fontId="38" fillId="0" borderId="31" xfId="80" applyFont="1" applyBorder="1" applyAlignment="1">
      <alignment horizontal="center" vertical="center" wrapText="1"/>
    </xf>
    <xf numFmtId="0" fontId="38" fillId="0" borderId="28" xfId="80" applyFont="1" applyBorder="1" applyAlignment="1">
      <alignment horizontal="center" vertical="center" wrapText="1"/>
    </xf>
    <xf numFmtId="0" fontId="38" fillId="0" borderId="30" xfId="80" applyFont="1" applyBorder="1" applyAlignment="1">
      <alignment horizontal="center" vertical="center" wrapText="1"/>
    </xf>
    <xf numFmtId="0" fontId="38" fillId="0" borderId="23" xfId="80" applyFont="1" applyBorder="1" applyAlignment="1">
      <alignment horizontal="center" vertical="center" wrapText="1"/>
    </xf>
    <xf numFmtId="0" fontId="38" fillId="0" borderId="27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/>
    </xf>
    <xf numFmtId="0" fontId="38" fillId="0" borderId="18" xfId="80" applyFont="1" applyBorder="1" applyAlignment="1">
      <alignment horizontal="center" vertical="center"/>
    </xf>
    <xf numFmtId="0" fontId="38" fillId="0" borderId="16" xfId="80" applyFont="1" applyBorder="1" applyAlignment="1">
      <alignment horizontal="center" vertical="center"/>
    </xf>
    <xf numFmtId="0" fontId="33" fillId="77" borderId="23" xfId="82" applyFont="1" applyFill="1" applyBorder="1" applyAlignment="1">
      <alignment horizontal="left" vertical="center" wrapText="1"/>
    </xf>
    <xf numFmtId="0" fontId="33" fillId="77" borderId="26" xfId="82" applyFont="1" applyFill="1" applyBorder="1" applyAlignment="1">
      <alignment horizontal="left" vertical="center" wrapText="1"/>
    </xf>
    <xf numFmtId="0" fontId="33" fillId="77" borderId="27" xfId="82" applyFont="1" applyFill="1" applyBorder="1" applyAlignment="1">
      <alignment horizontal="left" vertical="center" wrapText="1"/>
    </xf>
    <xf numFmtId="186" fontId="38" fillId="53" borderId="0" xfId="82" applyNumberFormat="1" applyFont="1" applyFill="1" applyBorder="1" applyAlignment="1">
      <alignment horizontal="center" vertical="center"/>
    </xf>
    <xf numFmtId="166" fontId="38" fillId="77" borderId="0" xfId="82" applyNumberFormat="1" applyFont="1" applyFill="1" applyBorder="1" applyAlignment="1">
      <alignment horizontal="center" vertical="center"/>
    </xf>
    <xf numFmtId="0" fontId="34" fillId="0" borderId="22" xfId="80" applyFont="1" applyBorder="1" applyAlignment="1">
      <alignment horizontal="left" vertical="center" wrapText="1"/>
    </xf>
    <xf numFmtId="0" fontId="34" fillId="0" borderId="31" xfId="80" applyFont="1" applyBorder="1" applyAlignment="1">
      <alignment horizontal="left" vertical="center" wrapText="1"/>
    </xf>
    <xf numFmtId="0" fontId="51" fillId="0" borderId="17" xfId="80" applyFont="1" applyBorder="1" applyAlignment="1">
      <alignment horizontal="center" vertical="center" wrapText="1"/>
    </xf>
    <xf numFmtId="0" fontId="51" fillId="0" borderId="18" xfId="80" applyFont="1" applyBorder="1" applyAlignment="1">
      <alignment horizontal="center" vertical="center" wrapText="1"/>
    </xf>
    <xf numFmtId="0" fontId="51" fillId="0" borderId="16" xfId="80" applyFont="1" applyBorder="1" applyAlignment="1">
      <alignment horizontal="center" vertical="center" wrapText="1"/>
    </xf>
    <xf numFmtId="0" fontId="50" fillId="51" borderId="0" xfId="80" applyFont="1" applyFill="1" applyAlignment="1" applyProtection="1">
      <alignment horizontal="left" vertical="center"/>
      <protection locked="0"/>
    </xf>
    <xf numFmtId="0" fontId="50" fillId="51" borderId="25" xfId="80" applyFont="1" applyFill="1" applyBorder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left" vertical="center"/>
    </xf>
    <xf numFmtId="0" fontId="34" fillId="0" borderId="31" xfId="80" applyFont="1" applyBorder="1" applyAlignment="1">
      <alignment horizontal="left" vertical="center"/>
    </xf>
    <xf numFmtId="14" fontId="50" fillId="51" borderId="0" xfId="80" applyNumberFormat="1" applyFont="1" applyFill="1" applyAlignment="1" applyProtection="1">
      <alignment horizontal="left" vertical="center"/>
      <protection locked="0"/>
    </xf>
    <xf numFmtId="0" fontId="34" fillId="0" borderId="22" xfId="80" applyFont="1" applyBorder="1" applyAlignment="1">
      <alignment horizontal="center" vertical="center" wrapText="1"/>
    </xf>
    <xf numFmtId="0" fontId="34" fillId="0" borderId="31" xfId="80" applyFont="1" applyBorder="1" applyAlignment="1">
      <alignment horizontal="center" vertical="center" wrapText="1"/>
    </xf>
    <xf numFmtId="0" fontId="34" fillId="0" borderId="22" xfId="80" applyFont="1" applyBorder="1" applyAlignment="1">
      <alignment horizontal="center" vertical="center"/>
    </xf>
    <xf numFmtId="0" fontId="34" fillId="0" borderId="31" xfId="80" applyFont="1" applyBorder="1" applyAlignment="1">
      <alignment horizontal="center" vertical="center"/>
    </xf>
    <xf numFmtId="0" fontId="33" fillId="98" borderId="22" xfId="81" applyFont="1" applyFill="1" applyBorder="1" applyAlignment="1" applyProtection="1">
      <alignment horizontal="center" vertical="center" wrapText="1"/>
      <protection hidden="1"/>
    </xf>
    <xf numFmtId="0" fontId="33" fillId="98" borderId="21" xfId="81" applyFont="1" applyFill="1" applyBorder="1" applyAlignment="1" applyProtection="1">
      <alignment horizontal="center" vertical="center" wrapText="1"/>
      <protection hidden="1"/>
    </xf>
    <xf numFmtId="0" fontId="33" fillId="98" borderId="31" xfId="81" applyFont="1" applyFill="1" applyBorder="1" applyAlignment="1" applyProtection="1">
      <alignment horizontal="center" vertical="center" wrapText="1"/>
      <protection hidden="1"/>
    </xf>
    <xf numFmtId="0" fontId="43" fillId="98" borderId="22" xfId="81" applyFont="1" applyFill="1" applyBorder="1" applyAlignment="1" applyProtection="1">
      <alignment horizontal="center" vertical="center" wrapText="1"/>
      <protection hidden="1"/>
    </xf>
    <xf numFmtId="0" fontId="43" fillId="98" borderId="21" xfId="81" applyFont="1" applyFill="1" applyBorder="1" applyAlignment="1" applyProtection="1">
      <alignment horizontal="center" vertical="center" wrapText="1"/>
      <protection hidden="1"/>
    </xf>
    <xf numFmtId="0" fontId="43" fillId="98" borderId="31" xfId="81" applyFont="1" applyFill="1" applyBorder="1" applyAlignment="1" applyProtection="1">
      <alignment horizontal="center" vertical="center" wrapText="1"/>
      <protection hidden="1"/>
    </xf>
    <xf numFmtId="0" fontId="33" fillId="51" borderId="17" xfId="81" applyFont="1" applyFill="1" applyBorder="1" applyAlignment="1" applyProtection="1">
      <alignment horizontal="center" vertical="center" wrapText="1"/>
      <protection hidden="1"/>
    </xf>
    <xf numFmtId="0" fontId="33" fillId="51" borderId="18" xfId="81" applyFont="1" applyFill="1" applyBorder="1" applyAlignment="1" applyProtection="1">
      <alignment horizontal="center" vertical="center" wrapText="1"/>
      <protection hidden="1"/>
    </xf>
    <xf numFmtId="0" fontId="25" fillId="90" borderId="23" xfId="81" applyFont="1" applyFill="1" applyBorder="1" applyAlignment="1" applyProtection="1">
      <alignment horizontal="center" vertical="center" wrapText="1"/>
      <protection hidden="1"/>
    </xf>
    <xf numFmtId="0" fontId="25" fillId="90" borderId="26" xfId="81" applyFont="1" applyFill="1" applyBorder="1" applyAlignment="1" applyProtection="1">
      <alignment horizontal="center" vertical="center" wrapText="1"/>
      <protection hidden="1"/>
    </xf>
    <xf numFmtId="0" fontId="25" fillId="90" borderId="0" xfId="81" applyFont="1" applyFill="1" applyBorder="1" applyAlignment="1" applyProtection="1">
      <alignment horizontal="center" vertical="center" wrapText="1"/>
      <protection hidden="1"/>
    </xf>
    <xf numFmtId="0" fontId="37" fillId="80" borderId="22" xfId="81" applyFont="1" applyFill="1" applyBorder="1" applyAlignment="1" applyProtection="1">
      <alignment horizontal="center" vertical="center" wrapText="1"/>
      <protection hidden="1"/>
    </xf>
    <xf numFmtId="0" fontId="37" fillId="80" borderId="21" xfId="81" applyFont="1" applyFill="1" applyBorder="1" applyAlignment="1" applyProtection="1">
      <alignment horizontal="center" vertical="center" wrapText="1"/>
      <protection hidden="1"/>
    </xf>
    <xf numFmtId="0" fontId="37" fillId="80" borderId="31" xfId="81" applyFont="1" applyFill="1" applyBorder="1" applyAlignment="1" applyProtection="1">
      <alignment horizontal="center" vertical="center" wrapText="1"/>
      <protection hidden="1"/>
    </xf>
    <xf numFmtId="0" fontId="37" fillId="90" borderId="22" xfId="81" applyFont="1" applyFill="1" applyBorder="1" applyAlignment="1" applyProtection="1">
      <alignment horizontal="center" vertical="center" wrapText="1"/>
      <protection hidden="1"/>
    </xf>
    <xf numFmtId="0" fontId="37" fillId="90" borderId="21" xfId="81" applyFont="1" applyFill="1" applyBorder="1" applyAlignment="1" applyProtection="1">
      <alignment horizontal="center" vertical="center" wrapText="1"/>
      <protection hidden="1"/>
    </xf>
    <xf numFmtId="0" fontId="37" fillId="90" borderId="31" xfId="81" applyFont="1" applyFill="1" applyBorder="1" applyAlignment="1" applyProtection="1">
      <alignment horizontal="center" vertical="center" wrapText="1"/>
      <protection hidden="1"/>
    </xf>
    <xf numFmtId="0" fontId="37" fillId="0" borderId="0" xfId="81" applyFont="1" applyBorder="1" applyAlignment="1" applyProtection="1">
      <alignment horizontal="center" vertical="center" wrapText="1"/>
      <protection hidden="1"/>
    </xf>
    <xf numFmtId="0" fontId="33" fillId="0" borderId="10" xfId="81" applyFont="1" applyBorder="1" applyAlignment="1" applyProtection="1">
      <alignment horizontal="center" vertical="center" wrapText="1"/>
      <protection hidden="1"/>
    </xf>
    <xf numFmtId="0" fontId="33" fillId="0" borderId="13" xfId="81" applyFont="1" applyBorder="1" applyAlignment="1" applyProtection="1">
      <alignment horizontal="center" vertical="center" wrapText="1"/>
      <protection hidden="1"/>
    </xf>
    <xf numFmtId="0" fontId="33" fillId="0" borderId="34" xfId="81" applyFont="1" applyBorder="1" applyAlignment="1" applyProtection="1">
      <alignment horizontal="center" vertical="center" wrapText="1"/>
      <protection hidden="1"/>
    </xf>
    <xf numFmtId="0" fontId="33" fillId="0" borderId="35" xfId="81" applyFont="1" applyBorder="1" applyAlignment="1" applyProtection="1">
      <alignment horizontal="center" vertical="center" wrapText="1"/>
      <protection hidden="1"/>
    </xf>
    <xf numFmtId="0" fontId="33" fillId="0" borderId="36" xfId="81" applyFont="1" applyBorder="1" applyAlignment="1" applyProtection="1">
      <alignment horizontal="center" vertical="center" wrapText="1"/>
      <protection hidden="1"/>
    </xf>
    <xf numFmtId="0" fontId="33" fillId="0" borderId="37" xfId="81" applyFont="1" applyBorder="1" applyAlignment="1" applyProtection="1">
      <alignment horizontal="center" vertical="center" wrapText="1"/>
      <protection hidden="1"/>
    </xf>
    <xf numFmtId="0" fontId="76" fillId="92" borderId="0" xfId="0" applyFont="1" applyFill="1" applyAlignment="1" applyProtection="1">
      <alignment horizontal="center"/>
      <protection hidden="1"/>
    </xf>
    <xf numFmtId="0" fontId="76" fillId="92" borderId="26" xfId="0" applyFont="1" applyFill="1" applyBorder="1" applyAlignment="1" applyProtection="1">
      <alignment horizontal="center"/>
      <protection hidden="1"/>
    </xf>
    <xf numFmtId="49" fontId="0" fillId="0" borderId="0" xfId="0" applyNumberFormat="1" applyAlignment="1">
      <alignment horizontal="center"/>
    </xf>
    <xf numFmtId="2" fontId="56" fillId="0" borderId="0" xfId="0" applyNumberFormat="1" applyFont="1" applyAlignment="1">
      <alignment horizontal="center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31"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>
          <bgColor rgb="FFFFFFCC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CC"/>
      <color rgb="FFECF2F8"/>
      <color rgb="FFFFCCFF"/>
      <color rgb="FFFFFFD5"/>
      <color rgb="FFFFFFE1"/>
      <color rgb="FFFFFFB9"/>
      <color rgb="FFFFFFD9"/>
      <color rgb="FFFFFFEB"/>
      <color rgb="FFFFFFCD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2430780</xdr:colOff>
          <xdr:row>3</xdr:row>
          <xdr:rowOff>22860</xdr:rowOff>
        </xdr:from>
        <xdr:to>
          <xdr:col>2</xdr:col>
          <xdr:colOff>807720</xdr:colOff>
          <xdr:row>4</xdr:row>
          <xdr:rowOff>38100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4</xdr:row>
          <xdr:rowOff>160020</xdr:rowOff>
        </xdr:from>
        <xdr:to>
          <xdr:col>2</xdr:col>
          <xdr:colOff>807720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7</xdr:row>
          <xdr:rowOff>22860</xdr:rowOff>
        </xdr:from>
        <xdr:to>
          <xdr:col>2</xdr:col>
          <xdr:colOff>807720</xdr:colOff>
          <xdr:row>8</xdr:row>
          <xdr:rowOff>60960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2346960</xdr:colOff>
          <xdr:row>26</xdr:row>
          <xdr:rowOff>106680</xdr:rowOff>
        </xdr:from>
        <xdr:to>
          <xdr:col>2</xdr:col>
          <xdr:colOff>784860</xdr:colOff>
          <xdr:row>28</xdr:row>
          <xdr:rowOff>144780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2354580</xdr:colOff>
          <xdr:row>23</xdr:row>
          <xdr:rowOff>152400</xdr:rowOff>
        </xdr:from>
        <xdr:to>
          <xdr:col>2</xdr:col>
          <xdr:colOff>792480</xdr:colOff>
          <xdr:row>26</xdr:row>
          <xdr:rowOff>30480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2331720</xdr:colOff>
          <xdr:row>29</xdr:row>
          <xdr:rowOff>68580</xdr:rowOff>
        </xdr:from>
        <xdr:to>
          <xdr:col>2</xdr:col>
          <xdr:colOff>784860</xdr:colOff>
          <xdr:row>31</xdr:row>
          <xdr:rowOff>106680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7620</xdr:rowOff>
        </xdr:from>
        <xdr:to>
          <xdr:col>2</xdr:col>
          <xdr:colOff>792480</xdr:colOff>
          <xdr:row>10</xdr:row>
          <xdr:rowOff>45720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5</xdr:row>
          <xdr:rowOff>121920</xdr:rowOff>
        </xdr:from>
        <xdr:to>
          <xdr:col>8</xdr:col>
          <xdr:colOff>373380</xdr:colOff>
          <xdr:row>7</xdr:row>
          <xdr:rowOff>121920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144780</xdr:colOff>
          <xdr:row>8</xdr:row>
          <xdr:rowOff>99060</xdr:rowOff>
        </xdr:from>
        <xdr:to>
          <xdr:col>8</xdr:col>
          <xdr:colOff>358140</xdr:colOff>
          <xdr:row>10</xdr:row>
          <xdr:rowOff>99060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617220</xdr:colOff>
          <xdr:row>5</xdr:row>
          <xdr:rowOff>106680</xdr:rowOff>
        </xdr:from>
        <xdr:to>
          <xdr:col>9</xdr:col>
          <xdr:colOff>533400</xdr:colOff>
          <xdr:row>7</xdr:row>
          <xdr:rowOff>144780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Parametros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8</xdr:row>
          <xdr:rowOff>99060</xdr:rowOff>
        </xdr:from>
        <xdr:to>
          <xdr:col>9</xdr:col>
          <xdr:colOff>541020</xdr:colOff>
          <xdr:row>10</xdr:row>
          <xdr:rowOff>114300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Parametro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11</xdr:row>
          <xdr:rowOff>53340</xdr:rowOff>
        </xdr:from>
        <xdr:to>
          <xdr:col>9</xdr:col>
          <xdr:colOff>525780</xdr:colOff>
          <xdr:row>13</xdr:row>
          <xdr:rowOff>121920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Parametros padrão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6</xdr:row>
          <xdr:rowOff>121920</xdr:rowOff>
        </xdr:from>
        <xdr:to>
          <xdr:col>9</xdr:col>
          <xdr:colOff>998220</xdr:colOff>
          <xdr:row>8</xdr:row>
          <xdr:rowOff>121920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152400</xdr:rowOff>
        </xdr:from>
        <xdr:to>
          <xdr:col>12</xdr:col>
          <xdr:colOff>0</xdr:colOff>
          <xdr:row>9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Recarregar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9</xdr:row>
          <xdr:rowOff>38100</xdr:rowOff>
        </xdr:from>
        <xdr:to>
          <xdr:col>8</xdr:col>
          <xdr:colOff>38100</xdr:colOff>
          <xdr:row>10</xdr:row>
          <xdr:rowOff>121920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9</xdr:row>
          <xdr:rowOff>30480</xdr:rowOff>
        </xdr:from>
        <xdr:to>
          <xdr:col>7</xdr:col>
          <xdr:colOff>38100</xdr:colOff>
          <xdr:row>10</xdr:row>
          <xdr:rowOff>121920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22860</xdr:rowOff>
        </xdr:from>
        <xdr:to>
          <xdr:col>9</xdr:col>
          <xdr:colOff>1059180</xdr:colOff>
          <xdr:row>10</xdr:row>
          <xdr:rowOff>106680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9</xdr:row>
          <xdr:rowOff>7620</xdr:rowOff>
        </xdr:from>
        <xdr:to>
          <xdr:col>9</xdr:col>
          <xdr:colOff>137160</xdr:colOff>
          <xdr:row>10</xdr:row>
          <xdr:rowOff>106680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</xdr:row>
          <xdr:rowOff>106680</xdr:rowOff>
        </xdr:from>
        <xdr:to>
          <xdr:col>15</xdr:col>
          <xdr:colOff>335280</xdr:colOff>
          <xdr:row>3</xdr:row>
          <xdr:rowOff>60960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3</xdr:row>
          <xdr:rowOff>182880</xdr:rowOff>
        </xdr:from>
        <xdr:to>
          <xdr:col>15</xdr:col>
          <xdr:colOff>342900</xdr:colOff>
          <xdr:row>5</xdr:row>
          <xdr:rowOff>22860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Nós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137160</xdr:rowOff>
        </xdr:from>
        <xdr:to>
          <xdr:col>15</xdr:col>
          <xdr:colOff>373380</xdr:colOff>
          <xdr:row>9</xdr:row>
          <xdr:rowOff>152400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23</xdr:col>
      <xdr:colOff>27214</xdr:colOff>
      <xdr:row>1</xdr:row>
      <xdr:rowOff>5302</xdr:rowOff>
    </xdr:from>
    <xdr:to>
      <xdr:col>33</xdr:col>
      <xdr:colOff>236160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6832" y="296655"/>
          <a:ext cx="4362166" cy="2094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5</xdr:row>
          <xdr:rowOff>175260</xdr:rowOff>
        </xdr:from>
        <xdr:to>
          <xdr:col>23</xdr:col>
          <xdr:colOff>38100</xdr:colOff>
          <xdr:row>8</xdr:row>
          <xdr:rowOff>121920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8</xdr:row>
          <xdr:rowOff>175260</xdr:rowOff>
        </xdr:from>
        <xdr:to>
          <xdr:col>23</xdr:col>
          <xdr:colOff>7620</xdr:colOff>
          <xdr:row>10</xdr:row>
          <xdr:rowOff>137160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3</xdr:row>
          <xdr:rowOff>76200</xdr:rowOff>
        </xdr:from>
        <xdr:to>
          <xdr:col>20</xdr:col>
          <xdr:colOff>30480</xdr:colOff>
          <xdr:row>4</xdr:row>
          <xdr:rowOff>198120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1</xdr:row>
          <xdr:rowOff>60960</xdr:rowOff>
        </xdr:from>
        <xdr:to>
          <xdr:col>20</xdr:col>
          <xdr:colOff>30480</xdr:colOff>
          <xdr:row>3</xdr:row>
          <xdr:rowOff>45720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4</xdr:row>
          <xdr:rowOff>228600</xdr:rowOff>
        </xdr:from>
        <xdr:to>
          <xdr:col>38</xdr:col>
          <xdr:colOff>7620</xdr:colOff>
          <xdr:row>7</xdr:row>
          <xdr:rowOff>30480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</xdr:colOff>
          <xdr:row>7</xdr:row>
          <xdr:rowOff>106680</xdr:rowOff>
        </xdr:from>
        <xdr:to>
          <xdr:col>37</xdr:col>
          <xdr:colOff>861060</xdr:colOff>
          <xdr:row>9</xdr:row>
          <xdr:rowOff>30480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Zerar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2</xdr:row>
          <xdr:rowOff>236220</xdr:rowOff>
        </xdr:from>
        <xdr:to>
          <xdr:col>38</xdr:col>
          <xdr:colOff>22860</xdr:colOff>
          <xdr:row>4</xdr:row>
          <xdr:rowOff>144780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crescente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7</xdr:row>
          <xdr:rowOff>160020</xdr:rowOff>
        </xdr:from>
        <xdr:to>
          <xdr:col>6</xdr:col>
          <xdr:colOff>815340</xdr:colOff>
          <xdr:row>9</xdr:row>
          <xdr:rowOff>30480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5</xdr:row>
          <xdr:rowOff>495300</xdr:rowOff>
        </xdr:from>
        <xdr:to>
          <xdr:col>6</xdr:col>
          <xdr:colOff>807720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folha de impressão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1" xr16:uid="{CA4804F5-BE37-4FDD-A371-143B7411881F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1" connectionId="155" xr16:uid="{F8DDF633-25ED-465C-8687-EE3A188EE01F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6" xr16:uid="{C761A2DF-1C77-496B-A6E6-5F5AD5821902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3" connectionId="158" xr16:uid="{A2CE83DB-8D55-4F6E-8179-5F00E4EE0B49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50" xr16:uid="{4E2DDB04-1B2B-42C7-A135-DA3522962E44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0" connectionId="154" xr16:uid="{D0B063E2-1793-413F-B7FA-B5A6502AF704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9" connectionId="121" xr16:uid="{2F3CEA32-8D45-4C06-8D22-571E766CA69F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2" connectionId="157" xr16:uid="{D51C6300-005B-4649-BE81-14D5AE5E4B6A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3" xr16:uid="{6DC63798-0A2E-4E42-AF64-77DFAEE953AC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9" xr16:uid="{C2423092-466B-4F25-A6EC-795E51E552FF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2" xr16:uid="{82C0C682-80D8-4BA2-816A-E0E04AF2D99B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Y56"/>
  <sheetViews>
    <sheetView tabSelected="1" zoomScale="85" zoomScaleNormal="85" workbookViewId="0">
      <selection activeCell="K54" sqref="K54"/>
    </sheetView>
  </sheetViews>
  <sheetFormatPr defaultColWidth="8.88671875" defaultRowHeight="13.2" x14ac:dyDescent="0.25"/>
  <cols>
    <col min="2" max="2" width="36.44140625" customWidth="1"/>
    <col min="3" max="3" width="13.109375" customWidth="1"/>
    <col min="5" max="25" width="8.88671875" style="49"/>
  </cols>
  <sheetData>
    <row r="1" spans="1:4" ht="23.4" x14ac:dyDescent="0.25">
      <c r="A1" s="149"/>
      <c r="B1" s="150" t="s">
        <v>164</v>
      </c>
      <c r="C1" s="149"/>
      <c r="D1" s="151"/>
    </row>
    <row r="2" spans="1:4" x14ac:dyDescent="0.25">
      <c r="A2" s="152"/>
      <c r="B2" s="152"/>
      <c r="C2" s="152"/>
      <c r="D2" s="151"/>
    </row>
    <row r="3" spans="1:4" ht="15.6" x14ac:dyDescent="0.25">
      <c r="A3" s="153"/>
      <c r="B3" s="154"/>
      <c r="C3" s="151"/>
      <c r="D3" s="151"/>
    </row>
    <row r="4" spans="1:4" ht="25.5" customHeight="1" x14ac:dyDescent="0.25">
      <c r="A4" s="155" t="s">
        <v>64</v>
      </c>
      <c r="B4" s="159" t="s">
        <v>330</v>
      </c>
      <c r="C4" s="151"/>
      <c r="D4" s="151"/>
    </row>
    <row r="5" spans="1:4" ht="15.6" x14ac:dyDescent="0.25">
      <c r="A5" s="153"/>
      <c r="B5" s="154"/>
      <c r="C5" s="151"/>
      <c r="D5" s="151"/>
    </row>
    <row r="6" spans="1:4" ht="25.5" customHeight="1" x14ac:dyDescent="0.25">
      <c r="A6" s="155" t="s">
        <v>65</v>
      </c>
      <c r="B6" s="159" t="s">
        <v>332</v>
      </c>
      <c r="C6" s="151"/>
      <c r="D6" s="151"/>
    </row>
    <row r="7" spans="1:4" x14ac:dyDescent="0.25">
      <c r="A7" s="153"/>
      <c r="B7" s="153"/>
      <c r="C7" s="151"/>
      <c r="D7" s="151"/>
    </row>
    <row r="8" spans="1:4" ht="25.5" customHeight="1" x14ac:dyDescent="0.25">
      <c r="A8" s="155" t="s">
        <v>66</v>
      </c>
      <c r="B8" s="159" t="s">
        <v>329</v>
      </c>
      <c r="C8" s="162"/>
      <c r="D8" s="151"/>
    </row>
    <row r="9" spans="1:4" x14ac:dyDescent="0.25">
      <c r="A9" s="153"/>
      <c r="B9" s="153"/>
      <c r="C9" s="151"/>
      <c r="D9" s="151"/>
    </row>
    <row r="10" spans="1:4" ht="25.5" customHeight="1" x14ac:dyDescent="0.25">
      <c r="A10" s="155" t="s">
        <v>67</v>
      </c>
      <c r="B10" s="159" t="s">
        <v>333</v>
      </c>
      <c r="C10" s="162"/>
      <c r="D10" s="151"/>
    </row>
    <row r="11" spans="1:4" x14ac:dyDescent="0.25">
      <c r="A11" s="153"/>
      <c r="B11" s="153"/>
      <c r="C11" s="151"/>
      <c r="D11" s="151"/>
    </row>
    <row r="12" spans="1:4" ht="30" customHeight="1" x14ac:dyDescent="0.25">
      <c r="A12" s="155" t="s">
        <v>68</v>
      </c>
      <c r="B12" s="159" t="s">
        <v>328</v>
      </c>
      <c r="C12" s="151"/>
      <c r="D12" s="151"/>
    </row>
    <row r="13" spans="1:4" ht="12.75" customHeight="1" x14ac:dyDescent="0.25">
      <c r="A13" s="153"/>
      <c r="B13" s="159"/>
      <c r="C13" s="151"/>
      <c r="D13" s="151"/>
    </row>
    <row r="14" spans="1:4" ht="25.5" customHeight="1" x14ac:dyDescent="0.25">
      <c r="A14" s="155" t="s">
        <v>95</v>
      </c>
      <c r="B14" s="159" t="s">
        <v>334</v>
      </c>
      <c r="C14" s="151"/>
      <c r="D14" s="151"/>
    </row>
    <row r="15" spans="1:4" x14ac:dyDescent="0.25">
      <c r="A15" s="153"/>
      <c r="B15" s="153"/>
      <c r="C15" s="151"/>
      <c r="D15" s="151"/>
    </row>
    <row r="16" spans="1:4" ht="25.5" customHeight="1" x14ac:dyDescent="0.25">
      <c r="A16" s="155" t="s">
        <v>96</v>
      </c>
      <c r="B16" s="159" t="s">
        <v>335</v>
      </c>
      <c r="C16" s="151"/>
      <c r="D16" s="151"/>
    </row>
    <row r="17" spans="1:4" x14ac:dyDescent="0.25">
      <c r="A17" s="155"/>
      <c r="B17" s="153"/>
      <c r="C17" s="151"/>
      <c r="D17" s="151"/>
    </row>
    <row r="18" spans="1:4" x14ac:dyDescent="0.25">
      <c r="A18" s="155"/>
      <c r="B18" s="153"/>
      <c r="C18" s="151"/>
      <c r="D18" s="151"/>
    </row>
    <row r="19" spans="1:4" ht="25.5" customHeight="1" x14ac:dyDescent="0.25">
      <c r="A19" s="155" t="s">
        <v>97</v>
      </c>
      <c r="B19" s="159" t="s">
        <v>331</v>
      </c>
      <c r="C19" s="151"/>
      <c r="D19" s="151"/>
    </row>
    <row r="20" spans="1:4" x14ac:dyDescent="0.25">
      <c r="A20" s="153"/>
      <c r="B20" s="153"/>
      <c r="C20" s="151"/>
      <c r="D20" s="151"/>
    </row>
    <row r="21" spans="1:4" x14ac:dyDescent="0.25">
      <c r="A21" s="156"/>
      <c r="B21" s="156"/>
      <c r="C21" s="152"/>
      <c r="D21" s="151"/>
    </row>
    <row r="22" spans="1:4" x14ac:dyDescent="0.25">
      <c r="A22" s="153"/>
      <c r="B22" s="153"/>
      <c r="C22" s="157"/>
      <c r="D22" s="151"/>
    </row>
    <row r="23" spans="1:4" ht="15.6" x14ac:dyDescent="0.25">
      <c r="A23" s="153"/>
      <c r="B23" s="154" t="s">
        <v>272</v>
      </c>
      <c r="C23" s="158"/>
      <c r="D23" s="151"/>
    </row>
    <row r="24" spans="1:4" x14ac:dyDescent="0.25">
      <c r="A24" s="153"/>
      <c r="B24" s="153"/>
      <c r="C24" s="157"/>
      <c r="D24" s="151"/>
    </row>
    <row r="25" spans="1:4" x14ac:dyDescent="0.25">
      <c r="A25" s="153"/>
      <c r="B25" s="153"/>
      <c r="C25" s="157"/>
      <c r="D25" s="151"/>
    </row>
    <row r="26" spans="1:4" x14ac:dyDescent="0.25">
      <c r="A26" s="153"/>
      <c r="B26" s="153"/>
      <c r="C26" s="157"/>
      <c r="D26" s="151"/>
    </row>
    <row r="27" spans="1:4" x14ac:dyDescent="0.25">
      <c r="A27" s="153"/>
      <c r="B27" s="153"/>
      <c r="C27" s="157"/>
      <c r="D27" s="151"/>
    </row>
    <row r="28" spans="1:4" x14ac:dyDescent="0.25">
      <c r="A28" s="153"/>
      <c r="B28" s="153"/>
      <c r="C28" s="157"/>
      <c r="D28" s="151"/>
    </row>
    <row r="29" spans="1:4" x14ac:dyDescent="0.25">
      <c r="A29" s="153"/>
      <c r="B29" s="153"/>
      <c r="C29" s="157"/>
      <c r="D29" s="151"/>
    </row>
    <row r="30" spans="1:4" x14ac:dyDescent="0.25">
      <c r="A30" s="153"/>
      <c r="B30" s="153"/>
      <c r="C30" s="157"/>
      <c r="D30" s="151"/>
    </row>
    <row r="31" spans="1:4" x14ac:dyDescent="0.25">
      <c r="A31" s="153"/>
      <c r="B31" s="153"/>
      <c r="C31" s="157"/>
      <c r="D31" s="151"/>
    </row>
    <row r="32" spans="1:4" x14ac:dyDescent="0.25">
      <c r="A32" s="153"/>
      <c r="B32" s="153"/>
      <c r="C32" s="157"/>
      <c r="D32" s="151"/>
    </row>
    <row r="33" spans="1:4" x14ac:dyDescent="0.25">
      <c r="A33" s="156"/>
      <c r="B33" s="156"/>
      <c r="C33" s="152"/>
      <c r="D33" s="151"/>
    </row>
    <row r="34" spans="1:4" x14ac:dyDescent="0.25">
      <c r="A34" s="151"/>
      <c r="B34" s="151"/>
      <c r="C34" s="151"/>
      <c r="D34" s="151"/>
    </row>
    <row r="35" spans="1:4" x14ac:dyDescent="0.25">
      <c r="A35" s="151"/>
      <c r="B35" s="151"/>
      <c r="C35" s="151"/>
      <c r="D35" s="151"/>
    </row>
    <row r="36" spans="1:4" x14ac:dyDescent="0.25">
      <c r="A36" s="151"/>
      <c r="B36" s="151"/>
      <c r="C36" s="151"/>
      <c r="D36" s="151"/>
    </row>
    <row r="37" spans="1:4" x14ac:dyDescent="0.25">
      <c r="A37" s="151"/>
      <c r="B37" s="151"/>
      <c r="C37" s="151"/>
      <c r="D37" s="151"/>
    </row>
    <row r="38" spans="1:4" x14ac:dyDescent="0.25">
      <c r="A38" s="151"/>
      <c r="B38" s="151"/>
      <c r="C38" s="151"/>
      <c r="D38" s="151"/>
    </row>
    <row r="39" spans="1:4" x14ac:dyDescent="0.25">
      <c r="A39" s="151"/>
      <c r="B39" s="151"/>
      <c r="C39" s="151"/>
      <c r="D39" s="151"/>
    </row>
    <row r="41" spans="1:4" s="49" customFormat="1" x14ac:dyDescent="0.25"/>
    <row r="42" spans="1:4" s="49" customFormat="1" x14ac:dyDescent="0.25"/>
    <row r="43" spans="1:4" s="49" customFormat="1" x14ac:dyDescent="0.25"/>
    <row r="44" spans="1:4" s="49" customFormat="1" x14ac:dyDescent="0.25"/>
    <row r="45" spans="1:4" s="49" customFormat="1" x14ac:dyDescent="0.25"/>
    <row r="46" spans="1:4" s="49" customFormat="1" x14ac:dyDescent="0.25"/>
    <row r="47" spans="1:4" s="49" customFormat="1" x14ac:dyDescent="0.25"/>
    <row r="48" spans="1:4" s="49" customFormat="1" x14ac:dyDescent="0.25"/>
    <row r="49" s="49" customFormat="1" x14ac:dyDescent="0.25"/>
    <row r="50" s="49" customFormat="1" x14ac:dyDescent="0.25"/>
    <row r="51" s="49" customFormat="1" x14ac:dyDescent="0.25"/>
    <row r="52" s="49" customFormat="1" x14ac:dyDescent="0.25"/>
    <row r="53" s="49" customFormat="1" x14ac:dyDescent="0.25"/>
    <row r="54" s="49" customFormat="1" x14ac:dyDescent="0.25"/>
    <row r="55" s="49" customFormat="1" x14ac:dyDescent="0.25"/>
    <row r="56" s="49" customForma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1</xdr:col>
                    <xdr:colOff>2430780</xdr:colOff>
                    <xdr:row>3</xdr:row>
                    <xdr:rowOff>22860</xdr:rowOff>
                  </from>
                  <to>
                    <xdr:col>2</xdr:col>
                    <xdr:colOff>807720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1</xdr:col>
                    <xdr:colOff>2423160</xdr:colOff>
                    <xdr:row>4</xdr:row>
                    <xdr:rowOff>160020</xdr:rowOff>
                  </from>
                  <to>
                    <xdr:col>2</xdr:col>
                    <xdr:colOff>807720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1</xdr:col>
                    <xdr:colOff>2407920</xdr:colOff>
                    <xdr:row>7</xdr:row>
                    <xdr:rowOff>22860</xdr:rowOff>
                  </from>
                  <to>
                    <xdr:col>2</xdr:col>
                    <xdr:colOff>807720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2346960</xdr:colOff>
                    <xdr:row>26</xdr:row>
                    <xdr:rowOff>106680</xdr:rowOff>
                  </from>
                  <to>
                    <xdr:col>2</xdr:col>
                    <xdr:colOff>784860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2354580</xdr:colOff>
                    <xdr:row>23</xdr:row>
                    <xdr:rowOff>152400</xdr:rowOff>
                  </from>
                  <to>
                    <xdr:col>2</xdr:col>
                    <xdr:colOff>792480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2331720</xdr:colOff>
                    <xdr:row>29</xdr:row>
                    <xdr:rowOff>68580</xdr:rowOff>
                  </from>
                  <to>
                    <xdr:col>2</xdr:col>
                    <xdr:colOff>784860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7620</xdr:rowOff>
                  </from>
                  <to>
                    <xdr:col>2</xdr:col>
                    <xdr:colOff>792480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X1035"/>
  <sheetViews>
    <sheetView zoomScale="80" zoomScaleNormal="80" workbookViewId="0">
      <selection activeCell="T657" sqref="T657"/>
    </sheetView>
  </sheetViews>
  <sheetFormatPr defaultColWidth="10.6640625" defaultRowHeight="13.2" x14ac:dyDescent="0.25"/>
  <cols>
    <col min="1" max="1" width="11" style="170" bestFit="1" customWidth="1"/>
    <col min="2" max="2" width="11.33203125" style="169" bestFit="1" customWidth="1"/>
    <col min="3" max="3" width="18" style="168" bestFit="1" customWidth="1"/>
    <col min="4" max="4" width="21.77734375" style="169" bestFit="1" customWidth="1"/>
    <col min="5" max="5" width="6.5546875" style="169" bestFit="1" customWidth="1"/>
    <col min="6" max="6" width="21.77734375" style="169" bestFit="1" customWidth="1"/>
    <col min="7" max="8" width="12.33203125" style="169" bestFit="1" customWidth="1"/>
    <col min="9" max="9" width="6.33203125" style="169" bestFit="1" customWidth="1"/>
    <col min="10" max="10" width="6.44140625" style="169" bestFit="1" customWidth="1"/>
    <col min="11" max="11" width="6.109375" style="169" bestFit="1" customWidth="1"/>
    <col min="12" max="13" width="9" style="630" bestFit="1" customWidth="1"/>
    <col min="14" max="14" width="11.77734375" style="169" bestFit="1" customWidth="1"/>
    <col min="15" max="15" width="8.88671875" style="169" bestFit="1" customWidth="1"/>
    <col min="16" max="16" width="12.109375" style="169" bestFit="1" customWidth="1"/>
    <col min="17" max="17" width="7.44140625" style="169" bestFit="1" customWidth="1"/>
    <col min="18" max="18" width="7.77734375" style="169" bestFit="1" customWidth="1"/>
    <col min="19" max="19" width="21.77734375" style="169" bestFit="1" customWidth="1"/>
    <col min="20" max="20" width="28.6640625" style="169" bestFit="1" customWidth="1"/>
    <col min="21" max="22" width="11.5546875" style="171" bestFit="1" customWidth="1"/>
    <col min="23" max="23" width="10.5546875" style="171" bestFit="1" customWidth="1"/>
    <col min="24" max="24" width="11.5546875" style="171" bestFit="1" customWidth="1"/>
    <col min="25" max="26" width="10.88671875" style="169" bestFit="1" customWidth="1"/>
    <col min="27" max="29" width="6.5546875" style="169" bestFit="1" customWidth="1"/>
    <col min="30" max="30" width="21.77734375" bestFit="1" customWidth="1"/>
    <col min="31" max="31" width="27.5546875" bestFit="1" customWidth="1"/>
    <col min="32" max="32" width="11.44140625" bestFit="1" customWidth="1"/>
    <col min="33" max="33" width="11.6640625" style="160" bestFit="1" customWidth="1"/>
    <col min="34" max="34" width="7.88671875" style="171" bestFit="1" customWidth="1"/>
    <col min="35" max="35" width="11.6640625" style="171" bestFit="1" customWidth="1"/>
    <col min="36" max="36" width="6.33203125" style="171" bestFit="1" customWidth="1"/>
    <col min="37" max="37" width="12.88671875" style="171" bestFit="1" customWidth="1"/>
    <col min="38" max="38" width="12.6640625" style="171" bestFit="1" customWidth="1"/>
    <col min="39" max="39" width="12.88671875" style="171" bestFit="1" customWidth="1"/>
    <col min="40" max="40" width="14.88671875" bestFit="1" customWidth="1"/>
    <col min="41" max="41" width="6.5546875" bestFit="1" customWidth="1"/>
    <col min="42" max="42" width="5.5546875" bestFit="1" customWidth="1"/>
    <col min="43" max="43" width="12.44140625" customWidth="1"/>
    <col min="44" max="44" width="9.44140625" bestFit="1" customWidth="1"/>
    <col min="45" max="45" width="12.88671875" bestFit="1" customWidth="1"/>
    <col min="46" max="46" width="8" bestFit="1" customWidth="1"/>
    <col min="47" max="47" width="8.44140625" bestFit="1" customWidth="1"/>
    <col min="48" max="48" width="11.33203125" style="182" bestFit="1" customWidth="1"/>
    <col min="49" max="49" width="31.44140625" style="182" bestFit="1" customWidth="1"/>
    <col min="50" max="50" width="12.6640625" bestFit="1" customWidth="1"/>
    <col min="51" max="51" width="12.6640625" customWidth="1"/>
    <col min="52" max="53" width="12.6640625" bestFit="1" customWidth="1"/>
    <col min="54" max="55" width="11.44140625" bestFit="1" customWidth="1"/>
    <col min="56" max="56" width="7" customWidth="1"/>
    <col min="57" max="58" width="7" style="160" bestFit="1" customWidth="1"/>
    <col min="59" max="59" width="10.88671875" style="160" bestFit="1" customWidth="1"/>
    <col min="60" max="60" width="15.88671875" bestFit="1" customWidth="1"/>
    <col min="61" max="61" width="27.33203125" style="169" bestFit="1" customWidth="1"/>
    <col min="62" max="62" width="6.5546875" style="169" bestFit="1" customWidth="1"/>
    <col min="63" max="63" width="9.5546875" style="169" bestFit="1" customWidth="1"/>
    <col min="64" max="66" width="11.5546875" style="169" bestFit="1" customWidth="1"/>
    <col min="67" max="67" width="7" style="169" bestFit="1" customWidth="1"/>
    <col min="68" max="68" width="11" style="169" bestFit="1" customWidth="1"/>
    <col min="69" max="69" width="8.88671875" style="169" bestFit="1" customWidth="1"/>
    <col min="70" max="71" width="10.6640625" style="169" bestFit="1" customWidth="1"/>
    <col min="72" max="72" width="11.44140625" style="169" bestFit="1" customWidth="1"/>
    <col min="73" max="73" width="11.88671875" style="169" bestFit="1" customWidth="1"/>
    <col min="74" max="74" width="6.44140625" style="169" bestFit="1" customWidth="1"/>
    <col min="75" max="75" width="6.44140625" style="170" bestFit="1" customWidth="1"/>
    <col min="76" max="76" width="6.44140625" style="169" bestFit="1" customWidth="1"/>
    <col min="77" max="77" width="10.6640625" style="169" bestFit="1" customWidth="1"/>
    <col min="78" max="78" width="11.109375" style="170" bestFit="1" customWidth="1"/>
    <col min="79" max="79" width="12.109375" style="170" bestFit="1" customWidth="1"/>
    <col min="80" max="80" width="12" style="169" bestFit="1" customWidth="1"/>
    <col min="81" max="81" width="12.109375" style="169" bestFit="1" customWidth="1"/>
    <col min="82" max="82" width="10.44140625" style="169" bestFit="1" customWidth="1"/>
    <col min="83" max="83" width="6" style="169" bestFit="1" customWidth="1"/>
    <col min="84" max="84" width="5.88671875" style="169" bestFit="1" customWidth="1"/>
    <col min="85" max="85" width="6.33203125" style="169" bestFit="1" customWidth="1"/>
    <col min="86" max="86" width="7.33203125" style="169" bestFit="1" customWidth="1"/>
    <col min="87" max="87" width="8.6640625" style="169" bestFit="1" customWidth="1"/>
    <col min="88" max="88" width="7.6640625" style="169" bestFit="1" customWidth="1"/>
    <col min="89" max="89" width="14.33203125" style="169" bestFit="1" customWidth="1"/>
    <col min="90" max="90" width="10.44140625" style="169" bestFit="1" customWidth="1"/>
    <col min="91" max="91" width="27.33203125" style="169" bestFit="1" customWidth="1"/>
    <col min="92" max="92" width="11.5546875" style="169" bestFit="1" customWidth="1"/>
    <col min="93" max="93" width="11.5546875" style="170" bestFit="1" customWidth="1"/>
    <col min="94" max="95" width="11.5546875" style="169" bestFit="1" customWidth="1"/>
    <col min="96" max="97" width="10.6640625" style="169" bestFit="1" customWidth="1"/>
    <col min="98" max="100" width="6.44140625" style="169" bestFit="1" customWidth="1"/>
    <col min="101" max="101" width="8.6640625" style="169" bestFit="1" customWidth="1"/>
    <col min="102" max="102" width="14.33203125" style="169" bestFit="1" customWidth="1"/>
    <col min="103" max="103" width="10.6640625" style="169"/>
    <col min="104" max="104" width="11.109375" style="169" bestFit="1" customWidth="1"/>
    <col min="105" max="105" width="7" style="169" bestFit="1" customWidth="1"/>
    <col min="106" max="106" width="11" style="169" bestFit="1" customWidth="1"/>
    <col min="107" max="107" width="7" style="169" bestFit="1" customWidth="1"/>
    <col min="108" max="108" width="12.109375" style="169" bestFit="1" customWidth="1"/>
    <col min="109" max="109" width="12" style="169" bestFit="1" customWidth="1"/>
    <col min="110" max="110" width="12.109375" style="169" bestFit="1" customWidth="1"/>
    <col min="111" max="111" width="6" style="169" bestFit="1" customWidth="1"/>
    <col min="112" max="112" width="5.88671875" style="169" bestFit="1" customWidth="1"/>
    <col min="113" max="113" width="6.33203125" style="169" bestFit="1" customWidth="1"/>
    <col min="114" max="114" width="11.44140625" style="169" bestFit="1" customWidth="1"/>
    <col min="115" max="115" width="8.88671875" style="169" bestFit="1" customWidth="1"/>
    <col min="116" max="116" width="11.88671875" style="169" bestFit="1" customWidth="1"/>
    <col min="117" max="117" width="7.33203125" style="169" bestFit="1" customWidth="1"/>
    <col min="118" max="118" width="7.6640625" style="169" bestFit="1" customWidth="1"/>
    <col min="119" max="119" width="10.44140625" style="169" bestFit="1" customWidth="1"/>
    <col min="120" max="120" width="27.33203125" style="169" bestFit="1" customWidth="1"/>
    <col min="121" max="124" width="12" style="169" bestFit="1" customWidth="1"/>
    <col min="125" max="126" width="10.6640625" style="169"/>
    <col min="127" max="129" width="6.44140625" style="169" bestFit="1" customWidth="1"/>
    <col min="130" max="130" width="8.6640625" style="169" bestFit="1" customWidth="1"/>
    <col min="131" max="131" width="14.33203125" style="169" bestFit="1" customWidth="1"/>
    <col min="132" max="132" width="10.6640625" style="169"/>
    <col min="133" max="133" width="11.109375" style="169" bestFit="1" customWidth="1"/>
    <col min="134" max="134" width="7" style="169" bestFit="1" customWidth="1"/>
    <col min="135" max="135" width="11" style="169" bestFit="1" customWidth="1"/>
    <col min="136" max="136" width="7" style="169" bestFit="1" customWidth="1"/>
    <col min="137" max="137" width="12.109375" style="169" bestFit="1" customWidth="1"/>
    <col min="138" max="138" width="12" style="169" bestFit="1" customWidth="1"/>
    <col min="139" max="139" width="12.109375" style="169" bestFit="1" customWidth="1"/>
    <col min="140" max="140" width="6" style="169" bestFit="1" customWidth="1"/>
    <col min="141" max="141" width="5.88671875" style="169" bestFit="1" customWidth="1"/>
    <col min="142" max="142" width="6.33203125" style="169" bestFit="1" customWidth="1"/>
    <col min="143" max="143" width="11.44140625" style="169" bestFit="1" customWidth="1"/>
    <col min="144" max="144" width="8.88671875" style="169" bestFit="1" customWidth="1"/>
    <col min="145" max="145" width="11.88671875" style="169" bestFit="1" customWidth="1"/>
    <col min="146" max="146" width="7.33203125" style="169" bestFit="1" customWidth="1"/>
    <col min="147" max="147" width="7.6640625" style="169" bestFit="1" customWidth="1"/>
    <col min="148" max="148" width="10.44140625" style="169" bestFit="1" customWidth="1"/>
    <col min="149" max="149" width="27.33203125" style="169" bestFit="1" customWidth="1"/>
    <col min="150" max="153" width="12" style="169" bestFit="1" customWidth="1"/>
    <col min="154" max="155" width="10.6640625" style="169"/>
    <col min="156" max="158" width="6.44140625" style="169" bestFit="1" customWidth="1"/>
    <col min="159" max="159" width="8.6640625" style="169" bestFit="1" customWidth="1"/>
    <col min="160" max="160" width="14.33203125" style="169" bestFit="1" customWidth="1"/>
    <col min="161" max="161" width="10.6640625" style="169"/>
    <col min="162" max="162" width="11.109375" style="169" bestFit="1" customWidth="1"/>
    <col min="163" max="163" width="7" style="169" bestFit="1" customWidth="1"/>
    <col min="164" max="164" width="11" style="169" bestFit="1" customWidth="1"/>
    <col min="165" max="165" width="7" style="169" bestFit="1" customWidth="1"/>
    <col min="166" max="166" width="12.109375" style="169" bestFit="1" customWidth="1"/>
    <col min="167" max="167" width="12" style="169" bestFit="1" customWidth="1"/>
    <col min="168" max="168" width="12.109375" style="169" bestFit="1" customWidth="1"/>
    <col min="169" max="169" width="6" style="169" bestFit="1" customWidth="1"/>
    <col min="170" max="170" width="5.88671875" style="169" bestFit="1" customWidth="1"/>
    <col min="171" max="171" width="6.33203125" style="169" bestFit="1" customWidth="1"/>
    <col min="172" max="172" width="11.44140625" style="169" bestFit="1" customWidth="1"/>
    <col min="173" max="173" width="8.88671875" style="169" bestFit="1" customWidth="1"/>
    <col min="174" max="174" width="11.88671875" style="169" bestFit="1" customWidth="1"/>
    <col min="175" max="175" width="7.33203125" style="169" bestFit="1" customWidth="1"/>
    <col min="176" max="176" width="7.6640625" style="169" bestFit="1" customWidth="1"/>
    <col min="177" max="177" width="10.44140625" style="169" bestFit="1" customWidth="1"/>
    <col min="178" max="178" width="27.33203125" style="169" bestFit="1" customWidth="1"/>
    <col min="179" max="182" width="12" style="169" bestFit="1" customWidth="1"/>
    <col min="183" max="184" width="10.6640625" style="169"/>
    <col min="185" max="187" width="6.44140625" style="169" bestFit="1" customWidth="1"/>
    <col min="188" max="188" width="7.44140625" style="169" bestFit="1" customWidth="1"/>
    <col min="189" max="189" width="11.109375" style="169" bestFit="1" customWidth="1"/>
    <col min="190" max="190" width="10.6640625" style="169"/>
    <col min="191" max="191" width="11.109375" style="169" bestFit="1" customWidth="1"/>
    <col min="192" max="192" width="7" style="169" bestFit="1" customWidth="1"/>
    <col min="193" max="193" width="11" style="169" bestFit="1" customWidth="1"/>
    <col min="194" max="194" width="7" style="169" bestFit="1" customWidth="1"/>
    <col min="195" max="195" width="12.109375" style="169" bestFit="1" customWidth="1"/>
    <col min="196" max="196" width="12" style="169" bestFit="1" customWidth="1"/>
    <col min="197" max="197" width="12.109375" style="169" bestFit="1" customWidth="1"/>
    <col min="198" max="198" width="6" style="169" bestFit="1" customWidth="1"/>
    <col min="199" max="199" width="5.88671875" style="169" bestFit="1" customWidth="1"/>
    <col min="200" max="200" width="6.33203125" style="169" bestFit="1" customWidth="1"/>
    <col min="201" max="201" width="11.44140625" style="169" bestFit="1" customWidth="1"/>
    <col min="202" max="202" width="8.88671875" style="169" bestFit="1" customWidth="1"/>
    <col min="203" max="203" width="11.88671875" style="169" bestFit="1" customWidth="1"/>
    <col min="204" max="204" width="7.33203125" style="169" bestFit="1" customWidth="1"/>
    <col min="205" max="205" width="7.6640625" style="169" bestFit="1" customWidth="1"/>
    <col min="206" max="206" width="10.44140625" style="169" bestFit="1" customWidth="1"/>
    <col min="207" max="207" width="27.33203125" style="169" bestFit="1" customWidth="1"/>
    <col min="208" max="211" width="12" style="169" bestFit="1" customWidth="1"/>
    <col min="212" max="213" width="10.6640625" style="169"/>
    <col min="214" max="216" width="6.44140625" style="169" bestFit="1" customWidth="1"/>
    <col min="217" max="217" width="7.44140625" style="169" bestFit="1" customWidth="1"/>
    <col min="218" max="218" width="11.109375" style="169" bestFit="1" customWidth="1"/>
    <col min="219" max="219" width="27.33203125" style="169" bestFit="1" customWidth="1"/>
    <col min="220" max="220" width="7" style="169" customWidth="1"/>
    <col min="221" max="224" width="12" style="169" bestFit="1" customWidth="1"/>
    <col min="225" max="225" width="7" style="169" customWidth="1"/>
    <col min="226" max="226" width="11" style="169" bestFit="1" customWidth="1"/>
    <col min="227" max="227" width="8.88671875" style="169" customWidth="1"/>
    <col min="228" max="229" width="10.6640625" style="169"/>
    <col min="230" max="230" width="11.44140625" style="169" bestFit="1" customWidth="1"/>
    <col min="231" max="231" width="11.88671875" style="169" bestFit="1" customWidth="1"/>
    <col min="232" max="234" width="6.44140625" style="169" customWidth="1"/>
    <col min="235" max="235" width="10.6640625" style="169"/>
    <col min="236" max="236" width="11.109375" style="169" bestFit="1" customWidth="1"/>
    <col min="237" max="237" width="12.109375" style="169" bestFit="1" customWidth="1"/>
    <col min="238" max="238" width="12" style="169" bestFit="1" customWidth="1"/>
    <col min="239" max="239" width="12.109375" style="169" bestFit="1" customWidth="1"/>
    <col min="240" max="240" width="10.44140625" style="169" customWidth="1"/>
    <col min="241" max="241" width="6" style="169" customWidth="1"/>
    <col min="242" max="242" width="5.88671875" style="169" customWidth="1"/>
    <col min="243" max="243" width="6.33203125" style="169" customWidth="1"/>
    <col min="244" max="244" width="7.33203125" style="169" customWidth="1"/>
    <col min="245" max="245" width="7.44140625" style="169" customWidth="1"/>
    <col min="246" max="246" width="7.6640625" style="169" customWidth="1"/>
    <col min="247" max="247" width="11.109375" style="169" bestFit="1" customWidth="1"/>
    <col min="248" max="248" width="11.6640625" style="169" bestFit="1" customWidth="1"/>
    <col min="249" max="249" width="11.88671875" style="169" bestFit="1" customWidth="1"/>
    <col min="250" max="250" width="7.5546875" style="169" bestFit="1" customWidth="1"/>
    <col min="251" max="251" width="12" style="169" bestFit="1" customWidth="1"/>
    <col min="252" max="252" width="7" style="169" bestFit="1" customWidth="1"/>
    <col min="253" max="253" width="12.88671875" style="169" bestFit="1" customWidth="1"/>
    <col min="254" max="255" width="13.33203125" style="169" bestFit="1" customWidth="1"/>
    <col min="256" max="256" width="6.44140625" style="169" bestFit="1" customWidth="1"/>
    <col min="257" max="257" width="6.33203125" style="169" bestFit="1" customWidth="1"/>
    <col min="258" max="258" width="6.44140625" style="169" bestFit="1" customWidth="1"/>
    <col min="259" max="259" width="12.109375" style="169" bestFit="1" customWidth="1"/>
    <col min="260" max="260" width="9.5546875" style="169" bestFit="1" customWidth="1"/>
    <col min="261" max="261" width="12.5546875" style="169" bestFit="1" customWidth="1"/>
    <col min="262" max="262" width="7.6640625" style="169" bestFit="1" customWidth="1"/>
    <col min="263" max="263" width="7.88671875" style="169" bestFit="1" customWidth="1"/>
    <col min="264" max="264" width="11.5546875" style="169" bestFit="1" customWidth="1"/>
    <col min="265" max="265" width="27.33203125" style="169" bestFit="1" customWidth="1"/>
    <col min="266" max="269" width="12" style="169" bestFit="1" customWidth="1"/>
    <col min="270" max="270" width="12.109375" style="169" bestFit="1" customWidth="1"/>
    <col min="271" max="271" width="11.5546875" style="169" bestFit="1" customWidth="1"/>
    <col min="272" max="274" width="7.109375" style="169" bestFit="1" customWidth="1"/>
    <col min="275" max="275" width="7.88671875" style="169" bestFit="1" customWidth="1"/>
    <col min="276" max="276" width="11.109375" style="169" bestFit="1" customWidth="1"/>
    <col min="277" max="278" width="10.6640625" style="169"/>
    <col min="279" max="279" width="14.109375" style="169" bestFit="1" customWidth="1"/>
    <col min="280" max="280" width="12.33203125" style="169" bestFit="1" customWidth="1"/>
    <col min="281" max="281" width="10.6640625" style="169"/>
    <col min="282" max="282" width="10.33203125" style="169" customWidth="1"/>
    <col min="283" max="16384" width="10.6640625" style="169"/>
  </cols>
  <sheetData>
    <row r="1" spans="1:284" s="160" customFormat="1" ht="14.4" x14ac:dyDescent="0.25">
      <c r="A1" s="182" t="s">
        <v>144</v>
      </c>
      <c r="B1" s="182" t="s">
        <v>145</v>
      </c>
      <c r="C1" s="171" t="s">
        <v>135</v>
      </c>
      <c r="D1" s="171" t="s">
        <v>73</v>
      </c>
      <c r="E1" s="160" t="s">
        <v>130</v>
      </c>
      <c r="F1" s="171" t="s">
        <v>146</v>
      </c>
      <c r="G1" s="171" t="s">
        <v>147</v>
      </c>
      <c r="H1" s="171" t="s">
        <v>148</v>
      </c>
      <c r="I1" s="171" t="s">
        <v>150</v>
      </c>
      <c r="J1" s="171" t="s">
        <v>434</v>
      </c>
      <c r="K1" s="171" t="s">
        <v>435</v>
      </c>
      <c r="L1" s="629" t="s">
        <v>436</v>
      </c>
      <c r="M1" s="629" t="s">
        <v>437</v>
      </c>
      <c r="N1" s="171" t="s">
        <v>139</v>
      </c>
      <c r="O1" s="171" t="s">
        <v>136</v>
      </c>
      <c r="P1" s="171" t="s">
        <v>140</v>
      </c>
      <c r="Q1" s="160" t="s">
        <v>151</v>
      </c>
      <c r="R1" s="160" t="s">
        <v>153</v>
      </c>
      <c r="S1" s="171" t="s">
        <v>149</v>
      </c>
      <c r="T1" s="171" t="s">
        <v>129</v>
      </c>
      <c r="U1" s="171" t="s">
        <v>131</v>
      </c>
      <c r="V1" s="171" t="s">
        <v>132</v>
      </c>
      <c r="W1" s="171" t="s">
        <v>133</v>
      </c>
      <c r="X1" s="171" t="s">
        <v>134</v>
      </c>
      <c r="Y1" s="171" t="s">
        <v>137</v>
      </c>
      <c r="Z1" s="171" t="s">
        <v>138</v>
      </c>
      <c r="AA1" s="171" t="s">
        <v>141</v>
      </c>
      <c r="AB1" s="171" t="s">
        <v>142</v>
      </c>
      <c r="AC1" s="171" t="s">
        <v>143</v>
      </c>
      <c r="AD1" s="171" t="s">
        <v>152</v>
      </c>
      <c r="AE1" s="171" t="s">
        <v>154</v>
      </c>
      <c r="AF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82"/>
      <c r="AW1" s="182"/>
      <c r="AX1" s="171"/>
      <c r="AY1" s="171"/>
      <c r="AZ1" s="171"/>
      <c r="BA1" s="171"/>
      <c r="BB1" s="171"/>
      <c r="BC1" s="171"/>
      <c r="BD1" s="171"/>
      <c r="BF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IN1" s="416"/>
      <c r="IO1" s="416"/>
      <c r="IR1" s="417"/>
      <c r="IS1" s="417"/>
      <c r="IT1" s="416"/>
      <c r="IU1" s="416"/>
      <c r="IV1" s="416"/>
      <c r="IY1" s="417"/>
      <c r="JA1" s="417"/>
      <c r="JD1" s="416"/>
      <c r="JE1" s="416"/>
      <c r="JF1" s="416"/>
      <c r="JG1" s="416"/>
      <c r="JH1" s="417"/>
      <c r="JI1" s="417"/>
      <c r="JK1" s="417"/>
      <c r="JL1" s="416"/>
      <c r="JM1" s="416"/>
      <c r="JN1" s="416"/>
      <c r="JP1" s="416"/>
      <c r="JS1" s="416"/>
      <c r="JT1" s="416"/>
      <c r="JX1" s="416"/>
    </row>
    <row r="2" spans="1:284" x14ac:dyDescent="0.25">
      <c r="A2" s="182"/>
      <c r="B2" s="182"/>
      <c r="C2" s="171"/>
      <c r="D2" s="171"/>
      <c r="E2" s="160"/>
      <c r="F2" s="171"/>
      <c r="G2" s="171"/>
      <c r="H2"/>
      <c r="I2" s="171"/>
      <c r="J2"/>
      <c r="K2"/>
      <c r="L2" s="247"/>
      <c r="M2" s="247"/>
      <c r="N2" s="171"/>
      <c r="O2" s="171"/>
      <c r="P2" s="171"/>
      <c r="Q2" s="160"/>
      <c r="R2" s="160"/>
      <c r="S2" s="171"/>
      <c r="T2" s="171"/>
      <c r="Y2" s="171"/>
      <c r="Z2" s="171"/>
      <c r="AA2" s="171"/>
      <c r="AB2" s="171"/>
      <c r="AC2" s="171"/>
      <c r="AD2" s="171"/>
      <c r="AE2" s="171"/>
      <c r="AF2" s="171"/>
      <c r="AN2" s="171"/>
      <c r="AO2" s="171"/>
      <c r="AP2" s="171"/>
      <c r="AQ2" s="171"/>
      <c r="AR2" s="171"/>
      <c r="AS2" s="171"/>
      <c r="AT2" s="171"/>
      <c r="AU2" s="171"/>
      <c r="AX2" s="171"/>
      <c r="AY2" s="171"/>
      <c r="AZ2" s="171"/>
      <c r="BA2" s="171"/>
      <c r="BB2" s="171"/>
      <c r="BF2" s="171"/>
      <c r="BH2" s="171"/>
    </row>
    <row r="3" spans="1:284" x14ac:dyDescent="0.25">
      <c r="A3" s="182"/>
      <c r="B3" s="182"/>
      <c r="C3" s="171"/>
      <c r="D3" s="171"/>
      <c r="E3" s="160"/>
      <c r="F3" s="171"/>
      <c r="G3" s="171"/>
      <c r="H3"/>
      <c r="I3" s="171"/>
      <c r="J3"/>
      <c r="K3"/>
      <c r="L3" s="247"/>
      <c r="M3" s="247"/>
      <c r="N3" s="171"/>
      <c r="O3" s="171"/>
      <c r="P3" s="171"/>
      <c r="Q3" s="160"/>
      <c r="R3" s="160"/>
      <c r="S3" s="171"/>
      <c r="T3" s="171"/>
      <c r="Y3" s="171"/>
      <c r="Z3" s="171"/>
      <c r="AA3" s="171"/>
      <c r="AB3" s="171"/>
      <c r="AC3" s="171"/>
      <c r="AD3" s="171"/>
      <c r="AE3" s="171"/>
      <c r="AF3" s="171"/>
      <c r="AN3" s="171"/>
      <c r="AO3" s="171"/>
      <c r="AP3" s="171"/>
      <c r="AQ3" s="171"/>
      <c r="AR3" s="171"/>
      <c r="AS3" s="171"/>
      <c r="AT3" s="171"/>
      <c r="AU3" s="171"/>
      <c r="AX3" s="171"/>
      <c r="AY3" s="171"/>
      <c r="AZ3" s="171"/>
      <c r="BA3" s="171"/>
      <c r="BB3" s="171"/>
      <c r="BC3" s="171"/>
      <c r="BD3" s="171"/>
      <c r="BF3" s="171"/>
      <c r="BH3" s="171"/>
      <c r="BI3" s="168"/>
      <c r="BL3" s="168"/>
      <c r="BM3" s="168"/>
      <c r="BN3" s="168"/>
      <c r="BO3" s="168"/>
      <c r="BP3" s="168"/>
      <c r="BQ3" s="168"/>
      <c r="BR3" s="168"/>
      <c r="BS3" s="168"/>
      <c r="BT3" s="168"/>
      <c r="BU3" s="168"/>
      <c r="BV3" s="168"/>
      <c r="BW3" s="168"/>
      <c r="BX3" s="168"/>
      <c r="BY3" s="168"/>
      <c r="BZ3" s="168"/>
      <c r="CA3" s="168"/>
      <c r="CB3" s="168"/>
      <c r="CC3" s="168"/>
      <c r="CD3" s="168"/>
      <c r="CE3" s="168"/>
      <c r="CF3" s="168"/>
      <c r="CG3" s="168"/>
      <c r="CH3" s="168"/>
      <c r="CI3" s="168"/>
      <c r="CJ3" s="168"/>
      <c r="CK3" s="168"/>
      <c r="CL3" s="168"/>
      <c r="CM3" s="168"/>
      <c r="CN3" s="168"/>
      <c r="CO3" s="168"/>
      <c r="CP3" s="168"/>
      <c r="CQ3" s="168"/>
      <c r="CR3" s="168"/>
      <c r="CS3" s="168"/>
      <c r="CT3" s="168"/>
      <c r="CU3" s="168"/>
      <c r="CV3" s="168"/>
      <c r="CW3" s="168"/>
      <c r="CX3" s="168"/>
    </row>
    <row r="4" spans="1:284" x14ac:dyDescent="0.25">
      <c r="A4" s="182"/>
      <c r="B4" s="182"/>
      <c r="C4" s="171"/>
      <c r="D4" s="171"/>
      <c r="E4" s="160"/>
      <c r="F4" s="171"/>
      <c r="G4" s="171"/>
      <c r="H4"/>
      <c r="I4" s="171"/>
      <c r="J4"/>
      <c r="K4"/>
      <c r="L4" s="247"/>
      <c r="M4" s="247"/>
      <c r="N4" s="171"/>
      <c r="O4" s="171"/>
      <c r="P4" s="171"/>
      <c r="Q4" s="160"/>
      <c r="R4" s="160"/>
      <c r="S4" s="171"/>
      <c r="T4" s="171"/>
      <c r="Y4" s="171"/>
      <c r="Z4" s="171"/>
      <c r="AA4" s="171"/>
      <c r="AB4" s="171"/>
      <c r="AC4" s="171"/>
      <c r="AD4" s="171"/>
      <c r="AE4" s="171"/>
      <c r="AF4" s="171"/>
      <c r="AN4" s="171"/>
      <c r="AO4" s="171"/>
      <c r="AP4" s="171"/>
      <c r="AQ4" s="171"/>
      <c r="AR4" s="171"/>
      <c r="AS4" s="171"/>
      <c r="AT4" s="171"/>
      <c r="AU4" s="171"/>
      <c r="AX4" s="171"/>
      <c r="AY4" s="171"/>
      <c r="AZ4" s="171"/>
      <c r="BA4" s="171"/>
      <c r="BB4" s="171"/>
      <c r="BF4" s="171"/>
      <c r="BH4" s="171"/>
    </row>
    <row r="5" spans="1:284" x14ac:dyDescent="0.25">
      <c r="A5" s="182"/>
      <c r="B5" s="182"/>
      <c r="C5" s="171"/>
      <c r="D5" s="171"/>
      <c r="E5" s="160"/>
      <c r="F5" s="171"/>
      <c r="G5" s="171"/>
      <c r="H5"/>
      <c r="I5" s="171"/>
      <c r="J5"/>
      <c r="K5"/>
      <c r="L5" s="247"/>
      <c r="M5" s="247"/>
      <c r="N5" s="171"/>
      <c r="O5" s="171"/>
      <c r="P5" s="171"/>
      <c r="Q5" s="160"/>
      <c r="R5" s="160"/>
      <c r="S5" s="171"/>
      <c r="T5" s="171"/>
      <c r="Y5" s="171"/>
      <c r="Z5" s="171"/>
      <c r="AA5" s="171"/>
      <c r="AB5" s="171"/>
      <c r="AC5" s="171"/>
      <c r="AD5" s="171"/>
      <c r="AE5" s="171"/>
      <c r="AF5" s="171"/>
      <c r="AN5" s="171"/>
      <c r="AO5" s="171"/>
      <c r="AP5" s="171"/>
      <c r="AQ5" s="171"/>
      <c r="AR5" s="171"/>
      <c r="AS5" s="171"/>
      <c r="AT5" s="171"/>
      <c r="AU5" s="171"/>
      <c r="AX5" s="171"/>
      <c r="AY5" s="171"/>
      <c r="AZ5" s="171"/>
      <c r="BA5" s="171"/>
      <c r="BB5" s="171"/>
      <c r="BF5" s="171"/>
      <c r="BH5" s="171"/>
    </row>
    <row r="6" spans="1:284" x14ac:dyDescent="0.25">
      <c r="A6" s="182"/>
      <c r="B6" s="182"/>
      <c r="C6" s="171"/>
      <c r="D6" s="171"/>
      <c r="E6" s="160"/>
      <c r="F6" s="171"/>
      <c r="G6" s="171"/>
      <c r="H6"/>
      <c r="I6" s="171"/>
      <c r="J6"/>
      <c r="K6"/>
      <c r="L6" s="247"/>
      <c r="M6" s="247"/>
      <c r="N6" s="171"/>
      <c r="O6" s="171"/>
      <c r="P6" s="171"/>
      <c r="Q6" s="160"/>
      <c r="R6" s="160"/>
      <c r="S6" s="171"/>
      <c r="T6" s="171"/>
      <c r="Y6" s="171"/>
      <c r="Z6" s="171"/>
      <c r="AA6" s="171"/>
      <c r="AB6" s="171"/>
      <c r="AC6" s="171"/>
      <c r="AD6" s="171"/>
      <c r="AE6" s="171"/>
      <c r="AF6" s="171"/>
      <c r="AN6" s="171"/>
      <c r="AO6" s="171"/>
      <c r="AP6" s="171"/>
      <c r="AQ6" s="171"/>
      <c r="AR6" s="171"/>
      <c r="AS6" s="171"/>
      <c r="AT6" s="171"/>
      <c r="AU6" s="171"/>
      <c r="AX6" s="171"/>
      <c r="AY6" s="171"/>
      <c r="AZ6" s="171"/>
      <c r="BA6" s="171"/>
      <c r="BB6" s="171"/>
      <c r="BF6" s="171"/>
      <c r="BH6" s="171"/>
    </row>
    <row r="7" spans="1:284" x14ac:dyDescent="0.25">
      <c r="A7" s="182"/>
      <c r="B7" s="182"/>
      <c r="C7" s="171"/>
      <c r="D7" s="171"/>
      <c r="E7" s="160"/>
      <c r="F7" s="171"/>
      <c r="G7" s="171"/>
      <c r="H7" s="171"/>
      <c r="I7" s="171"/>
      <c r="J7" s="171"/>
      <c r="K7" s="171"/>
      <c r="L7" s="629"/>
      <c r="M7" s="629"/>
      <c r="N7" s="171"/>
      <c r="O7" s="171"/>
      <c r="P7" s="171"/>
      <c r="Q7" s="160"/>
      <c r="R7" s="160"/>
      <c r="S7" s="171"/>
      <c r="T7" s="171"/>
      <c r="Y7" s="171"/>
      <c r="Z7" s="171"/>
      <c r="AA7" s="171"/>
      <c r="AB7" s="171"/>
      <c r="AC7" s="171"/>
      <c r="AD7" s="171"/>
      <c r="AE7" s="171"/>
      <c r="AF7" s="171"/>
      <c r="AN7" s="171"/>
      <c r="AO7" s="171"/>
      <c r="AP7" s="171"/>
      <c r="AQ7" s="171"/>
      <c r="AR7" s="171"/>
      <c r="AS7" s="171"/>
      <c r="AT7" s="171"/>
      <c r="AU7" s="171"/>
      <c r="AX7" s="171"/>
      <c r="AY7" s="171"/>
      <c r="AZ7" s="171"/>
      <c r="BA7" s="171"/>
      <c r="BB7" s="171"/>
      <c r="BF7" s="171"/>
      <c r="BH7" s="171"/>
    </row>
    <row r="8" spans="1:284" x14ac:dyDescent="0.25">
      <c r="A8" s="182"/>
      <c r="B8" s="182"/>
      <c r="C8" s="171"/>
      <c r="D8" s="171"/>
      <c r="E8" s="160"/>
      <c r="F8" s="171"/>
      <c r="G8" s="171"/>
      <c r="H8"/>
      <c r="I8" s="171"/>
      <c r="J8"/>
      <c r="K8"/>
      <c r="L8" s="247"/>
      <c r="M8" s="247"/>
      <c r="N8" s="171"/>
      <c r="O8" s="171"/>
      <c r="P8" s="171"/>
      <c r="Q8" s="160"/>
      <c r="R8" s="160"/>
      <c r="S8" s="171"/>
      <c r="T8" s="171"/>
      <c r="Y8" s="171"/>
      <c r="Z8" s="171"/>
      <c r="AA8" s="171"/>
      <c r="AB8" s="171"/>
      <c r="AC8" s="171"/>
      <c r="AD8" s="171"/>
      <c r="AE8" s="171"/>
      <c r="AF8" s="171"/>
      <c r="AN8" s="171"/>
      <c r="AO8" s="171"/>
      <c r="AP8" s="171"/>
      <c r="AQ8" s="171"/>
      <c r="AR8" s="171"/>
      <c r="AS8" s="171"/>
      <c r="AT8" s="171"/>
      <c r="AU8" s="171"/>
      <c r="AX8" s="171"/>
      <c r="AY8" s="171"/>
      <c r="AZ8" s="171"/>
      <c r="BA8" s="171"/>
      <c r="BB8" s="171"/>
      <c r="BF8" s="171"/>
      <c r="BH8" s="171"/>
    </row>
    <row r="9" spans="1:284" x14ac:dyDescent="0.25">
      <c r="A9" s="182"/>
      <c r="B9" s="182"/>
      <c r="C9" s="171"/>
      <c r="D9" s="171"/>
      <c r="E9" s="160"/>
      <c r="F9" s="171"/>
      <c r="G9" s="171"/>
      <c r="H9"/>
      <c r="I9" s="171"/>
      <c r="J9"/>
      <c r="K9"/>
      <c r="L9" s="247"/>
      <c r="M9" s="247"/>
      <c r="N9" s="171"/>
      <c r="O9" s="171"/>
      <c r="P9" s="171"/>
      <c r="Q9" s="160"/>
      <c r="R9" s="160"/>
      <c r="S9" s="171"/>
      <c r="T9" s="171"/>
      <c r="Y9" s="171"/>
      <c r="Z9" s="171"/>
      <c r="AA9" s="171"/>
      <c r="AB9" s="171"/>
      <c r="AC9" s="171"/>
      <c r="AD9" s="171"/>
      <c r="AE9" s="171"/>
      <c r="AF9" s="171"/>
      <c r="AN9" s="171"/>
      <c r="AO9" s="171"/>
      <c r="AP9" s="171"/>
      <c r="AQ9" s="171"/>
      <c r="AR9" s="171"/>
      <c r="AS9" s="171"/>
      <c r="AT9" s="171"/>
      <c r="AU9" s="171"/>
      <c r="AX9" s="171"/>
      <c r="AY9" s="171"/>
      <c r="AZ9" s="171"/>
      <c r="BA9" s="171"/>
      <c r="BB9" s="171"/>
      <c r="BF9" s="171"/>
      <c r="BH9" s="171"/>
    </row>
    <row r="10" spans="1:284" x14ac:dyDescent="0.25">
      <c r="A10" s="182"/>
      <c r="B10" s="182"/>
      <c r="C10" s="171"/>
      <c r="D10" s="171"/>
      <c r="E10" s="160"/>
      <c r="F10" s="171"/>
      <c r="G10" s="171"/>
      <c r="H10"/>
      <c r="I10" s="171"/>
      <c r="J10"/>
      <c r="K10"/>
      <c r="L10" s="247"/>
      <c r="M10" s="247"/>
      <c r="N10" s="171"/>
      <c r="O10" s="171"/>
      <c r="P10" s="171"/>
      <c r="Q10" s="160"/>
      <c r="R10" s="160"/>
      <c r="S10" s="171"/>
      <c r="T10" s="171"/>
      <c r="Y10" s="171"/>
      <c r="Z10" s="171"/>
      <c r="AA10" s="171"/>
      <c r="AB10" s="171"/>
      <c r="AC10" s="171"/>
      <c r="AD10" s="171"/>
      <c r="AE10" s="171"/>
      <c r="AF10" s="171"/>
      <c r="AN10" s="171"/>
      <c r="AO10" s="171"/>
      <c r="AP10" s="171"/>
      <c r="AQ10" s="171"/>
      <c r="AR10" s="171"/>
      <c r="AS10" s="171"/>
      <c r="AT10" s="171"/>
      <c r="AU10" s="171"/>
      <c r="AX10" s="171"/>
      <c r="AY10" s="171"/>
      <c r="AZ10" s="171"/>
      <c r="BA10" s="171"/>
      <c r="BB10" s="171"/>
      <c r="BF10" s="171"/>
      <c r="BH10" s="171"/>
    </row>
    <row r="11" spans="1:284" x14ac:dyDescent="0.25">
      <c r="A11" s="182"/>
      <c r="B11" s="182"/>
      <c r="C11" s="171"/>
      <c r="D11" s="171"/>
      <c r="E11" s="160"/>
      <c r="F11" s="171"/>
      <c r="G11" s="171"/>
      <c r="H11"/>
      <c r="I11" s="171"/>
      <c r="J11"/>
      <c r="K11"/>
      <c r="L11" s="247"/>
      <c r="M11" s="247"/>
      <c r="N11" s="171"/>
      <c r="O11" s="171"/>
      <c r="P11" s="171"/>
      <c r="Q11" s="160"/>
      <c r="R11" s="160"/>
      <c r="S11" s="171"/>
      <c r="T11" s="171"/>
      <c r="Y11" s="171"/>
      <c r="Z11" s="171"/>
      <c r="AA11" s="171"/>
      <c r="AB11" s="171"/>
      <c r="AC11" s="171"/>
      <c r="AD11" s="171"/>
      <c r="AE11" s="171"/>
      <c r="AF11" s="171"/>
      <c r="AN11" s="171"/>
      <c r="AO11" s="171"/>
      <c r="AP11" s="171"/>
      <c r="AQ11" s="171"/>
      <c r="AR11" s="171"/>
      <c r="AS11" s="171"/>
      <c r="AT11" s="171"/>
      <c r="AU11" s="171"/>
      <c r="AX11" s="171"/>
      <c r="AY11" s="171"/>
      <c r="AZ11" s="171"/>
      <c r="BA11" s="171"/>
      <c r="BB11" s="171"/>
      <c r="BF11" s="171"/>
      <c r="BH11" s="171"/>
    </row>
    <row r="12" spans="1:284" x14ac:dyDescent="0.25">
      <c r="A12" s="182"/>
      <c r="B12" s="182"/>
      <c r="C12" s="171"/>
      <c r="D12" s="171"/>
      <c r="E12" s="160"/>
      <c r="F12" s="171"/>
      <c r="G12" s="171"/>
      <c r="H12" s="171"/>
      <c r="I12" s="171"/>
      <c r="J12" s="171"/>
      <c r="K12" s="171"/>
      <c r="L12" s="629"/>
      <c r="M12" s="629"/>
      <c r="N12" s="171"/>
      <c r="O12" s="171"/>
      <c r="P12" s="171"/>
      <c r="Q12" s="160"/>
      <c r="R12" s="160"/>
      <c r="S12" s="171"/>
      <c r="T12" s="171"/>
      <c r="Y12" s="171"/>
      <c r="Z12" s="171"/>
      <c r="AA12" s="171"/>
      <c r="AB12" s="171"/>
      <c r="AC12" s="171"/>
      <c r="AD12" s="171"/>
      <c r="AE12" s="171"/>
      <c r="AF12" s="171"/>
      <c r="AN12" s="171"/>
      <c r="AO12" s="171"/>
      <c r="AP12" s="171"/>
      <c r="AQ12" s="171"/>
      <c r="AR12" s="171"/>
      <c r="AS12" s="171"/>
      <c r="AT12" s="171"/>
      <c r="AU12" s="171"/>
      <c r="AX12" s="171"/>
      <c r="AY12" s="171"/>
      <c r="AZ12" s="171"/>
      <c r="BA12" s="171"/>
      <c r="BB12" s="171"/>
      <c r="BF12" s="171"/>
      <c r="BH12" s="171"/>
    </row>
    <row r="13" spans="1:284" x14ac:dyDescent="0.25">
      <c r="A13" s="182"/>
      <c r="B13" s="182"/>
      <c r="C13" s="171"/>
      <c r="D13" s="171"/>
      <c r="E13" s="160"/>
      <c r="F13" s="171"/>
      <c r="G13" s="171"/>
      <c r="H13" s="171"/>
      <c r="I13" s="171"/>
      <c r="J13" s="171"/>
      <c r="K13" s="171"/>
      <c r="L13" s="629"/>
      <c r="M13" s="629"/>
      <c r="N13" s="171"/>
      <c r="O13" s="171"/>
      <c r="P13" s="171"/>
      <c r="Q13" s="160"/>
      <c r="R13" s="160"/>
      <c r="S13" s="171"/>
      <c r="T13" s="171"/>
      <c r="Y13" s="171"/>
      <c r="Z13" s="171"/>
      <c r="AA13" s="171"/>
      <c r="AB13" s="171"/>
      <c r="AC13" s="171"/>
      <c r="AD13" s="171"/>
      <c r="AE13" s="171"/>
      <c r="AF13" s="171"/>
      <c r="AN13" s="171"/>
      <c r="AO13" s="171"/>
      <c r="AP13" s="171"/>
      <c r="AQ13" s="171"/>
      <c r="AR13" s="171"/>
      <c r="AS13" s="171"/>
      <c r="AT13" s="171"/>
      <c r="AU13" s="171"/>
      <c r="AX13" s="171"/>
      <c r="AY13" s="171"/>
      <c r="AZ13" s="171"/>
      <c r="BA13" s="171"/>
      <c r="BB13" s="171"/>
      <c r="BF13" s="171"/>
      <c r="BH13" s="171"/>
    </row>
    <row r="14" spans="1:284" x14ac:dyDescent="0.25">
      <c r="A14" s="182"/>
      <c r="B14" s="182"/>
      <c r="C14" s="171"/>
      <c r="D14" s="171"/>
      <c r="E14" s="160"/>
      <c r="F14" s="171"/>
      <c r="G14" s="171"/>
      <c r="H14"/>
      <c r="I14" s="171"/>
      <c r="J14"/>
      <c r="K14"/>
      <c r="L14" s="247"/>
      <c r="M14" s="247"/>
      <c r="N14" s="171"/>
      <c r="O14" s="171"/>
      <c r="P14" s="171"/>
      <c r="Q14" s="160"/>
      <c r="R14" s="160"/>
      <c r="S14" s="171"/>
      <c r="T14" s="171"/>
      <c r="Y14" s="171"/>
      <c r="Z14" s="171"/>
      <c r="AA14" s="171"/>
      <c r="AB14" s="171"/>
      <c r="AC14" s="171"/>
      <c r="AD14" s="171"/>
      <c r="AE14" s="171"/>
      <c r="AF14" s="171"/>
      <c r="AN14" s="171"/>
      <c r="AO14" s="171"/>
      <c r="AP14" s="171"/>
      <c r="AQ14" s="171"/>
      <c r="AR14" s="171"/>
      <c r="AS14" s="171"/>
      <c r="AT14" s="171"/>
      <c r="AU14" s="171"/>
      <c r="AX14" s="171"/>
      <c r="AY14" s="171"/>
      <c r="AZ14" s="171"/>
      <c r="BA14" s="171"/>
      <c r="BB14" s="171"/>
      <c r="BF14" s="171"/>
      <c r="BH14" s="171"/>
    </row>
    <row r="15" spans="1:284" x14ac:dyDescent="0.25">
      <c r="A15" s="182"/>
      <c r="B15" s="182"/>
      <c r="C15" s="171"/>
      <c r="D15" s="171"/>
      <c r="E15" s="160"/>
      <c r="F15" s="171"/>
      <c r="G15" s="171"/>
      <c r="H15" s="171"/>
      <c r="I15" s="171"/>
      <c r="J15" s="171"/>
      <c r="K15" s="171"/>
      <c r="L15" s="629"/>
      <c r="M15" s="629"/>
      <c r="N15" s="171"/>
      <c r="O15" s="171"/>
      <c r="P15" s="171"/>
      <c r="Q15" s="160"/>
      <c r="R15" s="160"/>
      <c r="S15" s="171"/>
      <c r="T15" s="171"/>
      <c r="Y15" s="171"/>
      <c r="Z15" s="171"/>
      <c r="AA15" s="171"/>
      <c r="AB15" s="171"/>
      <c r="AC15" s="171"/>
      <c r="AD15" s="171"/>
      <c r="AE15" s="171"/>
      <c r="AF15" s="171"/>
      <c r="AN15" s="171"/>
      <c r="AO15" s="171"/>
      <c r="AP15" s="171"/>
      <c r="AQ15" s="171"/>
      <c r="AR15" s="171"/>
      <c r="AS15" s="171"/>
      <c r="AT15" s="171"/>
      <c r="AU15" s="171"/>
      <c r="AX15" s="171"/>
      <c r="AY15" s="171"/>
      <c r="AZ15" s="171"/>
      <c r="BA15" s="171"/>
      <c r="BB15" s="171"/>
      <c r="BC15" s="171"/>
      <c r="BD15" s="171"/>
      <c r="BF15" s="171"/>
      <c r="BH15" s="171"/>
      <c r="BI15" s="168"/>
      <c r="BJ15" s="168"/>
      <c r="BL15" s="168"/>
      <c r="BM15" s="168"/>
      <c r="BN15" s="168"/>
      <c r="BO15" s="168"/>
      <c r="BP15" s="168"/>
      <c r="BQ15" s="168"/>
      <c r="BR15" s="168"/>
      <c r="BS15" s="168"/>
      <c r="BT15" s="168"/>
      <c r="BU15" s="168"/>
      <c r="BV15" s="168"/>
      <c r="BW15" s="168"/>
      <c r="BX15" s="168"/>
      <c r="BY15" s="168"/>
      <c r="BZ15" s="168"/>
      <c r="CA15" s="168"/>
      <c r="CB15" s="168"/>
      <c r="CC15" s="168"/>
      <c r="CD15" s="168"/>
      <c r="CE15" s="168"/>
      <c r="CF15" s="168"/>
      <c r="CG15" s="168"/>
      <c r="CH15" s="168"/>
      <c r="CI15" s="168"/>
      <c r="CJ15" s="168"/>
      <c r="CK15" s="168"/>
      <c r="CL15" s="168"/>
      <c r="CM15" s="168"/>
      <c r="CN15" s="168"/>
      <c r="CO15" s="168"/>
      <c r="CP15" s="168"/>
      <c r="CQ15" s="168"/>
      <c r="CR15" s="168"/>
      <c r="CS15" s="168"/>
      <c r="CT15" s="168"/>
      <c r="CU15" s="168"/>
      <c r="CV15" s="168"/>
      <c r="CW15" s="168"/>
      <c r="CX15" s="168"/>
    </row>
    <row r="16" spans="1:284" x14ac:dyDescent="0.25">
      <c r="A16" s="182"/>
      <c r="B16" s="182"/>
      <c r="C16" s="171"/>
      <c r="D16" s="171"/>
      <c r="E16" s="160"/>
      <c r="F16" s="171"/>
      <c r="G16" s="171"/>
      <c r="H16" s="171"/>
      <c r="I16" s="171"/>
      <c r="J16" s="171"/>
      <c r="K16" s="171"/>
      <c r="L16" s="629"/>
      <c r="M16" s="629"/>
      <c r="N16" s="171"/>
      <c r="O16" s="171"/>
      <c r="P16" s="171"/>
      <c r="Q16" s="160"/>
      <c r="R16" s="160"/>
      <c r="S16" s="171"/>
      <c r="T16" s="171"/>
      <c r="Y16" s="171"/>
      <c r="Z16" s="171"/>
      <c r="AA16" s="171"/>
      <c r="AB16" s="171"/>
      <c r="AC16" s="171"/>
      <c r="AD16" s="171"/>
      <c r="AE16" s="171"/>
      <c r="AF16" s="171"/>
      <c r="AN16" s="171"/>
      <c r="AO16" s="171"/>
      <c r="AP16" s="171"/>
      <c r="AQ16" s="171"/>
      <c r="AR16" s="171"/>
      <c r="AS16" s="171"/>
      <c r="AT16" s="171"/>
      <c r="AU16" s="171"/>
      <c r="AX16" s="171"/>
      <c r="AY16" s="171"/>
      <c r="AZ16" s="171"/>
      <c r="BA16" s="171"/>
      <c r="BB16" s="171"/>
      <c r="BF16" s="171"/>
      <c r="BH16" s="171"/>
    </row>
    <row r="17" spans="1:102" x14ac:dyDescent="0.25">
      <c r="A17" s="182"/>
      <c r="B17" s="182"/>
      <c r="C17" s="171"/>
      <c r="D17" s="171"/>
      <c r="E17" s="160"/>
      <c r="F17" s="171"/>
      <c r="G17" s="171"/>
      <c r="H17" s="171"/>
      <c r="I17" s="171"/>
      <c r="J17" s="171"/>
      <c r="K17" s="171"/>
      <c r="L17" s="629"/>
      <c r="M17" s="629"/>
      <c r="N17" s="171"/>
      <c r="O17" s="171"/>
      <c r="P17" s="171"/>
      <c r="Q17" s="160"/>
      <c r="R17" s="160"/>
      <c r="S17" s="171"/>
      <c r="T17" s="171"/>
      <c r="Y17" s="171"/>
      <c r="Z17" s="171"/>
      <c r="AA17" s="171"/>
      <c r="AB17" s="171"/>
      <c r="AC17" s="171"/>
      <c r="AD17" s="171"/>
      <c r="AE17" s="171"/>
      <c r="AF17" s="171"/>
      <c r="AN17" s="171"/>
      <c r="AO17" s="171"/>
      <c r="AP17" s="171"/>
      <c r="AQ17" s="171"/>
      <c r="AR17" s="171"/>
      <c r="AS17" s="171"/>
      <c r="AT17" s="171"/>
      <c r="AU17" s="171"/>
      <c r="AX17" s="171"/>
      <c r="AY17" s="171"/>
      <c r="AZ17" s="171"/>
      <c r="BA17" s="171"/>
      <c r="BB17" s="171"/>
      <c r="BF17" s="171"/>
      <c r="BH17" s="171"/>
    </row>
    <row r="18" spans="1:102" x14ac:dyDescent="0.25">
      <c r="A18" s="182"/>
      <c r="B18" s="182"/>
      <c r="C18" s="171"/>
      <c r="D18" s="171"/>
      <c r="E18" s="160"/>
      <c r="F18" s="171"/>
      <c r="G18" s="171"/>
      <c r="H18" s="171"/>
      <c r="I18" s="171"/>
      <c r="J18"/>
      <c r="K18"/>
      <c r="L18" s="247"/>
      <c r="M18" s="247"/>
      <c r="N18" s="171"/>
      <c r="O18" s="171"/>
      <c r="P18" s="171"/>
      <c r="Q18" s="160"/>
      <c r="R18" s="160"/>
      <c r="S18" s="171"/>
      <c r="T18" s="171"/>
      <c r="Y18" s="171"/>
      <c r="Z18" s="171"/>
      <c r="AA18" s="171"/>
      <c r="AB18" s="171"/>
      <c r="AC18" s="171"/>
      <c r="AD18" s="171"/>
      <c r="AE18" s="171"/>
      <c r="AF18" s="171"/>
      <c r="AN18" s="171"/>
      <c r="AO18" s="171"/>
      <c r="AP18" s="171"/>
      <c r="AQ18" s="171"/>
      <c r="AR18" s="171"/>
      <c r="AS18" s="171"/>
      <c r="AT18" s="171"/>
      <c r="AU18" s="171"/>
      <c r="AX18" s="171"/>
      <c r="AY18" s="171"/>
      <c r="AZ18" s="171"/>
      <c r="BA18" s="171"/>
      <c r="BB18" s="171"/>
      <c r="BF18" s="171"/>
      <c r="BH18" s="171"/>
    </row>
    <row r="19" spans="1:102" x14ac:dyDescent="0.25">
      <c r="A19" s="182"/>
      <c r="B19" s="182"/>
      <c r="C19" s="171"/>
      <c r="D19" s="171"/>
      <c r="E19" s="160"/>
      <c r="F19" s="171"/>
      <c r="G19" s="171"/>
      <c r="H19"/>
      <c r="I19" s="171"/>
      <c r="J19"/>
      <c r="K19"/>
      <c r="L19" s="247"/>
      <c r="M19" s="247"/>
      <c r="N19" s="171"/>
      <c r="O19" s="171"/>
      <c r="P19" s="171"/>
      <c r="Q19" s="160"/>
      <c r="R19" s="160"/>
      <c r="S19" s="171"/>
      <c r="T19" s="171"/>
      <c r="Y19" s="171"/>
      <c r="Z19" s="171"/>
      <c r="AA19" s="171"/>
      <c r="AB19" s="171"/>
      <c r="AC19" s="171"/>
      <c r="AD19" s="171"/>
      <c r="AE19" s="171"/>
      <c r="AF19" s="171"/>
      <c r="AN19" s="171"/>
      <c r="AO19" s="171"/>
      <c r="AP19" s="171"/>
      <c r="AQ19" s="171"/>
      <c r="AR19" s="171"/>
      <c r="AS19" s="171"/>
      <c r="AT19" s="171"/>
      <c r="AU19" s="171"/>
      <c r="AX19" s="171"/>
      <c r="AY19" s="171"/>
      <c r="AZ19" s="171"/>
      <c r="BA19" s="171"/>
      <c r="BB19" s="171"/>
      <c r="BF19" s="171"/>
      <c r="BH19" s="171"/>
    </row>
    <row r="20" spans="1:102" x14ac:dyDescent="0.25">
      <c r="A20" s="182"/>
      <c r="B20" s="182"/>
      <c r="C20" s="171"/>
      <c r="D20" s="171"/>
      <c r="E20" s="160"/>
      <c r="F20" s="171"/>
      <c r="G20" s="171"/>
      <c r="H20"/>
      <c r="I20" s="171"/>
      <c r="J20"/>
      <c r="K20"/>
      <c r="L20" s="247"/>
      <c r="M20" s="247"/>
      <c r="N20" s="171"/>
      <c r="O20" s="171"/>
      <c r="P20" s="171"/>
      <c r="Q20" s="160"/>
      <c r="R20" s="160"/>
      <c r="S20" s="171"/>
      <c r="T20" s="171"/>
      <c r="Y20" s="171"/>
      <c r="Z20" s="171"/>
      <c r="AA20" s="171"/>
      <c r="AB20" s="171"/>
      <c r="AC20" s="171"/>
      <c r="AD20" s="171"/>
      <c r="AE20" s="171"/>
      <c r="AF20" s="171"/>
      <c r="AN20" s="171"/>
      <c r="AO20" s="171"/>
      <c r="AP20" s="171"/>
      <c r="AQ20" s="171"/>
      <c r="AR20" s="171"/>
      <c r="AS20" s="171"/>
      <c r="AT20" s="171"/>
      <c r="AU20" s="171"/>
      <c r="AX20" s="171"/>
      <c r="AY20" s="171"/>
      <c r="AZ20" s="171"/>
      <c r="BA20" s="171"/>
      <c r="BB20" s="171"/>
      <c r="BF20" s="171"/>
      <c r="BH20" s="171"/>
    </row>
    <row r="21" spans="1:102" x14ac:dyDescent="0.25">
      <c r="A21" s="182"/>
      <c r="B21" s="182"/>
      <c r="C21" s="171"/>
      <c r="D21" s="171"/>
      <c r="E21" s="160"/>
      <c r="F21" s="171"/>
      <c r="G21" s="171"/>
      <c r="H21" s="171"/>
      <c r="I21" s="171"/>
      <c r="J21"/>
      <c r="K21"/>
      <c r="L21" s="247"/>
      <c r="M21" s="247"/>
      <c r="N21" s="171"/>
      <c r="O21" s="171"/>
      <c r="P21" s="171"/>
      <c r="Q21" s="160"/>
      <c r="R21" s="160"/>
      <c r="S21" s="171"/>
      <c r="T21" s="171"/>
      <c r="Y21" s="171"/>
      <c r="Z21" s="171"/>
      <c r="AA21" s="171"/>
      <c r="AB21" s="171"/>
      <c r="AC21" s="171"/>
      <c r="AD21" s="171"/>
      <c r="AE21" s="171"/>
      <c r="AF21" s="171"/>
      <c r="AN21" s="171"/>
      <c r="AO21" s="171"/>
      <c r="AP21" s="171"/>
      <c r="AQ21" s="171"/>
      <c r="AR21" s="171"/>
      <c r="AS21" s="171"/>
      <c r="AT21" s="171"/>
      <c r="AU21" s="171"/>
      <c r="AX21" s="171"/>
      <c r="AY21" s="171"/>
      <c r="AZ21" s="171"/>
      <c r="BA21" s="171"/>
      <c r="BB21" s="171"/>
      <c r="BF21" s="171"/>
      <c r="BH21" s="171"/>
    </row>
    <row r="22" spans="1:102" x14ac:dyDescent="0.25">
      <c r="A22" s="182"/>
      <c r="B22" s="182"/>
      <c r="C22" s="171"/>
      <c r="D22" s="171"/>
      <c r="E22" s="160"/>
      <c r="F22" s="171"/>
      <c r="G22" s="171"/>
      <c r="H22" s="171"/>
      <c r="I22" s="171"/>
      <c r="J22" s="171"/>
      <c r="K22" s="171"/>
      <c r="L22" s="629"/>
      <c r="M22" s="629"/>
      <c r="N22" s="171"/>
      <c r="O22" s="171"/>
      <c r="P22" s="171"/>
      <c r="Q22" s="160"/>
      <c r="R22" s="160"/>
      <c r="S22" s="171"/>
      <c r="T22" s="171"/>
      <c r="Y22" s="171"/>
      <c r="Z22" s="171"/>
      <c r="AA22" s="171"/>
      <c r="AB22" s="171"/>
      <c r="AC22" s="171"/>
      <c r="AD22" s="171"/>
      <c r="AE22" s="171"/>
      <c r="AF22" s="171"/>
      <c r="AN22" s="171"/>
      <c r="AO22" s="171"/>
      <c r="AP22" s="171"/>
      <c r="AQ22" s="171"/>
      <c r="AR22" s="171"/>
      <c r="AS22" s="171"/>
      <c r="AT22" s="171"/>
      <c r="AU22" s="171"/>
      <c r="AX22" s="171"/>
      <c r="AY22" s="171"/>
      <c r="AZ22" s="171"/>
      <c r="BA22" s="171"/>
      <c r="BB22" s="171"/>
      <c r="BC22" s="171"/>
      <c r="BD22" s="171"/>
      <c r="BF22" s="171"/>
      <c r="BH22" s="171"/>
      <c r="BI22" s="168"/>
      <c r="BL22" s="168"/>
      <c r="BM22" s="168"/>
      <c r="BN22" s="168"/>
      <c r="BO22" s="168"/>
      <c r="BP22" s="168"/>
      <c r="BQ22" s="168"/>
      <c r="BR22" s="168"/>
      <c r="BS22" s="168"/>
      <c r="BT22" s="168"/>
      <c r="BU22" s="168"/>
      <c r="BV22" s="168"/>
      <c r="BW22" s="168"/>
      <c r="BX22" s="168"/>
      <c r="BY22" s="168"/>
      <c r="BZ22" s="168"/>
      <c r="CA22" s="168"/>
      <c r="CB22" s="168"/>
      <c r="CC22" s="168"/>
      <c r="CD22" s="168"/>
      <c r="CE22" s="168"/>
      <c r="CF22" s="168"/>
      <c r="CG22" s="168"/>
      <c r="CH22" s="168"/>
      <c r="CI22" s="168"/>
      <c r="CJ22" s="168"/>
      <c r="CK22" s="168"/>
      <c r="CL22" s="168"/>
      <c r="CM22" s="168"/>
      <c r="CN22" s="168"/>
      <c r="CO22" s="168"/>
      <c r="CP22" s="168"/>
      <c r="CQ22" s="168"/>
      <c r="CR22" s="168"/>
      <c r="CS22" s="168"/>
      <c r="CT22" s="168"/>
      <c r="CU22" s="168"/>
      <c r="CV22" s="168"/>
      <c r="CW22" s="168"/>
      <c r="CX22" s="168"/>
    </row>
    <row r="23" spans="1:102" x14ac:dyDescent="0.25">
      <c r="A23" s="182"/>
      <c r="B23" s="182"/>
      <c r="C23" s="171"/>
      <c r="D23" s="171"/>
      <c r="E23" s="160"/>
      <c r="F23" s="171"/>
      <c r="G23" s="171"/>
      <c r="H23" s="171"/>
      <c r="I23" s="171"/>
      <c r="J23" s="171"/>
      <c r="K23" s="171"/>
      <c r="L23" s="629"/>
      <c r="M23" s="629"/>
      <c r="N23" s="171"/>
      <c r="O23" s="171"/>
      <c r="P23" s="171"/>
      <c r="Q23" s="160"/>
      <c r="R23" s="160"/>
      <c r="S23" s="171"/>
      <c r="T23" s="171"/>
      <c r="Y23" s="171"/>
      <c r="Z23" s="171"/>
      <c r="AA23" s="171"/>
      <c r="AB23" s="171"/>
      <c r="AC23" s="171"/>
      <c r="AD23" s="171"/>
      <c r="AE23" s="171"/>
      <c r="AF23" s="171"/>
      <c r="AN23" s="171"/>
      <c r="AO23" s="171"/>
      <c r="AP23" s="171"/>
      <c r="AQ23" s="171"/>
      <c r="AR23" s="171"/>
      <c r="AS23" s="171"/>
      <c r="AT23" s="171"/>
      <c r="AU23" s="171"/>
      <c r="AX23" s="171"/>
      <c r="AY23" s="171"/>
      <c r="AZ23" s="171"/>
      <c r="BA23" s="171"/>
      <c r="BB23" s="171"/>
      <c r="BF23" s="171"/>
      <c r="BH23" s="171"/>
    </row>
    <row r="24" spans="1:102" x14ac:dyDescent="0.25">
      <c r="A24" s="182"/>
      <c r="B24" s="182"/>
      <c r="C24" s="171"/>
      <c r="D24" s="171"/>
      <c r="E24" s="160"/>
      <c r="F24" s="171"/>
      <c r="G24" s="171"/>
      <c r="H24" s="171"/>
      <c r="I24" s="171"/>
      <c r="J24" s="171"/>
      <c r="K24" s="171"/>
      <c r="L24" s="629"/>
      <c r="M24" s="629"/>
      <c r="N24" s="171"/>
      <c r="O24" s="171"/>
      <c r="P24" s="171"/>
      <c r="Q24" s="160"/>
      <c r="R24" s="160"/>
      <c r="S24" s="171"/>
      <c r="T24" s="171"/>
      <c r="Y24" s="171"/>
      <c r="Z24" s="171"/>
      <c r="AA24" s="171"/>
      <c r="AB24" s="171"/>
      <c r="AC24" s="171"/>
      <c r="AD24" s="171"/>
      <c r="AE24" s="171"/>
      <c r="AF24" s="171"/>
      <c r="AN24" s="171"/>
      <c r="AO24" s="171"/>
      <c r="AP24" s="171"/>
      <c r="AQ24" s="171"/>
      <c r="AR24" s="171"/>
      <c r="AS24" s="171"/>
      <c r="AT24" s="171"/>
      <c r="AU24" s="171"/>
      <c r="AX24" s="171"/>
      <c r="AY24" s="171"/>
      <c r="AZ24" s="171"/>
      <c r="BA24" s="171"/>
      <c r="BB24" s="171"/>
      <c r="BF24" s="171"/>
      <c r="BH24" s="171"/>
    </row>
    <row r="25" spans="1:102" x14ac:dyDescent="0.25">
      <c r="A25" s="182"/>
      <c r="B25" s="182"/>
      <c r="C25" s="171"/>
      <c r="D25" s="171"/>
      <c r="E25" s="160"/>
      <c r="F25" s="171"/>
      <c r="G25" s="171"/>
      <c r="H25" s="171"/>
      <c r="I25" s="171"/>
      <c r="J25"/>
      <c r="K25"/>
      <c r="L25" s="247"/>
      <c r="M25" s="247"/>
      <c r="N25" s="171"/>
      <c r="O25" s="171"/>
      <c r="P25" s="171"/>
      <c r="Q25" s="160"/>
      <c r="R25" s="160"/>
      <c r="S25" s="171"/>
      <c r="T25" s="171"/>
      <c r="Y25" s="171"/>
      <c r="Z25" s="171"/>
      <c r="AA25" s="171"/>
      <c r="AB25" s="171"/>
      <c r="AC25" s="171"/>
      <c r="AD25" s="171"/>
      <c r="AE25" s="171"/>
      <c r="AF25" s="171"/>
      <c r="AN25" s="171"/>
      <c r="AO25" s="171"/>
      <c r="AP25" s="171"/>
      <c r="AQ25" s="171"/>
      <c r="AR25" s="171"/>
      <c r="AS25" s="171"/>
      <c r="AT25" s="171"/>
      <c r="AU25" s="171"/>
      <c r="AX25" s="171"/>
      <c r="AY25" s="171"/>
      <c r="AZ25" s="171"/>
      <c r="BA25" s="171"/>
      <c r="BB25" s="171"/>
      <c r="BF25" s="171"/>
      <c r="BH25" s="171"/>
    </row>
    <row r="26" spans="1:102" x14ac:dyDescent="0.25">
      <c r="A26" s="182"/>
      <c r="B26" s="182"/>
      <c r="C26" s="171"/>
      <c r="D26" s="171"/>
      <c r="E26" s="160"/>
      <c r="F26" s="171"/>
      <c r="G26" s="171"/>
      <c r="H26"/>
      <c r="I26" s="171"/>
      <c r="J26"/>
      <c r="K26"/>
      <c r="L26" s="247"/>
      <c r="M26" s="247"/>
      <c r="N26" s="171"/>
      <c r="O26" s="171"/>
      <c r="P26" s="171"/>
      <c r="Q26" s="160"/>
      <c r="R26" s="160"/>
      <c r="S26" s="171"/>
      <c r="T26" s="171"/>
      <c r="Y26" s="171"/>
      <c r="Z26" s="171"/>
      <c r="AA26" s="171"/>
      <c r="AB26" s="171"/>
      <c r="AC26" s="171"/>
      <c r="AD26" s="171"/>
      <c r="AE26" s="171"/>
      <c r="AF26" s="171"/>
      <c r="AN26" s="171"/>
      <c r="AO26" s="171"/>
      <c r="AP26" s="171"/>
      <c r="AQ26" s="171"/>
      <c r="AR26" s="171"/>
      <c r="AS26" s="171"/>
      <c r="AT26" s="171"/>
      <c r="AU26" s="171"/>
      <c r="AX26" s="171"/>
      <c r="AY26" s="171"/>
      <c r="AZ26" s="171"/>
      <c r="BA26" s="171"/>
      <c r="BB26" s="171"/>
      <c r="BF26" s="171"/>
      <c r="BH26" s="171"/>
    </row>
    <row r="27" spans="1:102" x14ac:dyDescent="0.25">
      <c r="A27" s="182"/>
      <c r="B27" s="182"/>
      <c r="C27" s="171"/>
      <c r="D27" s="171"/>
      <c r="E27" s="160"/>
      <c r="F27" s="171"/>
      <c r="G27" s="171"/>
      <c r="H27" s="171"/>
      <c r="I27" s="171"/>
      <c r="J27" s="171"/>
      <c r="K27" s="171"/>
      <c r="L27" s="629"/>
      <c r="M27" s="629"/>
      <c r="N27" s="171"/>
      <c r="O27" s="171"/>
      <c r="P27" s="171"/>
      <c r="Q27" s="160"/>
      <c r="R27" s="160"/>
      <c r="S27" s="171"/>
      <c r="T27" s="171"/>
      <c r="Y27" s="171"/>
      <c r="Z27" s="171"/>
      <c r="AA27" s="171"/>
      <c r="AB27" s="171"/>
      <c r="AC27" s="171"/>
      <c r="AD27" s="171"/>
      <c r="AE27" s="171"/>
      <c r="AF27" s="171"/>
      <c r="AN27" s="171"/>
      <c r="AO27" s="171"/>
      <c r="AP27" s="171"/>
      <c r="AQ27" s="171"/>
      <c r="AR27" s="171"/>
      <c r="AS27" s="171"/>
      <c r="AT27" s="171"/>
      <c r="AU27" s="171"/>
      <c r="AX27" s="171"/>
      <c r="AY27" s="171"/>
      <c r="AZ27" s="171"/>
      <c r="BA27" s="171"/>
      <c r="BB27" s="171"/>
      <c r="BF27" s="171"/>
      <c r="BH27" s="171"/>
    </row>
    <row r="28" spans="1:102" x14ac:dyDescent="0.25">
      <c r="A28" s="182"/>
      <c r="B28" s="182"/>
      <c r="C28" s="171"/>
      <c r="D28" s="171"/>
      <c r="E28" s="160"/>
      <c r="F28" s="171"/>
      <c r="G28" s="171"/>
      <c r="H28" s="171"/>
      <c r="I28" s="171"/>
      <c r="J28"/>
      <c r="K28"/>
      <c r="L28" s="247"/>
      <c r="M28" s="247"/>
      <c r="N28" s="171"/>
      <c r="O28" s="171"/>
      <c r="P28" s="171"/>
      <c r="Q28" s="160"/>
      <c r="R28" s="160"/>
      <c r="S28" s="171"/>
      <c r="T28" s="171"/>
      <c r="Y28" s="171"/>
      <c r="Z28" s="171"/>
      <c r="AA28" s="171"/>
      <c r="AB28" s="171"/>
      <c r="AC28" s="171"/>
      <c r="AD28" s="171"/>
      <c r="AE28" s="171"/>
      <c r="AF28" s="171"/>
      <c r="AN28" s="171"/>
      <c r="AO28" s="171"/>
      <c r="AP28" s="171"/>
      <c r="AQ28" s="171"/>
      <c r="AR28" s="171"/>
      <c r="AS28" s="171"/>
      <c r="AT28" s="171"/>
      <c r="AU28" s="171"/>
      <c r="AX28" s="171"/>
      <c r="AY28" s="171"/>
      <c r="AZ28" s="171"/>
      <c r="BA28" s="171"/>
      <c r="BB28" s="171"/>
      <c r="BF28" s="171"/>
      <c r="BH28" s="171"/>
    </row>
    <row r="29" spans="1:102" x14ac:dyDescent="0.25">
      <c r="A29" s="182"/>
      <c r="B29" s="182"/>
      <c r="C29" s="171"/>
      <c r="D29" s="171"/>
      <c r="E29" s="160"/>
      <c r="F29" s="171"/>
      <c r="G29" s="171"/>
      <c r="H29" s="171"/>
      <c r="I29" s="171"/>
      <c r="J29" s="171"/>
      <c r="K29" s="171"/>
      <c r="L29" s="629"/>
      <c r="M29" s="629"/>
      <c r="N29" s="171"/>
      <c r="O29" s="171"/>
      <c r="P29" s="171"/>
      <c r="Q29" s="160"/>
      <c r="R29" s="160"/>
      <c r="S29" s="171"/>
      <c r="T29" s="171"/>
      <c r="Y29" s="171"/>
      <c r="Z29" s="171"/>
      <c r="AA29" s="171"/>
      <c r="AB29" s="171"/>
      <c r="AC29" s="171"/>
      <c r="AD29" s="171"/>
      <c r="AE29" s="171"/>
      <c r="AF29" s="171"/>
      <c r="AN29" s="171"/>
      <c r="AO29" s="171"/>
      <c r="AP29" s="171"/>
      <c r="AQ29" s="171"/>
      <c r="AR29" s="171"/>
      <c r="AS29" s="171"/>
      <c r="AT29" s="171"/>
      <c r="AU29" s="171"/>
      <c r="AX29" s="171"/>
      <c r="AY29" s="171"/>
      <c r="AZ29" s="171"/>
      <c r="BA29" s="171"/>
      <c r="BB29" s="171"/>
      <c r="BC29" s="171"/>
      <c r="BD29" s="171"/>
      <c r="BF29" s="171"/>
      <c r="BH29" s="171"/>
      <c r="BI29" s="168"/>
      <c r="BL29" s="168"/>
      <c r="BM29" s="168"/>
      <c r="BN29" s="168"/>
      <c r="BO29" s="168"/>
      <c r="BP29" s="168"/>
      <c r="BQ29" s="168"/>
      <c r="BR29" s="168"/>
      <c r="BS29" s="168"/>
      <c r="BT29" s="168"/>
      <c r="BU29" s="168"/>
      <c r="BV29" s="168"/>
      <c r="BW29" s="168"/>
      <c r="BX29" s="168"/>
      <c r="BY29" s="168"/>
      <c r="BZ29" s="168"/>
      <c r="CA29" s="168"/>
      <c r="CB29" s="168"/>
      <c r="CC29" s="168"/>
      <c r="CD29" s="168"/>
      <c r="CE29" s="168"/>
      <c r="CF29" s="168"/>
      <c r="CG29" s="168"/>
      <c r="CH29" s="168"/>
      <c r="CI29" s="168"/>
      <c r="CJ29" s="168"/>
      <c r="CK29" s="168"/>
      <c r="CL29" s="168"/>
      <c r="CM29" s="168"/>
      <c r="CN29" s="168"/>
      <c r="CO29" s="168"/>
      <c r="CP29" s="168"/>
      <c r="CQ29" s="168"/>
      <c r="CR29" s="168"/>
      <c r="CS29" s="168"/>
      <c r="CT29" s="168"/>
      <c r="CU29" s="168"/>
      <c r="CV29" s="168"/>
      <c r="CW29" s="168"/>
      <c r="CX29" s="168"/>
    </row>
    <row r="30" spans="1:102" x14ac:dyDescent="0.25">
      <c r="A30" s="182"/>
      <c r="B30" s="182"/>
      <c r="C30" s="171"/>
      <c r="D30" s="171"/>
      <c r="E30" s="160"/>
      <c r="F30" s="171"/>
      <c r="G30" s="171"/>
      <c r="H30"/>
      <c r="I30" s="171"/>
      <c r="J30"/>
      <c r="K30"/>
      <c r="L30" s="247"/>
      <c r="M30" s="247"/>
      <c r="N30" s="171"/>
      <c r="O30" s="171"/>
      <c r="P30" s="171"/>
      <c r="Q30" s="160"/>
      <c r="R30" s="160"/>
      <c r="S30" s="171"/>
      <c r="T30" s="171"/>
      <c r="Y30" s="171"/>
      <c r="Z30" s="171"/>
      <c r="AA30" s="171"/>
      <c r="AB30" s="171"/>
      <c r="AC30" s="171"/>
      <c r="AD30" s="171"/>
      <c r="AE30" s="171"/>
      <c r="AF30" s="171"/>
      <c r="AN30" s="171"/>
      <c r="AO30" s="171"/>
      <c r="AP30" s="171"/>
      <c r="AQ30" s="171"/>
      <c r="AR30" s="171"/>
      <c r="AS30" s="171"/>
      <c r="AT30" s="171"/>
      <c r="AU30" s="171"/>
      <c r="AX30" s="171"/>
      <c r="AY30" s="171"/>
      <c r="AZ30" s="171"/>
      <c r="BA30" s="171"/>
      <c r="BB30" s="171"/>
      <c r="BC30" s="171"/>
      <c r="BD30" s="171"/>
      <c r="BF30" s="171"/>
      <c r="BH30" s="171"/>
      <c r="BI30" s="168"/>
      <c r="BL30" s="168"/>
      <c r="BM30" s="168"/>
      <c r="BN30" s="168"/>
      <c r="BO30" s="168"/>
      <c r="BP30" s="168"/>
      <c r="BQ30" s="168"/>
      <c r="BR30" s="168"/>
      <c r="BS30" s="168"/>
      <c r="BT30" s="168"/>
      <c r="BU30" s="168"/>
      <c r="BV30" s="168"/>
      <c r="BW30" s="168"/>
      <c r="BX30" s="168"/>
      <c r="BY30" s="168"/>
      <c r="BZ30" s="168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  <c r="CW30" s="168"/>
      <c r="CX30" s="168"/>
    </row>
    <row r="31" spans="1:102" x14ac:dyDescent="0.25">
      <c r="A31" s="182"/>
      <c r="B31" s="182"/>
      <c r="C31" s="171"/>
      <c r="D31" s="171"/>
      <c r="E31" s="160"/>
      <c r="F31" s="171"/>
      <c r="G31" s="171"/>
      <c r="H31"/>
      <c r="I31" s="171"/>
      <c r="J31"/>
      <c r="K31"/>
      <c r="L31" s="247"/>
      <c r="M31" s="247"/>
      <c r="N31" s="171"/>
      <c r="O31" s="171"/>
      <c r="P31" s="171"/>
      <c r="Q31" s="160"/>
      <c r="R31" s="160"/>
      <c r="S31" s="171"/>
      <c r="T31" s="171"/>
      <c r="Y31" s="171"/>
      <c r="Z31" s="171"/>
      <c r="AA31" s="171"/>
      <c r="AB31" s="171"/>
      <c r="AC31" s="171"/>
      <c r="AD31" s="171"/>
      <c r="AE31" s="171"/>
      <c r="AF31" s="171"/>
      <c r="AN31" s="171"/>
      <c r="AO31" s="171"/>
      <c r="AP31" s="171"/>
      <c r="AQ31" s="171"/>
      <c r="AR31" s="171"/>
      <c r="AS31" s="171"/>
      <c r="AT31" s="171"/>
      <c r="AU31" s="171"/>
      <c r="AX31" s="171"/>
      <c r="AY31" s="171"/>
      <c r="AZ31" s="171"/>
      <c r="BA31" s="171"/>
      <c r="BB31" s="171"/>
      <c r="BF31" s="171"/>
      <c r="BH31" s="171"/>
    </row>
    <row r="32" spans="1:102" x14ac:dyDescent="0.25">
      <c r="A32" s="182"/>
      <c r="B32" s="182"/>
      <c r="C32" s="171"/>
      <c r="D32" s="171"/>
      <c r="E32" s="160"/>
      <c r="F32" s="171"/>
      <c r="G32" s="171"/>
      <c r="H32"/>
      <c r="I32" s="171"/>
      <c r="J32"/>
      <c r="K32"/>
      <c r="L32" s="247"/>
      <c r="M32" s="247"/>
      <c r="N32" s="171"/>
      <c r="O32" s="171"/>
      <c r="P32" s="171"/>
      <c r="Q32" s="160"/>
      <c r="R32" s="160"/>
      <c r="S32" s="171"/>
      <c r="T32" s="171"/>
      <c r="Y32" s="171"/>
      <c r="Z32" s="171"/>
      <c r="AA32" s="171"/>
      <c r="AB32" s="171"/>
      <c r="AC32" s="171"/>
      <c r="AD32" s="171"/>
      <c r="AE32" s="171"/>
      <c r="AF32" s="171"/>
      <c r="AN32" s="171"/>
      <c r="AO32" s="171"/>
      <c r="AP32" s="171"/>
      <c r="AQ32" s="171"/>
      <c r="AR32" s="171"/>
      <c r="AS32" s="171"/>
      <c r="AT32" s="171"/>
      <c r="AU32" s="171"/>
      <c r="AX32" s="171"/>
      <c r="AY32" s="171"/>
      <c r="AZ32" s="171"/>
      <c r="BA32" s="171"/>
      <c r="BB32" s="171"/>
      <c r="BF32" s="171"/>
      <c r="BH32" s="171"/>
    </row>
    <row r="33" spans="1:102" x14ac:dyDescent="0.25">
      <c r="A33" s="182"/>
      <c r="B33" s="182"/>
      <c r="C33" s="171"/>
      <c r="D33" s="171"/>
      <c r="E33" s="160"/>
      <c r="F33" s="171"/>
      <c r="G33" s="171"/>
      <c r="H33" s="171"/>
      <c r="I33" s="171"/>
      <c r="J33"/>
      <c r="K33"/>
      <c r="L33" s="247"/>
      <c r="M33" s="247"/>
      <c r="N33" s="171"/>
      <c r="O33" s="171"/>
      <c r="P33" s="171"/>
      <c r="Q33" s="160"/>
      <c r="R33" s="160"/>
      <c r="S33" s="171"/>
      <c r="T33" s="171"/>
      <c r="Y33" s="171"/>
      <c r="Z33" s="171"/>
      <c r="AA33" s="171"/>
      <c r="AB33" s="171"/>
      <c r="AC33" s="171"/>
      <c r="AD33" s="171"/>
      <c r="AE33" s="171"/>
      <c r="AF33" s="171"/>
      <c r="AN33" s="171"/>
      <c r="AO33" s="171"/>
      <c r="AP33" s="171"/>
      <c r="AQ33" s="171"/>
      <c r="AR33" s="171"/>
      <c r="AS33" s="171"/>
      <c r="AT33" s="171"/>
      <c r="AU33" s="171"/>
      <c r="AX33" s="171"/>
      <c r="AY33" s="171"/>
      <c r="AZ33" s="171"/>
      <c r="BA33" s="171"/>
      <c r="BB33" s="171"/>
      <c r="BF33" s="171"/>
      <c r="BH33" s="171"/>
    </row>
    <row r="34" spans="1:102" x14ac:dyDescent="0.25">
      <c r="A34" s="182"/>
      <c r="B34" s="182"/>
      <c r="C34" s="171"/>
      <c r="D34" s="171"/>
      <c r="E34" s="160"/>
      <c r="F34" s="171"/>
      <c r="G34" s="171"/>
      <c r="H34"/>
      <c r="I34" s="171"/>
      <c r="J34"/>
      <c r="K34"/>
      <c r="L34" s="247"/>
      <c r="M34" s="247"/>
      <c r="N34" s="171"/>
      <c r="O34" s="171"/>
      <c r="P34" s="171"/>
      <c r="Q34" s="160"/>
      <c r="R34" s="160"/>
      <c r="S34" s="171"/>
      <c r="T34" s="171"/>
      <c r="Y34" s="171"/>
      <c r="Z34" s="171"/>
      <c r="AA34" s="171"/>
      <c r="AB34" s="171"/>
      <c r="AC34" s="171"/>
      <c r="AD34" s="171"/>
      <c r="AE34" s="171"/>
      <c r="AF34" s="171"/>
      <c r="AN34" s="171"/>
      <c r="AO34" s="171"/>
      <c r="AP34" s="171"/>
      <c r="AQ34" s="171"/>
      <c r="AR34" s="171"/>
      <c r="AS34" s="171"/>
      <c r="AT34" s="171"/>
      <c r="AU34" s="171"/>
      <c r="AX34" s="171"/>
      <c r="AY34" s="171"/>
      <c r="AZ34" s="171"/>
      <c r="BA34" s="171"/>
      <c r="BB34" s="171"/>
      <c r="BF34" s="171"/>
      <c r="BH34" s="171"/>
    </row>
    <row r="35" spans="1:102" x14ac:dyDescent="0.25">
      <c r="A35" s="182"/>
      <c r="B35" s="182"/>
      <c r="C35" s="171"/>
      <c r="D35" s="171"/>
      <c r="E35" s="160"/>
      <c r="F35" s="171"/>
      <c r="G35" s="171"/>
      <c r="H35"/>
      <c r="I35" s="171"/>
      <c r="J35"/>
      <c r="K35"/>
      <c r="L35" s="247"/>
      <c r="M35" s="247"/>
      <c r="N35" s="171"/>
      <c r="O35" s="171"/>
      <c r="P35" s="171"/>
      <c r="Q35" s="160"/>
      <c r="R35" s="160"/>
      <c r="S35" s="171"/>
      <c r="T35" s="171"/>
      <c r="Y35" s="171"/>
      <c r="Z35" s="171"/>
      <c r="AA35" s="171"/>
      <c r="AB35" s="171"/>
      <c r="AC35" s="171"/>
      <c r="AD35" s="171"/>
      <c r="AE35" s="171"/>
      <c r="AF35" s="171"/>
      <c r="AN35" s="171"/>
      <c r="AO35" s="171"/>
      <c r="AP35" s="171"/>
      <c r="AQ35" s="171"/>
      <c r="AR35" s="171"/>
      <c r="AS35" s="171"/>
      <c r="AT35" s="171"/>
      <c r="AU35" s="171"/>
      <c r="AX35" s="171"/>
      <c r="AY35" s="171"/>
      <c r="AZ35" s="171"/>
      <c r="BA35" s="171"/>
      <c r="BB35" s="171"/>
      <c r="BF35" s="171"/>
      <c r="BH35" s="171"/>
    </row>
    <row r="36" spans="1:102" x14ac:dyDescent="0.25">
      <c r="A36" s="182"/>
      <c r="B36" s="182"/>
      <c r="C36" s="171"/>
      <c r="D36" s="171"/>
      <c r="E36" s="160"/>
      <c r="F36" s="171"/>
      <c r="G36" s="171"/>
      <c r="H36" s="171"/>
      <c r="I36" s="171"/>
      <c r="J36"/>
      <c r="K36"/>
      <c r="L36" s="247"/>
      <c r="M36" s="247"/>
      <c r="N36" s="171"/>
      <c r="O36" s="171"/>
      <c r="P36" s="171"/>
      <c r="Q36" s="160"/>
      <c r="R36" s="160"/>
      <c r="S36" s="171"/>
      <c r="T36" s="171"/>
      <c r="Y36" s="171"/>
      <c r="Z36" s="171"/>
      <c r="AA36" s="171"/>
      <c r="AB36" s="171"/>
      <c r="AC36" s="171"/>
      <c r="AD36" s="171"/>
      <c r="AE36" s="171"/>
      <c r="AF36" s="171"/>
      <c r="AN36" s="171"/>
      <c r="AO36" s="171"/>
      <c r="AP36" s="171"/>
      <c r="AQ36" s="171"/>
      <c r="AR36" s="171"/>
      <c r="AS36" s="171"/>
      <c r="AT36" s="171"/>
      <c r="AU36" s="171"/>
      <c r="AX36" s="171"/>
      <c r="AY36" s="171"/>
      <c r="AZ36" s="171"/>
      <c r="BA36" s="171"/>
      <c r="BB36" s="171"/>
      <c r="BF36" s="171"/>
      <c r="BH36" s="171"/>
    </row>
    <row r="37" spans="1:102" x14ac:dyDescent="0.25">
      <c r="A37" s="182"/>
      <c r="B37" s="182"/>
      <c r="C37" s="171"/>
      <c r="D37" s="171"/>
      <c r="E37" s="160"/>
      <c r="F37" s="171"/>
      <c r="G37" s="171"/>
      <c r="H37" s="171"/>
      <c r="I37" s="171"/>
      <c r="J37"/>
      <c r="K37"/>
      <c r="L37" s="247"/>
      <c r="M37" s="247"/>
      <c r="N37" s="171"/>
      <c r="O37" s="171"/>
      <c r="P37" s="171"/>
      <c r="Q37" s="160"/>
      <c r="R37" s="160"/>
      <c r="S37" s="171"/>
      <c r="T37" s="171"/>
      <c r="Y37" s="171"/>
      <c r="Z37" s="171"/>
      <c r="AA37" s="171"/>
      <c r="AB37" s="171"/>
      <c r="AC37" s="171"/>
      <c r="AD37" s="171"/>
      <c r="AE37" s="171"/>
      <c r="AF37" s="171"/>
      <c r="AN37" s="171"/>
      <c r="AO37" s="171"/>
      <c r="AP37" s="171"/>
      <c r="AQ37" s="171"/>
      <c r="AR37" s="171"/>
      <c r="AS37" s="171"/>
      <c r="AT37" s="171"/>
      <c r="AU37" s="171"/>
      <c r="AX37" s="171"/>
      <c r="AY37" s="171"/>
      <c r="AZ37" s="171"/>
      <c r="BA37" s="171"/>
      <c r="BB37" s="171"/>
      <c r="BF37" s="171"/>
      <c r="BH37" s="171"/>
    </row>
    <row r="38" spans="1:102" x14ac:dyDescent="0.25">
      <c r="A38" s="182"/>
      <c r="B38" s="182"/>
      <c r="C38" s="171"/>
      <c r="D38" s="171"/>
      <c r="E38" s="160"/>
      <c r="F38" s="171"/>
      <c r="G38" s="171"/>
      <c r="H38" s="171"/>
      <c r="I38" s="171"/>
      <c r="J38"/>
      <c r="K38"/>
      <c r="L38" s="247"/>
      <c r="M38" s="247"/>
      <c r="N38" s="171"/>
      <c r="O38" s="171"/>
      <c r="P38" s="171"/>
      <c r="Q38" s="160"/>
      <c r="R38" s="160"/>
      <c r="S38" s="171"/>
      <c r="T38" s="171"/>
      <c r="Y38" s="171"/>
      <c r="Z38" s="171"/>
      <c r="AA38" s="171"/>
      <c r="AB38" s="171"/>
      <c r="AC38" s="171"/>
      <c r="AD38" s="171"/>
      <c r="AE38" s="171"/>
      <c r="AF38" s="171"/>
      <c r="AN38" s="171"/>
      <c r="AO38" s="171"/>
      <c r="AP38" s="171"/>
      <c r="AQ38" s="171"/>
      <c r="AR38" s="171"/>
      <c r="AS38" s="171"/>
      <c r="AT38" s="171"/>
      <c r="AU38" s="171"/>
      <c r="AX38" s="171"/>
      <c r="AY38" s="171"/>
      <c r="AZ38" s="171"/>
      <c r="BA38" s="171"/>
      <c r="BB38" s="171"/>
      <c r="BF38" s="171"/>
      <c r="BH38" s="171"/>
    </row>
    <row r="39" spans="1:102" x14ac:dyDescent="0.25">
      <c r="A39" s="182"/>
      <c r="B39" s="182"/>
      <c r="C39" s="171"/>
      <c r="D39" s="171"/>
      <c r="E39" s="160"/>
      <c r="F39" s="171"/>
      <c r="G39" s="171"/>
      <c r="H39" s="171"/>
      <c r="I39" s="171"/>
      <c r="J39"/>
      <c r="K39"/>
      <c r="L39" s="247"/>
      <c r="M39" s="247"/>
      <c r="N39" s="171"/>
      <c r="O39" s="171"/>
      <c r="P39" s="171"/>
      <c r="Q39" s="160"/>
      <c r="R39" s="160"/>
      <c r="S39" s="171"/>
      <c r="T39" s="171"/>
      <c r="Y39" s="171"/>
      <c r="Z39" s="171"/>
      <c r="AA39" s="171"/>
      <c r="AB39" s="171"/>
      <c r="AC39" s="171"/>
      <c r="AD39" s="171"/>
      <c r="AE39" s="171"/>
      <c r="AF39" s="171"/>
      <c r="AN39" s="171"/>
      <c r="AO39" s="171"/>
      <c r="AP39" s="171"/>
      <c r="AQ39" s="171"/>
      <c r="AR39" s="171"/>
      <c r="AS39" s="171"/>
      <c r="AT39" s="171"/>
      <c r="AU39" s="171"/>
      <c r="AX39" s="171"/>
      <c r="AY39" s="171"/>
      <c r="AZ39" s="171"/>
      <c r="BA39" s="171"/>
      <c r="BB39" s="171"/>
      <c r="BF39" s="171"/>
      <c r="BH39" s="171"/>
    </row>
    <row r="40" spans="1:102" x14ac:dyDescent="0.25">
      <c r="A40" s="182"/>
      <c r="B40" s="182"/>
      <c r="C40" s="171"/>
      <c r="D40" s="171"/>
      <c r="E40" s="160"/>
      <c r="F40" s="171"/>
      <c r="G40" s="171"/>
      <c r="H40"/>
      <c r="I40" s="171"/>
      <c r="J40"/>
      <c r="K40"/>
      <c r="L40" s="247"/>
      <c r="M40" s="247"/>
      <c r="N40" s="171"/>
      <c r="O40" s="171"/>
      <c r="P40" s="171"/>
      <c r="Q40" s="160"/>
      <c r="R40" s="160"/>
      <c r="S40" s="171"/>
      <c r="T40" s="171"/>
      <c r="Y40" s="171"/>
      <c r="Z40" s="171"/>
      <c r="AA40" s="171"/>
      <c r="AB40" s="171"/>
      <c r="AC40" s="171"/>
      <c r="AD40" s="171"/>
      <c r="AE40" s="171"/>
      <c r="AF40" s="171"/>
      <c r="AN40" s="171"/>
      <c r="AO40" s="171"/>
      <c r="AP40" s="171"/>
      <c r="AQ40" s="171"/>
      <c r="AR40" s="171"/>
      <c r="AS40" s="171"/>
      <c r="AT40" s="171"/>
      <c r="AU40" s="171"/>
      <c r="AX40" s="171"/>
      <c r="AY40" s="171"/>
      <c r="AZ40" s="171"/>
      <c r="BA40" s="171"/>
      <c r="BB40" s="171"/>
      <c r="BF40" s="171"/>
      <c r="BH40" s="171"/>
    </row>
    <row r="41" spans="1:102" x14ac:dyDescent="0.25">
      <c r="A41" s="182"/>
      <c r="B41" s="182"/>
      <c r="C41" s="171"/>
      <c r="D41" s="171"/>
      <c r="E41" s="160"/>
      <c r="F41" s="171"/>
      <c r="G41" s="171"/>
      <c r="H41" s="171"/>
      <c r="I41" s="171"/>
      <c r="J41" s="171"/>
      <c r="K41" s="171"/>
      <c r="L41" s="629"/>
      <c r="M41" s="629"/>
      <c r="N41" s="171"/>
      <c r="O41" s="171"/>
      <c r="P41" s="171"/>
      <c r="Q41" s="160"/>
      <c r="R41" s="160"/>
      <c r="S41" s="171"/>
      <c r="T41" s="171"/>
      <c r="Y41" s="171"/>
      <c r="Z41" s="171"/>
      <c r="AA41" s="171"/>
      <c r="AB41" s="171"/>
      <c r="AC41" s="171"/>
      <c r="AD41" s="171"/>
      <c r="AE41" s="171"/>
      <c r="AF41" s="171"/>
      <c r="AN41" s="171"/>
      <c r="AO41" s="171"/>
      <c r="AP41" s="171"/>
      <c r="AQ41" s="171"/>
      <c r="AR41" s="171"/>
      <c r="AS41" s="171"/>
      <c r="AT41" s="171"/>
      <c r="AU41" s="171"/>
      <c r="AX41" s="171"/>
      <c r="AY41" s="171"/>
      <c r="AZ41" s="171"/>
      <c r="BA41" s="171"/>
      <c r="BB41" s="171"/>
      <c r="BF41" s="171"/>
      <c r="BH41" s="171"/>
    </row>
    <row r="42" spans="1:102" x14ac:dyDescent="0.25">
      <c r="A42" s="182"/>
      <c r="B42" s="182"/>
      <c r="C42" s="171"/>
      <c r="D42" s="171"/>
      <c r="E42" s="160"/>
      <c r="F42" s="171"/>
      <c r="G42" s="171"/>
      <c r="H42" s="171"/>
      <c r="I42" s="171"/>
      <c r="J42"/>
      <c r="K42"/>
      <c r="L42" s="247"/>
      <c r="M42" s="247"/>
      <c r="N42" s="171"/>
      <c r="O42" s="171"/>
      <c r="P42" s="171"/>
      <c r="Q42" s="160"/>
      <c r="R42" s="160"/>
      <c r="S42" s="171"/>
      <c r="T42" s="171"/>
      <c r="Y42" s="171"/>
      <c r="Z42" s="171"/>
      <c r="AA42" s="171"/>
      <c r="AB42" s="171"/>
      <c r="AC42" s="171"/>
      <c r="AD42" s="171"/>
      <c r="AE42" s="171"/>
      <c r="AF42" s="171"/>
      <c r="AN42" s="171"/>
      <c r="AO42" s="171"/>
      <c r="AP42" s="171"/>
      <c r="AQ42" s="171"/>
      <c r="AR42" s="171"/>
      <c r="AS42" s="171"/>
      <c r="AT42" s="171"/>
      <c r="AU42" s="171"/>
      <c r="AX42" s="171"/>
      <c r="AY42" s="171"/>
      <c r="AZ42" s="171"/>
      <c r="BA42" s="171"/>
      <c r="BB42" s="171"/>
      <c r="BF42" s="171"/>
      <c r="BH42" s="171"/>
    </row>
    <row r="43" spans="1:102" x14ac:dyDescent="0.25">
      <c r="A43" s="182"/>
      <c r="B43" s="182"/>
      <c r="C43" s="171"/>
      <c r="D43" s="171"/>
      <c r="E43" s="160"/>
      <c r="F43" s="171"/>
      <c r="G43" s="171"/>
      <c r="H43" s="171"/>
      <c r="I43" s="171"/>
      <c r="J43"/>
      <c r="K43"/>
      <c r="L43" s="247"/>
      <c r="M43" s="247"/>
      <c r="N43" s="171"/>
      <c r="O43" s="171"/>
      <c r="P43" s="171"/>
      <c r="Q43" s="160"/>
      <c r="R43" s="160"/>
      <c r="S43" s="171"/>
      <c r="T43" s="171"/>
      <c r="Y43" s="171"/>
      <c r="Z43" s="171"/>
      <c r="AA43" s="171"/>
      <c r="AB43" s="171"/>
      <c r="AC43" s="171"/>
      <c r="AD43" s="171"/>
      <c r="AE43" s="171"/>
      <c r="AF43" s="171"/>
      <c r="AN43" s="171"/>
      <c r="AO43" s="171"/>
      <c r="AP43" s="171"/>
      <c r="AQ43" s="171"/>
      <c r="AR43" s="171"/>
      <c r="AS43" s="171"/>
      <c r="AT43" s="171"/>
      <c r="AU43" s="171"/>
      <c r="AX43" s="171"/>
      <c r="AY43" s="171"/>
      <c r="AZ43" s="171"/>
      <c r="BA43" s="171"/>
      <c r="BB43" s="171"/>
      <c r="BF43" s="171"/>
      <c r="BH43" s="171"/>
    </row>
    <row r="44" spans="1:102" x14ac:dyDescent="0.25">
      <c r="A44" s="182"/>
      <c r="B44" s="182"/>
      <c r="C44" s="171"/>
      <c r="D44" s="171"/>
      <c r="E44" s="160"/>
      <c r="F44" s="171"/>
      <c r="G44" s="171"/>
      <c r="H44" s="171"/>
      <c r="I44" s="171"/>
      <c r="J44" s="171"/>
      <c r="K44" s="171"/>
      <c r="L44" s="629"/>
      <c r="M44" s="629"/>
      <c r="N44" s="171"/>
      <c r="O44" s="171"/>
      <c r="P44" s="171"/>
      <c r="Q44" s="160"/>
      <c r="R44" s="160"/>
      <c r="S44" s="171"/>
      <c r="T44" s="171"/>
      <c r="Y44" s="171"/>
      <c r="Z44" s="171"/>
      <c r="AA44" s="171"/>
      <c r="AB44" s="171"/>
      <c r="AC44" s="171"/>
      <c r="AD44" s="171"/>
      <c r="AE44" s="171"/>
      <c r="AF44" s="171"/>
      <c r="AN44" s="171"/>
      <c r="AO44" s="171"/>
      <c r="AP44" s="171"/>
      <c r="AQ44" s="171"/>
      <c r="AR44" s="171"/>
      <c r="AS44" s="171"/>
      <c r="AT44" s="171"/>
      <c r="AU44" s="171"/>
      <c r="AX44" s="171"/>
      <c r="AY44" s="171"/>
      <c r="AZ44" s="171"/>
      <c r="BA44" s="171"/>
      <c r="BB44" s="171"/>
      <c r="BF44" s="171"/>
      <c r="BH44" s="171"/>
    </row>
    <row r="45" spans="1:102" x14ac:dyDescent="0.25">
      <c r="A45" s="182"/>
      <c r="B45" s="182"/>
      <c r="C45" s="171"/>
      <c r="D45" s="171"/>
      <c r="E45" s="160"/>
      <c r="F45" s="171"/>
      <c r="G45" s="171"/>
      <c r="H45" s="171"/>
      <c r="I45" s="171"/>
      <c r="J45"/>
      <c r="K45"/>
      <c r="L45" s="247"/>
      <c r="M45" s="247"/>
      <c r="N45" s="171"/>
      <c r="O45" s="171"/>
      <c r="P45" s="171"/>
      <c r="Q45" s="160"/>
      <c r="R45" s="160"/>
      <c r="S45" s="171"/>
      <c r="T45" s="171"/>
      <c r="Y45" s="171"/>
      <c r="Z45" s="171"/>
      <c r="AA45" s="171"/>
      <c r="AB45" s="171"/>
      <c r="AC45" s="171"/>
      <c r="AD45" s="171"/>
      <c r="AE45" s="171"/>
      <c r="AF45" s="171"/>
      <c r="AN45" s="171"/>
      <c r="AO45" s="171"/>
      <c r="AP45" s="171"/>
      <c r="AQ45" s="171"/>
      <c r="AR45" s="171"/>
      <c r="AS45" s="171"/>
      <c r="AT45" s="171"/>
      <c r="AU45" s="171"/>
      <c r="AX45" s="171"/>
      <c r="AY45" s="171"/>
      <c r="AZ45" s="171"/>
      <c r="BA45" s="171"/>
      <c r="BB45" s="171"/>
      <c r="BF45" s="171"/>
      <c r="BH45" s="171"/>
    </row>
    <row r="46" spans="1:102" x14ac:dyDescent="0.25">
      <c r="A46" s="182"/>
      <c r="B46" s="182"/>
      <c r="C46" s="171"/>
      <c r="D46" s="171"/>
      <c r="E46" s="160"/>
      <c r="F46" s="171"/>
      <c r="G46" s="171"/>
      <c r="H46" s="171"/>
      <c r="I46" s="171"/>
      <c r="J46"/>
      <c r="K46"/>
      <c r="L46" s="247"/>
      <c r="M46" s="247"/>
      <c r="N46" s="171"/>
      <c r="O46" s="171"/>
      <c r="P46" s="171"/>
      <c r="Q46" s="160"/>
      <c r="R46" s="160"/>
      <c r="S46" s="171"/>
      <c r="T46" s="171"/>
      <c r="Y46" s="171"/>
      <c r="Z46" s="171"/>
      <c r="AA46" s="171"/>
      <c r="AB46" s="171"/>
      <c r="AC46" s="171"/>
      <c r="AD46" s="171"/>
      <c r="AE46" s="171"/>
      <c r="AF46" s="171"/>
      <c r="AN46" s="171"/>
      <c r="AO46" s="171"/>
      <c r="AP46" s="171"/>
      <c r="AQ46" s="171"/>
      <c r="AR46" s="171"/>
      <c r="AS46" s="171"/>
      <c r="AT46" s="171"/>
      <c r="AU46" s="171"/>
      <c r="AX46" s="171"/>
      <c r="AY46" s="171"/>
      <c r="AZ46" s="171"/>
      <c r="BA46" s="171"/>
      <c r="BB46" s="171"/>
      <c r="BC46" s="171"/>
      <c r="BD46" s="171"/>
      <c r="BF46" s="171"/>
      <c r="BH46" s="171"/>
      <c r="BI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</row>
    <row r="47" spans="1:102" x14ac:dyDescent="0.25">
      <c r="A47" s="182"/>
      <c r="B47" s="182"/>
      <c r="C47" s="171"/>
      <c r="D47" s="171"/>
      <c r="E47" s="160"/>
      <c r="F47" s="171"/>
      <c r="G47" s="171"/>
      <c r="H47" s="171"/>
      <c r="I47" s="171"/>
      <c r="J47" s="171"/>
      <c r="K47" s="171"/>
      <c r="L47" s="629"/>
      <c r="M47" s="629"/>
      <c r="N47" s="171"/>
      <c r="O47" s="171"/>
      <c r="P47" s="171"/>
      <c r="Q47" s="160"/>
      <c r="R47" s="160"/>
      <c r="S47" s="171"/>
      <c r="T47" s="171"/>
      <c r="Y47" s="171"/>
      <c r="Z47" s="171"/>
      <c r="AA47" s="171"/>
      <c r="AB47" s="171"/>
      <c r="AC47" s="171"/>
      <c r="AD47" s="171"/>
      <c r="AE47" s="171"/>
      <c r="AF47" s="171"/>
      <c r="AN47" s="171"/>
      <c r="AO47" s="171"/>
      <c r="AP47" s="171"/>
      <c r="AQ47" s="171"/>
      <c r="AR47" s="171"/>
      <c r="AS47" s="171"/>
      <c r="AT47" s="171"/>
      <c r="AU47" s="171"/>
      <c r="AX47" s="171"/>
      <c r="AY47" s="171"/>
      <c r="AZ47" s="171"/>
      <c r="BA47" s="171"/>
      <c r="BB47" s="171"/>
      <c r="BC47" s="171"/>
      <c r="BD47" s="171"/>
      <c r="BF47" s="171"/>
      <c r="BH47" s="171"/>
      <c r="BI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</row>
    <row r="48" spans="1:102" x14ac:dyDescent="0.25">
      <c r="A48" s="182"/>
      <c r="B48" s="182"/>
      <c r="C48" s="171"/>
      <c r="D48" s="171"/>
      <c r="E48" s="160"/>
      <c r="F48" s="171"/>
      <c r="G48" s="171"/>
      <c r="H48"/>
      <c r="I48" s="171"/>
      <c r="J48"/>
      <c r="K48"/>
      <c r="L48" s="247"/>
      <c r="M48" s="247"/>
      <c r="N48" s="171"/>
      <c r="O48" s="171"/>
      <c r="P48" s="171"/>
      <c r="Q48" s="160"/>
      <c r="R48" s="160"/>
      <c r="S48" s="171"/>
      <c r="T48" s="171"/>
      <c r="Y48" s="171"/>
      <c r="Z48" s="171"/>
      <c r="AA48" s="171"/>
      <c r="AB48" s="171"/>
      <c r="AC48" s="171"/>
      <c r="AD48" s="171"/>
      <c r="AE48" s="171"/>
      <c r="AF48" s="171"/>
      <c r="AN48" s="171"/>
      <c r="AO48" s="171"/>
      <c r="AP48" s="171"/>
      <c r="AQ48" s="171"/>
      <c r="AR48" s="171"/>
      <c r="AS48" s="171"/>
      <c r="AT48" s="171"/>
      <c r="AU48" s="171"/>
      <c r="AX48" s="171"/>
      <c r="AY48" s="171"/>
      <c r="AZ48" s="171"/>
      <c r="BA48" s="171"/>
      <c r="BB48" s="171"/>
      <c r="BF48" s="171"/>
      <c r="BH48" s="171"/>
    </row>
    <row r="49" spans="1:102" x14ac:dyDescent="0.25">
      <c r="A49" s="182"/>
      <c r="B49" s="182"/>
      <c r="C49" s="171"/>
      <c r="D49" s="171"/>
      <c r="E49" s="160"/>
      <c r="F49" s="171"/>
      <c r="G49" s="171"/>
      <c r="H49"/>
      <c r="I49" s="171"/>
      <c r="J49"/>
      <c r="K49"/>
      <c r="L49" s="247"/>
      <c r="M49" s="247"/>
      <c r="N49" s="171"/>
      <c r="O49" s="171"/>
      <c r="P49" s="171"/>
      <c r="Q49" s="160"/>
      <c r="R49" s="160"/>
      <c r="S49" s="171"/>
      <c r="T49" s="171"/>
      <c r="Y49" s="171"/>
      <c r="Z49" s="171"/>
      <c r="AA49" s="171"/>
      <c r="AB49" s="171"/>
      <c r="AC49" s="171"/>
      <c r="AD49" s="171"/>
      <c r="AE49" s="171"/>
      <c r="AF49" s="171"/>
      <c r="AN49" s="171"/>
      <c r="AO49" s="171"/>
      <c r="AP49" s="171"/>
      <c r="AQ49" s="171"/>
      <c r="AR49" s="171"/>
      <c r="AS49" s="171"/>
      <c r="AT49" s="171"/>
      <c r="AU49" s="171"/>
      <c r="AX49" s="171"/>
      <c r="AY49" s="171"/>
      <c r="AZ49" s="171"/>
      <c r="BA49" s="171"/>
      <c r="BB49" s="171"/>
      <c r="BF49" s="171"/>
      <c r="BH49" s="171"/>
    </row>
    <row r="50" spans="1:102" x14ac:dyDescent="0.25">
      <c r="A50" s="182"/>
      <c r="B50" s="182"/>
      <c r="C50" s="171"/>
      <c r="D50" s="171"/>
      <c r="E50" s="160"/>
      <c r="F50" s="171"/>
      <c r="G50" s="171"/>
      <c r="H50"/>
      <c r="I50" s="171"/>
      <c r="J50"/>
      <c r="K50"/>
      <c r="L50" s="247"/>
      <c r="M50" s="247"/>
      <c r="N50" s="171"/>
      <c r="O50" s="171"/>
      <c r="P50" s="171"/>
      <c r="Q50" s="160"/>
      <c r="R50" s="160"/>
      <c r="S50" s="171"/>
      <c r="T50" s="171"/>
      <c r="Y50" s="171"/>
      <c r="Z50" s="171"/>
      <c r="AA50" s="171"/>
      <c r="AB50" s="171"/>
      <c r="AC50" s="171"/>
      <c r="AD50" s="171"/>
      <c r="AE50" s="171"/>
      <c r="AF50" s="171"/>
      <c r="AN50" s="171"/>
      <c r="AO50" s="171"/>
      <c r="AP50" s="171"/>
      <c r="AQ50" s="171"/>
      <c r="AR50" s="171"/>
      <c r="AS50" s="171"/>
      <c r="AT50" s="171"/>
      <c r="AU50" s="171"/>
      <c r="AX50" s="171"/>
      <c r="AY50" s="171"/>
      <c r="AZ50" s="171"/>
      <c r="BA50" s="171"/>
      <c r="BB50" s="171"/>
      <c r="BF50" s="171"/>
      <c r="BH50" s="171"/>
    </row>
    <row r="51" spans="1:102" x14ac:dyDescent="0.25">
      <c r="A51" s="182"/>
      <c r="B51" s="182"/>
      <c r="C51" s="171"/>
      <c r="D51" s="171"/>
      <c r="E51" s="160"/>
      <c r="F51" s="171"/>
      <c r="G51" s="171"/>
      <c r="H51" s="171"/>
      <c r="I51" s="171"/>
      <c r="J51" s="171"/>
      <c r="K51" s="171"/>
      <c r="L51" s="629"/>
      <c r="M51" s="629"/>
      <c r="N51" s="171"/>
      <c r="O51" s="171"/>
      <c r="P51" s="171"/>
      <c r="Q51" s="160"/>
      <c r="R51" s="160"/>
      <c r="S51" s="171"/>
      <c r="T51" s="171"/>
      <c r="Y51" s="171"/>
      <c r="Z51" s="171"/>
      <c r="AA51" s="171"/>
      <c r="AB51" s="171"/>
      <c r="AC51" s="171"/>
      <c r="AD51" s="171"/>
      <c r="AE51" s="171"/>
      <c r="AF51" s="171"/>
      <c r="AN51" s="171"/>
      <c r="AO51" s="171"/>
      <c r="AP51" s="171"/>
      <c r="AQ51" s="171"/>
      <c r="AR51" s="171"/>
      <c r="AS51" s="171"/>
      <c r="AT51" s="171"/>
      <c r="AU51" s="171"/>
      <c r="AX51" s="171"/>
      <c r="AY51" s="171"/>
      <c r="AZ51" s="171"/>
      <c r="BA51" s="171"/>
      <c r="BB51" s="171"/>
      <c r="BF51" s="171"/>
      <c r="BH51" s="171"/>
    </row>
    <row r="52" spans="1:102" x14ac:dyDescent="0.25">
      <c r="A52" s="182"/>
      <c r="B52" s="182"/>
      <c r="C52" s="171"/>
      <c r="D52" s="171"/>
      <c r="E52" s="160"/>
      <c r="F52" s="171"/>
      <c r="G52" s="171"/>
      <c r="H52" s="171"/>
      <c r="I52" s="171"/>
      <c r="J52"/>
      <c r="K52"/>
      <c r="L52" s="247"/>
      <c r="M52" s="247"/>
      <c r="N52" s="171"/>
      <c r="O52" s="171"/>
      <c r="P52" s="171"/>
      <c r="Q52" s="160"/>
      <c r="R52" s="160"/>
      <c r="S52" s="171"/>
      <c r="T52" s="171"/>
      <c r="Y52" s="171"/>
      <c r="Z52" s="171"/>
      <c r="AA52" s="171"/>
      <c r="AB52" s="171"/>
      <c r="AC52" s="171"/>
      <c r="AD52" s="171"/>
      <c r="AE52" s="171"/>
      <c r="AF52" s="171"/>
      <c r="AN52" s="171"/>
      <c r="AO52" s="171"/>
      <c r="AP52" s="171"/>
      <c r="AQ52" s="171"/>
      <c r="AR52" s="171"/>
      <c r="AS52" s="171"/>
      <c r="AT52" s="171"/>
      <c r="AU52" s="171"/>
      <c r="AX52" s="171"/>
      <c r="AY52" s="171"/>
      <c r="AZ52" s="171"/>
      <c r="BA52" s="171"/>
      <c r="BB52" s="171"/>
      <c r="BF52" s="171"/>
      <c r="BH52" s="171"/>
    </row>
    <row r="53" spans="1:102" x14ac:dyDescent="0.25">
      <c r="A53" s="182"/>
      <c r="B53" s="182"/>
      <c r="C53" s="171"/>
      <c r="D53" s="171"/>
      <c r="E53" s="160"/>
      <c r="F53" s="171"/>
      <c r="G53" s="171"/>
      <c r="H53"/>
      <c r="I53" s="171"/>
      <c r="J53"/>
      <c r="K53"/>
      <c r="L53" s="247"/>
      <c r="M53" s="247"/>
      <c r="N53" s="171"/>
      <c r="O53" s="171"/>
      <c r="P53" s="171"/>
      <c r="Q53" s="160"/>
      <c r="R53" s="160"/>
      <c r="S53" s="171"/>
      <c r="T53" s="171"/>
      <c r="Y53" s="171"/>
      <c r="Z53" s="171"/>
      <c r="AA53" s="171"/>
      <c r="AB53" s="171"/>
      <c r="AC53" s="171"/>
      <c r="AD53" s="171"/>
      <c r="AE53" s="171"/>
      <c r="AF53" s="171"/>
      <c r="AN53" s="171"/>
      <c r="AO53" s="171"/>
      <c r="AP53" s="171"/>
      <c r="AQ53" s="171"/>
      <c r="AR53" s="171"/>
      <c r="AS53" s="171"/>
      <c r="AT53" s="171"/>
      <c r="AU53" s="171"/>
      <c r="AX53" s="171"/>
      <c r="AY53" s="171"/>
      <c r="AZ53" s="171"/>
      <c r="BA53" s="171"/>
      <c r="BB53" s="171"/>
      <c r="BC53" s="171"/>
      <c r="BD53" s="171"/>
      <c r="BF53" s="171"/>
      <c r="BH53" s="171"/>
      <c r="BI53" s="168"/>
      <c r="BL53" s="168"/>
      <c r="BM53" s="168"/>
      <c r="BN53" s="168"/>
      <c r="BO53" s="168"/>
      <c r="BP53" s="168"/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8"/>
      <c r="CO53" s="168"/>
      <c r="CP53" s="168"/>
      <c r="CQ53" s="168"/>
      <c r="CR53" s="168"/>
      <c r="CS53" s="168"/>
      <c r="CT53" s="168"/>
      <c r="CU53" s="168"/>
      <c r="CV53" s="168"/>
      <c r="CW53" s="168"/>
      <c r="CX53" s="168"/>
    </row>
    <row r="54" spans="1:102" x14ac:dyDescent="0.25">
      <c r="A54" s="182"/>
      <c r="B54" s="182"/>
      <c r="C54" s="171"/>
      <c r="D54" s="171"/>
      <c r="E54" s="160"/>
      <c r="F54" s="171"/>
      <c r="G54" s="171"/>
      <c r="H54"/>
      <c r="I54" s="171"/>
      <c r="J54"/>
      <c r="K54"/>
      <c r="L54" s="247"/>
      <c r="M54" s="247"/>
      <c r="N54" s="171"/>
      <c r="O54" s="171"/>
      <c r="P54" s="171"/>
      <c r="Q54" s="160"/>
      <c r="R54" s="160"/>
      <c r="S54" s="171"/>
      <c r="T54" s="171"/>
      <c r="Y54" s="171"/>
      <c r="Z54" s="171"/>
      <c r="AA54" s="171"/>
      <c r="AB54" s="171"/>
      <c r="AC54" s="171"/>
      <c r="AD54" s="171"/>
      <c r="AE54" s="171"/>
      <c r="AF54" s="171"/>
      <c r="AN54" s="171"/>
      <c r="AO54" s="171"/>
      <c r="AP54" s="171"/>
      <c r="AQ54" s="171"/>
      <c r="AR54" s="171"/>
      <c r="AS54" s="171"/>
      <c r="AT54" s="171"/>
      <c r="AU54" s="171"/>
      <c r="AX54" s="171"/>
      <c r="AY54" s="171"/>
      <c r="AZ54" s="171"/>
      <c r="BA54" s="171"/>
      <c r="BB54" s="171"/>
      <c r="BF54" s="171"/>
      <c r="BH54" s="171"/>
    </row>
    <row r="55" spans="1:102" x14ac:dyDescent="0.25">
      <c r="A55" s="182"/>
      <c r="B55" s="182"/>
      <c r="C55" s="171"/>
      <c r="D55" s="171"/>
      <c r="E55" s="160"/>
      <c r="F55" s="171"/>
      <c r="G55" s="171"/>
      <c r="H55" s="171"/>
      <c r="I55" s="171"/>
      <c r="J55"/>
      <c r="K55"/>
      <c r="L55" s="247"/>
      <c r="M55" s="247"/>
      <c r="N55" s="171"/>
      <c r="O55" s="171"/>
      <c r="P55" s="171"/>
      <c r="Q55" s="160"/>
      <c r="R55" s="160"/>
      <c r="S55" s="171"/>
      <c r="T55" s="171"/>
      <c r="Y55" s="171"/>
      <c r="Z55" s="171"/>
      <c r="AA55" s="171"/>
      <c r="AB55" s="171"/>
      <c r="AC55" s="171"/>
      <c r="AD55" s="171"/>
      <c r="AE55" s="171"/>
      <c r="AF55" s="171"/>
      <c r="AN55" s="171"/>
      <c r="AO55" s="171"/>
      <c r="AP55" s="171"/>
      <c r="AQ55" s="171"/>
      <c r="AR55" s="171"/>
      <c r="AS55" s="171"/>
      <c r="AT55" s="171"/>
      <c r="AU55" s="171"/>
      <c r="AX55" s="171"/>
      <c r="AY55" s="171"/>
      <c r="AZ55" s="171"/>
      <c r="BA55" s="171"/>
      <c r="BB55" s="171"/>
      <c r="BF55" s="171"/>
      <c r="BH55" s="171"/>
    </row>
    <row r="56" spans="1:102" x14ac:dyDescent="0.25">
      <c r="A56" s="182"/>
      <c r="B56" s="182"/>
      <c r="C56" s="171"/>
      <c r="D56" s="171"/>
      <c r="E56" s="160"/>
      <c r="F56" s="171"/>
      <c r="G56" s="171"/>
      <c r="H56"/>
      <c r="I56" s="171"/>
      <c r="J56"/>
      <c r="K56"/>
      <c r="L56" s="247"/>
      <c r="M56" s="247"/>
      <c r="N56" s="171"/>
      <c r="O56" s="171"/>
      <c r="P56" s="171"/>
      <c r="Q56" s="160"/>
      <c r="R56" s="160"/>
      <c r="S56" s="171"/>
      <c r="T56" s="171"/>
      <c r="Y56" s="171"/>
      <c r="Z56" s="171"/>
      <c r="AA56" s="171"/>
      <c r="AB56" s="171"/>
      <c r="AC56" s="171"/>
      <c r="AD56" s="171"/>
      <c r="AE56" s="171"/>
      <c r="AF56" s="171"/>
      <c r="AN56" s="171"/>
      <c r="AO56" s="171"/>
      <c r="AP56" s="171"/>
      <c r="AQ56" s="171"/>
      <c r="AR56" s="171"/>
      <c r="AS56" s="171"/>
      <c r="AT56" s="171"/>
      <c r="AU56" s="171"/>
      <c r="AX56" s="171"/>
      <c r="AY56" s="171"/>
      <c r="AZ56" s="171"/>
      <c r="BA56" s="171"/>
      <c r="BB56" s="171"/>
      <c r="BF56" s="171"/>
      <c r="BH56" s="171"/>
    </row>
    <row r="57" spans="1:102" x14ac:dyDescent="0.25">
      <c r="A57" s="182"/>
      <c r="B57" s="182"/>
      <c r="C57" s="171"/>
      <c r="D57" s="171"/>
      <c r="E57" s="160"/>
      <c r="F57" s="171"/>
      <c r="G57" s="171"/>
      <c r="H57" s="171"/>
      <c r="I57" s="171"/>
      <c r="J57" s="171"/>
      <c r="K57" s="171"/>
      <c r="L57" s="629"/>
      <c r="M57" s="629"/>
      <c r="N57" s="171"/>
      <c r="O57" s="171"/>
      <c r="P57" s="171"/>
      <c r="Q57" s="160"/>
      <c r="R57" s="160"/>
      <c r="S57" s="171"/>
      <c r="T57" s="171"/>
      <c r="Y57" s="171"/>
      <c r="Z57" s="171"/>
      <c r="AA57" s="171"/>
      <c r="AB57" s="171"/>
      <c r="AC57" s="171"/>
      <c r="AD57" s="171"/>
      <c r="AE57" s="171"/>
      <c r="AF57" s="171"/>
      <c r="AN57" s="171"/>
      <c r="AO57" s="171"/>
      <c r="AP57" s="171"/>
      <c r="AQ57" s="171"/>
      <c r="AR57" s="171"/>
      <c r="AS57" s="171"/>
      <c r="AT57" s="171"/>
      <c r="AU57" s="171"/>
      <c r="AX57" s="171"/>
      <c r="AY57" s="171"/>
      <c r="AZ57" s="171"/>
      <c r="BA57" s="171"/>
      <c r="BB57" s="171"/>
      <c r="BC57" s="171"/>
      <c r="BD57" s="171"/>
      <c r="BF57" s="171"/>
      <c r="BH57" s="171"/>
      <c r="BI57" s="168"/>
      <c r="BJ57" s="168"/>
      <c r="BL57" s="168"/>
      <c r="BM57" s="168"/>
      <c r="BN57" s="168"/>
      <c r="BO57" s="168"/>
      <c r="BP57" s="168"/>
      <c r="BQ57" s="168"/>
      <c r="BR57" s="168"/>
      <c r="BS57" s="168"/>
      <c r="BT57" s="168"/>
      <c r="BU57" s="168"/>
      <c r="BV57" s="168"/>
      <c r="BW57" s="168"/>
      <c r="BX57" s="168"/>
      <c r="BY57" s="168"/>
      <c r="BZ57" s="168"/>
      <c r="CA57" s="168"/>
      <c r="CB57" s="168"/>
      <c r="CC57" s="168"/>
      <c r="CD57" s="168"/>
      <c r="CE57" s="168"/>
      <c r="CF57" s="168"/>
      <c r="CG57" s="168"/>
      <c r="CH57" s="168"/>
      <c r="CI57" s="168"/>
      <c r="CJ57" s="168"/>
      <c r="CK57" s="168"/>
      <c r="CL57" s="168"/>
      <c r="CM57" s="168"/>
      <c r="CN57" s="168"/>
      <c r="CO57" s="168"/>
      <c r="CP57" s="168"/>
      <c r="CQ57" s="168"/>
      <c r="CR57" s="168"/>
      <c r="CS57" s="168"/>
      <c r="CT57" s="168"/>
      <c r="CU57" s="168"/>
      <c r="CV57" s="168"/>
      <c r="CW57" s="168"/>
      <c r="CX57" s="168"/>
    </row>
    <row r="58" spans="1:102" x14ac:dyDescent="0.25">
      <c r="A58" s="182"/>
      <c r="B58" s="182"/>
      <c r="C58" s="171"/>
      <c r="D58" s="171"/>
      <c r="E58" s="160"/>
      <c r="F58" s="171"/>
      <c r="G58" s="171"/>
      <c r="H58" s="171"/>
      <c r="I58" s="171"/>
      <c r="J58"/>
      <c r="K58"/>
      <c r="L58" s="247"/>
      <c r="M58" s="247"/>
      <c r="N58" s="171"/>
      <c r="O58" s="171"/>
      <c r="P58" s="171"/>
      <c r="Q58" s="160"/>
      <c r="R58" s="160"/>
      <c r="S58" s="171"/>
      <c r="T58" s="171"/>
      <c r="Y58" s="171"/>
      <c r="Z58" s="171"/>
      <c r="AA58" s="171"/>
      <c r="AB58" s="171"/>
      <c r="AC58" s="171"/>
      <c r="AD58" s="171"/>
      <c r="AE58" s="171"/>
      <c r="AF58" s="171"/>
      <c r="AN58" s="171"/>
      <c r="AO58" s="171"/>
      <c r="AP58" s="171"/>
      <c r="AQ58" s="171"/>
      <c r="AR58" s="171"/>
      <c r="AS58" s="171"/>
      <c r="AT58" s="171"/>
      <c r="AU58" s="171"/>
      <c r="AX58" s="171"/>
      <c r="AY58" s="171"/>
      <c r="AZ58" s="171"/>
      <c r="BA58" s="171"/>
      <c r="BB58" s="171"/>
      <c r="BF58" s="171"/>
      <c r="BH58" s="171"/>
    </row>
    <row r="59" spans="1:102" x14ac:dyDescent="0.25">
      <c r="A59" s="182"/>
      <c r="B59" s="182"/>
      <c r="C59" s="171"/>
      <c r="D59" s="171"/>
      <c r="E59" s="160"/>
      <c r="F59" s="171"/>
      <c r="G59" s="171"/>
      <c r="H59"/>
      <c r="I59" s="171"/>
      <c r="J59"/>
      <c r="K59"/>
      <c r="L59" s="247"/>
      <c r="M59" s="247"/>
      <c r="N59" s="171"/>
      <c r="O59" s="171"/>
      <c r="P59" s="171"/>
      <c r="Q59" s="160"/>
      <c r="R59" s="160"/>
      <c r="S59" s="171"/>
      <c r="T59" s="171"/>
      <c r="Y59" s="171"/>
      <c r="Z59" s="171"/>
      <c r="AA59" s="171"/>
      <c r="AB59" s="171"/>
      <c r="AC59" s="171"/>
      <c r="AD59" s="171"/>
      <c r="AE59" s="171"/>
      <c r="AF59" s="171"/>
      <c r="AN59" s="171"/>
      <c r="AO59" s="171"/>
      <c r="AP59" s="171"/>
      <c r="AQ59" s="171"/>
      <c r="AR59" s="171"/>
      <c r="AS59" s="171"/>
      <c r="AT59" s="171"/>
      <c r="AU59" s="171"/>
      <c r="AX59" s="171"/>
      <c r="AY59" s="171"/>
      <c r="AZ59" s="171"/>
      <c r="BA59" s="171"/>
      <c r="BB59" s="171"/>
      <c r="BF59" s="171"/>
      <c r="BH59" s="171"/>
    </row>
    <row r="60" spans="1:102" x14ac:dyDescent="0.25">
      <c r="A60" s="182"/>
      <c r="B60" s="182"/>
      <c r="C60" s="171"/>
      <c r="D60" s="171"/>
      <c r="E60" s="160"/>
      <c r="F60" s="171"/>
      <c r="G60" s="171"/>
      <c r="H60"/>
      <c r="I60" s="171"/>
      <c r="J60"/>
      <c r="K60"/>
      <c r="L60" s="247"/>
      <c r="M60" s="247"/>
      <c r="N60" s="171"/>
      <c r="O60" s="171"/>
      <c r="P60" s="171"/>
      <c r="Q60" s="160"/>
      <c r="R60" s="160"/>
      <c r="S60" s="171"/>
      <c r="T60" s="171"/>
      <c r="Y60" s="171"/>
      <c r="Z60" s="171"/>
      <c r="AA60" s="171"/>
      <c r="AB60" s="171"/>
      <c r="AC60" s="171"/>
      <c r="AD60" s="171"/>
      <c r="AE60" s="171"/>
      <c r="AF60" s="171"/>
      <c r="AN60" s="171"/>
      <c r="AO60" s="171"/>
      <c r="AP60" s="171"/>
      <c r="AQ60" s="171"/>
      <c r="AR60" s="171"/>
      <c r="AS60" s="171"/>
      <c r="AT60" s="171"/>
      <c r="AU60" s="171"/>
      <c r="AX60" s="171"/>
      <c r="AY60" s="171"/>
      <c r="AZ60" s="171"/>
      <c r="BA60" s="171"/>
      <c r="BB60" s="171"/>
      <c r="BC60" s="171"/>
      <c r="BD60" s="171"/>
      <c r="BF60" s="171"/>
      <c r="BH60" s="171"/>
      <c r="BI60" s="168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168"/>
      <c r="CQ60" s="168"/>
      <c r="CR60" s="168"/>
      <c r="CS60" s="168"/>
      <c r="CT60" s="168"/>
      <c r="CU60" s="168"/>
      <c r="CV60" s="168"/>
      <c r="CW60" s="168"/>
      <c r="CX60" s="168"/>
    </row>
    <row r="61" spans="1:102" x14ac:dyDescent="0.25">
      <c r="A61" s="182"/>
      <c r="B61" s="182"/>
      <c r="C61" s="171"/>
      <c r="D61" s="171"/>
      <c r="E61" s="160"/>
      <c r="F61" s="171"/>
      <c r="G61" s="171"/>
      <c r="H61" s="171"/>
      <c r="I61" s="171"/>
      <c r="J61" s="171"/>
      <c r="K61" s="171"/>
      <c r="L61" s="629"/>
      <c r="M61" s="629"/>
      <c r="N61" s="171"/>
      <c r="O61" s="171"/>
      <c r="P61" s="171"/>
      <c r="Q61" s="160"/>
      <c r="R61" s="160"/>
      <c r="S61" s="171"/>
      <c r="T61" s="171"/>
      <c r="Y61" s="171"/>
      <c r="Z61" s="171"/>
      <c r="AA61" s="171"/>
      <c r="AB61" s="171"/>
      <c r="AC61" s="171"/>
      <c r="AD61" s="171"/>
      <c r="AE61" s="171"/>
      <c r="AF61" s="171"/>
      <c r="AN61" s="171"/>
      <c r="AO61" s="171"/>
      <c r="AP61" s="171"/>
      <c r="AQ61" s="171"/>
      <c r="AR61" s="171"/>
      <c r="AS61" s="171"/>
      <c r="AT61" s="171"/>
      <c r="AU61" s="171"/>
      <c r="AX61" s="171"/>
      <c r="AY61" s="171"/>
      <c r="AZ61" s="171"/>
      <c r="BA61" s="171"/>
      <c r="BB61" s="171"/>
      <c r="BC61" s="171"/>
      <c r="BD61" s="171"/>
      <c r="BF61" s="171"/>
      <c r="BH61" s="171"/>
      <c r="BI61" s="168"/>
      <c r="BM61" s="168"/>
      <c r="BN61" s="168"/>
      <c r="BO61" s="168"/>
      <c r="BP61" s="168"/>
      <c r="BQ61" s="168"/>
      <c r="BR61" s="168"/>
      <c r="BS61" s="168"/>
      <c r="BT61" s="168"/>
      <c r="BU61" s="168"/>
      <c r="BV61" s="168"/>
      <c r="BW61" s="168"/>
      <c r="BX61" s="168"/>
      <c r="BY61" s="168"/>
      <c r="BZ61" s="168"/>
      <c r="CA61" s="168"/>
      <c r="CB61" s="168"/>
      <c r="CC61" s="168"/>
      <c r="CD61" s="168"/>
      <c r="CE61" s="168"/>
      <c r="CF61" s="168"/>
      <c r="CG61" s="168"/>
      <c r="CH61" s="168"/>
      <c r="CI61" s="168"/>
      <c r="CJ61" s="168"/>
      <c r="CK61" s="168"/>
      <c r="CL61" s="168"/>
      <c r="CM61" s="168"/>
      <c r="CN61" s="168"/>
      <c r="CO61" s="168"/>
      <c r="CP61" s="168"/>
      <c r="CQ61" s="168"/>
      <c r="CR61" s="168"/>
      <c r="CS61" s="168"/>
      <c r="CT61" s="168"/>
      <c r="CU61" s="168"/>
      <c r="CV61" s="168"/>
      <c r="CW61" s="168"/>
      <c r="CX61" s="168"/>
    </row>
    <row r="62" spans="1:102" x14ac:dyDescent="0.25">
      <c r="A62" s="182"/>
      <c r="B62" s="182"/>
      <c r="C62" s="171"/>
      <c r="D62" s="171"/>
      <c r="E62" s="160"/>
      <c r="F62" s="171"/>
      <c r="G62" s="171"/>
      <c r="H62" s="171"/>
      <c r="I62" s="171"/>
      <c r="J62"/>
      <c r="K62"/>
      <c r="L62" s="247"/>
      <c r="M62" s="247"/>
      <c r="N62" s="171"/>
      <c r="O62" s="171"/>
      <c r="P62" s="171"/>
      <c r="Q62" s="160"/>
      <c r="R62" s="160"/>
      <c r="S62" s="171"/>
      <c r="T62" s="171"/>
      <c r="Y62" s="171"/>
      <c r="Z62" s="171"/>
      <c r="AA62" s="171"/>
      <c r="AB62" s="171"/>
      <c r="AC62" s="171"/>
      <c r="AD62" s="171"/>
      <c r="AE62" s="171"/>
      <c r="AF62" s="171"/>
      <c r="AN62" s="171"/>
      <c r="AO62" s="171"/>
      <c r="AP62" s="171"/>
      <c r="AQ62" s="171"/>
      <c r="AR62" s="171"/>
      <c r="AS62" s="171"/>
      <c r="AT62" s="171"/>
      <c r="AU62" s="171"/>
      <c r="AX62" s="171"/>
      <c r="AY62" s="171"/>
      <c r="AZ62" s="171"/>
      <c r="BA62" s="171"/>
      <c r="BB62" s="171"/>
      <c r="BF62" s="171"/>
      <c r="BH62" s="171"/>
    </row>
    <row r="63" spans="1:102" x14ac:dyDescent="0.25">
      <c r="A63" s="182"/>
      <c r="B63" s="182"/>
      <c r="C63" s="171"/>
      <c r="D63" s="171"/>
      <c r="E63" s="160"/>
      <c r="F63" s="171"/>
      <c r="G63" s="171"/>
      <c r="H63" s="171"/>
      <c r="I63" s="171"/>
      <c r="J63"/>
      <c r="K63"/>
      <c r="L63" s="247"/>
      <c r="M63" s="247"/>
      <c r="N63" s="171"/>
      <c r="O63" s="171"/>
      <c r="P63" s="171"/>
      <c r="Q63" s="160"/>
      <c r="R63" s="160"/>
      <c r="S63" s="171"/>
      <c r="T63" s="171"/>
      <c r="Y63" s="171"/>
      <c r="Z63" s="171"/>
      <c r="AA63" s="171"/>
      <c r="AB63" s="171"/>
      <c r="AC63" s="171"/>
      <c r="AD63" s="171"/>
      <c r="AE63" s="171"/>
      <c r="AF63" s="171"/>
      <c r="AN63" s="171"/>
      <c r="AO63" s="171"/>
      <c r="AP63" s="171"/>
      <c r="AQ63" s="171"/>
      <c r="AR63" s="171"/>
      <c r="AS63" s="171"/>
      <c r="AT63" s="171"/>
      <c r="AU63" s="171"/>
      <c r="AX63" s="171"/>
      <c r="AY63" s="171"/>
      <c r="AZ63" s="171"/>
      <c r="BA63" s="171"/>
      <c r="BB63" s="171"/>
      <c r="BF63" s="171"/>
      <c r="BH63" s="171"/>
    </row>
    <row r="64" spans="1:102" x14ac:dyDescent="0.25">
      <c r="A64" s="182"/>
      <c r="B64" s="182"/>
      <c r="C64" s="171"/>
      <c r="D64" s="171"/>
      <c r="E64" s="160"/>
      <c r="F64" s="171"/>
      <c r="G64" s="171"/>
      <c r="H64" s="171"/>
      <c r="I64" s="171"/>
      <c r="J64" s="171"/>
      <c r="K64" s="171"/>
      <c r="L64" s="629"/>
      <c r="M64" s="629"/>
      <c r="N64" s="171"/>
      <c r="O64" s="171"/>
      <c r="P64" s="171"/>
      <c r="Q64" s="160"/>
      <c r="R64" s="160"/>
      <c r="S64" s="171"/>
      <c r="T64" s="171"/>
      <c r="Y64" s="171"/>
      <c r="Z64" s="171"/>
      <c r="AA64" s="171"/>
      <c r="AB64" s="171"/>
      <c r="AC64" s="171"/>
      <c r="AD64" s="171"/>
      <c r="AE64" s="171"/>
      <c r="AF64" s="171"/>
      <c r="AN64" s="171"/>
      <c r="AO64" s="171"/>
      <c r="AP64" s="171"/>
      <c r="AQ64" s="171"/>
      <c r="AR64" s="171"/>
      <c r="AS64" s="171"/>
      <c r="AT64" s="171"/>
      <c r="AU64" s="171"/>
      <c r="AX64" s="171"/>
      <c r="AY64" s="171"/>
      <c r="AZ64" s="171"/>
      <c r="BA64" s="171"/>
      <c r="BB64" s="171"/>
      <c r="BF64" s="171"/>
      <c r="BH64" s="171"/>
    </row>
    <row r="65" spans="1:102" x14ac:dyDescent="0.25">
      <c r="A65" s="182"/>
      <c r="B65" s="182"/>
      <c r="C65" s="171"/>
      <c r="D65" s="171"/>
      <c r="E65" s="160"/>
      <c r="F65" s="171"/>
      <c r="G65" s="171"/>
      <c r="H65"/>
      <c r="I65" s="171"/>
      <c r="J65"/>
      <c r="K65"/>
      <c r="L65" s="247"/>
      <c r="M65" s="247"/>
      <c r="N65" s="171"/>
      <c r="O65" s="171"/>
      <c r="P65" s="171"/>
      <c r="Q65" s="160"/>
      <c r="R65" s="160"/>
      <c r="S65" s="171"/>
      <c r="T65" s="171"/>
      <c r="Y65" s="171"/>
      <c r="Z65" s="171"/>
      <c r="AA65" s="171"/>
      <c r="AB65" s="171"/>
      <c r="AC65" s="171"/>
      <c r="AD65" s="171"/>
      <c r="AE65" s="171"/>
      <c r="AF65" s="171"/>
      <c r="AN65" s="171"/>
      <c r="AO65" s="171"/>
      <c r="AP65" s="171"/>
      <c r="AQ65" s="171"/>
      <c r="AR65" s="171"/>
      <c r="AS65" s="171"/>
      <c r="AT65" s="171"/>
      <c r="AU65" s="171"/>
      <c r="AX65" s="171"/>
      <c r="AY65" s="171"/>
      <c r="AZ65" s="171"/>
      <c r="BA65" s="171"/>
      <c r="BB65" s="171"/>
      <c r="BF65" s="171"/>
      <c r="BH65" s="171"/>
    </row>
    <row r="66" spans="1:102" x14ac:dyDescent="0.25">
      <c r="A66" s="182"/>
      <c r="B66" s="182"/>
      <c r="C66" s="171"/>
      <c r="D66" s="171"/>
      <c r="E66" s="160"/>
      <c r="F66" s="171"/>
      <c r="G66" s="171"/>
      <c r="H66" s="171"/>
      <c r="I66" s="171"/>
      <c r="J66"/>
      <c r="K66"/>
      <c r="L66" s="247"/>
      <c r="M66" s="247"/>
      <c r="N66" s="171"/>
      <c r="O66" s="171"/>
      <c r="P66" s="171"/>
      <c r="Q66" s="160"/>
      <c r="R66" s="160"/>
      <c r="S66" s="171"/>
      <c r="T66" s="171"/>
      <c r="Y66" s="171"/>
      <c r="Z66" s="171"/>
      <c r="AA66" s="171"/>
      <c r="AB66" s="171"/>
      <c r="AC66" s="171"/>
      <c r="AD66" s="171"/>
      <c r="AE66" s="171"/>
      <c r="AF66" s="171"/>
      <c r="AN66" s="171"/>
      <c r="AO66" s="171"/>
      <c r="AP66" s="171"/>
      <c r="AQ66" s="171"/>
      <c r="AR66" s="171"/>
      <c r="AS66" s="171"/>
      <c r="AT66" s="171"/>
      <c r="AU66" s="171"/>
      <c r="AX66" s="171"/>
      <c r="AY66" s="171"/>
      <c r="AZ66" s="171"/>
      <c r="BA66" s="171"/>
      <c r="BB66" s="171"/>
      <c r="BF66" s="171"/>
      <c r="BH66" s="171"/>
    </row>
    <row r="67" spans="1:102" x14ac:dyDescent="0.25">
      <c r="A67" s="182"/>
      <c r="B67" s="182"/>
      <c r="C67" s="171"/>
      <c r="D67" s="171"/>
      <c r="E67" s="160"/>
      <c r="F67" s="171"/>
      <c r="G67" s="171"/>
      <c r="H67" s="171"/>
      <c r="I67" s="171"/>
      <c r="J67" s="171"/>
      <c r="K67" s="171"/>
      <c r="L67" s="629"/>
      <c r="M67" s="629"/>
      <c r="N67" s="171"/>
      <c r="O67" s="171"/>
      <c r="P67" s="171"/>
      <c r="Q67" s="160"/>
      <c r="R67" s="160"/>
      <c r="S67" s="171"/>
      <c r="T67" s="171"/>
      <c r="Y67" s="171"/>
      <c r="Z67" s="171"/>
      <c r="AA67" s="171"/>
      <c r="AB67" s="171"/>
      <c r="AC67" s="171"/>
      <c r="AD67" s="171"/>
      <c r="AE67" s="171"/>
      <c r="AF67" s="171"/>
      <c r="AN67" s="171"/>
      <c r="AO67" s="171"/>
      <c r="AP67" s="171"/>
      <c r="AQ67" s="171"/>
      <c r="AR67" s="171"/>
      <c r="AS67" s="171"/>
      <c r="AT67" s="171"/>
      <c r="AU67" s="171"/>
      <c r="AX67" s="171"/>
      <c r="AY67" s="171"/>
      <c r="AZ67" s="171"/>
      <c r="BA67" s="171"/>
      <c r="BB67" s="171"/>
      <c r="BF67" s="171"/>
      <c r="BH67" s="171"/>
    </row>
    <row r="68" spans="1:102" x14ac:dyDescent="0.25">
      <c r="A68" s="182"/>
      <c r="B68" s="182"/>
      <c r="C68" s="171"/>
      <c r="D68" s="171"/>
      <c r="E68" s="160"/>
      <c r="F68" s="171"/>
      <c r="G68" s="171"/>
      <c r="H68"/>
      <c r="I68" s="171"/>
      <c r="J68"/>
      <c r="K68"/>
      <c r="L68" s="247"/>
      <c r="M68" s="247"/>
      <c r="N68" s="171"/>
      <c r="O68" s="171"/>
      <c r="P68" s="171"/>
      <c r="Q68" s="160"/>
      <c r="R68" s="160"/>
      <c r="S68" s="171"/>
      <c r="T68" s="171"/>
      <c r="Y68" s="171"/>
      <c r="Z68" s="171"/>
      <c r="AA68" s="171"/>
      <c r="AB68" s="171"/>
      <c r="AC68" s="171"/>
      <c r="AD68" s="171"/>
      <c r="AE68" s="171"/>
      <c r="AF68" s="171"/>
      <c r="AN68" s="171"/>
      <c r="AO68" s="171"/>
      <c r="AP68" s="171"/>
      <c r="AQ68" s="171"/>
      <c r="AR68" s="171"/>
      <c r="AS68" s="171"/>
      <c r="AT68" s="171"/>
      <c r="AU68" s="171"/>
      <c r="AX68" s="171"/>
      <c r="AY68" s="171"/>
      <c r="AZ68" s="171"/>
      <c r="BA68" s="171"/>
      <c r="BB68" s="171"/>
      <c r="BF68" s="171"/>
      <c r="BH68" s="171"/>
    </row>
    <row r="69" spans="1:102" x14ac:dyDescent="0.25">
      <c r="A69" s="182"/>
      <c r="B69" s="182"/>
      <c r="C69" s="171"/>
      <c r="D69" s="171"/>
      <c r="E69" s="160"/>
      <c r="F69" s="171"/>
      <c r="G69" s="171"/>
      <c r="H69" s="171"/>
      <c r="I69" s="171"/>
      <c r="J69"/>
      <c r="K69"/>
      <c r="L69" s="247"/>
      <c r="M69" s="247"/>
      <c r="N69" s="171"/>
      <c r="O69" s="171"/>
      <c r="P69" s="171"/>
      <c r="Q69" s="160"/>
      <c r="R69" s="160"/>
      <c r="S69" s="171"/>
      <c r="T69" s="171"/>
      <c r="Y69" s="171"/>
      <c r="Z69" s="171"/>
      <c r="AA69" s="171"/>
      <c r="AB69" s="171"/>
      <c r="AC69" s="171"/>
      <c r="AD69" s="171"/>
      <c r="AE69" s="171"/>
      <c r="AF69" s="171"/>
      <c r="AN69" s="171"/>
      <c r="AO69" s="171"/>
      <c r="AP69" s="171"/>
      <c r="AQ69" s="171"/>
      <c r="AR69" s="171"/>
      <c r="AS69" s="171"/>
      <c r="AT69" s="171"/>
      <c r="AU69" s="171"/>
      <c r="AX69" s="171"/>
      <c r="AY69" s="171"/>
      <c r="AZ69" s="171"/>
      <c r="BA69" s="171"/>
      <c r="BB69" s="171"/>
      <c r="BF69" s="171"/>
      <c r="BH69" s="171"/>
    </row>
    <row r="70" spans="1:102" x14ac:dyDescent="0.25">
      <c r="A70" s="182"/>
      <c r="B70" s="182"/>
      <c r="C70" s="171"/>
      <c r="D70" s="171"/>
      <c r="E70" s="160"/>
      <c r="F70" s="171"/>
      <c r="G70" s="171"/>
      <c r="H70"/>
      <c r="I70" s="171"/>
      <c r="J70"/>
      <c r="K70"/>
      <c r="L70" s="247"/>
      <c r="M70" s="247"/>
      <c r="N70" s="171"/>
      <c r="O70" s="171"/>
      <c r="P70" s="171"/>
      <c r="Q70" s="160"/>
      <c r="R70" s="160"/>
      <c r="S70" s="171"/>
      <c r="T70" s="171"/>
      <c r="Y70" s="171"/>
      <c r="Z70" s="171"/>
      <c r="AA70" s="171"/>
      <c r="AB70" s="171"/>
      <c r="AC70" s="171"/>
      <c r="AD70" s="171"/>
      <c r="AE70" s="171"/>
      <c r="AF70" s="171"/>
      <c r="AN70" s="171"/>
      <c r="AO70" s="171"/>
      <c r="AP70" s="171"/>
      <c r="AQ70" s="171"/>
      <c r="AR70" s="171"/>
      <c r="AS70" s="171"/>
      <c r="AT70" s="171"/>
      <c r="AU70" s="171"/>
      <c r="AX70" s="171"/>
      <c r="AY70" s="171"/>
      <c r="AZ70" s="171"/>
      <c r="BA70" s="171"/>
      <c r="BB70" s="171"/>
      <c r="BC70" s="171"/>
      <c r="BD70" s="171"/>
      <c r="BF70" s="171"/>
      <c r="BH70" s="171"/>
      <c r="BI70" s="168"/>
      <c r="BM70" s="168"/>
      <c r="BN70" s="168"/>
      <c r="BO70" s="168"/>
      <c r="BP70" s="168"/>
      <c r="BQ70" s="168"/>
      <c r="BR70" s="168"/>
      <c r="BS70" s="168"/>
      <c r="BT70" s="168"/>
      <c r="BU70" s="168"/>
      <c r="BV70" s="168"/>
      <c r="BW70" s="168"/>
      <c r="BX70" s="168"/>
      <c r="BY70" s="168"/>
      <c r="BZ70" s="168"/>
      <c r="CA70" s="168"/>
      <c r="CB70" s="168"/>
      <c r="CC70" s="168"/>
      <c r="CD70" s="168"/>
      <c r="CE70" s="168"/>
      <c r="CF70" s="168"/>
      <c r="CG70" s="168"/>
      <c r="CH70" s="168"/>
      <c r="CI70" s="168"/>
      <c r="CJ70" s="168"/>
      <c r="CK70" s="168"/>
      <c r="CL70" s="168"/>
      <c r="CM70" s="168"/>
      <c r="CN70" s="168"/>
      <c r="CO70" s="168"/>
      <c r="CP70" s="168"/>
      <c r="CQ70" s="168"/>
      <c r="CR70" s="168"/>
      <c r="CS70" s="168"/>
      <c r="CT70" s="168"/>
      <c r="CU70" s="168"/>
      <c r="CV70" s="168"/>
      <c r="CW70" s="168"/>
      <c r="CX70" s="168"/>
    </row>
    <row r="71" spans="1:102" x14ac:dyDescent="0.25">
      <c r="A71" s="182"/>
      <c r="B71" s="182"/>
      <c r="C71" s="171"/>
      <c r="D71" s="171"/>
      <c r="E71" s="160"/>
      <c r="F71" s="171"/>
      <c r="G71" s="171"/>
      <c r="H71" s="171"/>
      <c r="I71" s="171"/>
      <c r="J71"/>
      <c r="K71"/>
      <c r="L71" s="247"/>
      <c r="M71" s="247"/>
      <c r="N71" s="171"/>
      <c r="O71" s="171"/>
      <c r="P71" s="171"/>
      <c r="Q71" s="160"/>
      <c r="R71" s="160"/>
      <c r="S71" s="171"/>
      <c r="T71" s="171"/>
      <c r="Y71" s="171"/>
      <c r="Z71" s="171"/>
      <c r="AA71" s="171"/>
      <c r="AB71" s="171"/>
      <c r="AC71" s="171"/>
      <c r="AD71" s="171"/>
      <c r="AE71" s="171"/>
      <c r="AF71" s="171"/>
      <c r="AN71" s="171"/>
      <c r="AO71" s="171"/>
      <c r="AP71" s="171"/>
      <c r="AQ71" s="171"/>
      <c r="AR71" s="171"/>
      <c r="AS71" s="171"/>
      <c r="AT71" s="171"/>
      <c r="AU71" s="171"/>
      <c r="AX71" s="171"/>
      <c r="AY71" s="171"/>
      <c r="AZ71" s="171"/>
      <c r="BA71" s="171"/>
      <c r="BB71" s="171"/>
      <c r="BC71" s="171"/>
      <c r="BD71" s="171"/>
      <c r="BF71" s="171"/>
      <c r="BH71" s="171"/>
      <c r="BI71" s="168"/>
      <c r="BL71" s="168"/>
      <c r="BM71" s="168"/>
      <c r="BN71" s="168"/>
      <c r="BO71" s="168"/>
      <c r="BP71" s="168"/>
      <c r="BQ71" s="168"/>
      <c r="BR71" s="168"/>
      <c r="BS71" s="168"/>
      <c r="BT71" s="168"/>
      <c r="BU71" s="168"/>
      <c r="BV71" s="168"/>
      <c r="BW71" s="168"/>
      <c r="BX71" s="168"/>
      <c r="BY71" s="168"/>
      <c r="BZ71" s="168"/>
      <c r="CA71" s="168"/>
      <c r="CB71" s="168"/>
      <c r="CC71" s="168"/>
      <c r="CD71" s="168"/>
      <c r="CE71" s="168"/>
      <c r="CF71" s="168"/>
      <c r="CG71" s="168"/>
      <c r="CH71" s="168"/>
      <c r="CI71" s="168"/>
      <c r="CJ71" s="168"/>
      <c r="CK71" s="168"/>
      <c r="CL71" s="168"/>
      <c r="CM71" s="168"/>
      <c r="CN71" s="168"/>
      <c r="CO71" s="168"/>
      <c r="CP71" s="168"/>
      <c r="CQ71" s="168"/>
      <c r="CR71" s="168"/>
      <c r="CS71" s="168"/>
      <c r="CT71" s="168"/>
      <c r="CU71" s="168"/>
      <c r="CV71" s="168"/>
      <c r="CW71" s="168"/>
      <c r="CX71" s="168"/>
    </row>
    <row r="72" spans="1:102" x14ac:dyDescent="0.25">
      <c r="A72" s="182"/>
      <c r="B72" s="182"/>
      <c r="C72" s="171"/>
      <c r="D72" s="171"/>
      <c r="E72" s="160"/>
      <c r="F72" s="171"/>
      <c r="G72" s="171"/>
      <c r="H72" s="171"/>
      <c r="I72" s="171"/>
      <c r="J72"/>
      <c r="K72"/>
      <c r="L72" s="247"/>
      <c r="M72" s="247"/>
      <c r="N72" s="171"/>
      <c r="O72" s="171"/>
      <c r="P72" s="171"/>
      <c r="Q72" s="160"/>
      <c r="R72" s="160"/>
      <c r="S72" s="171"/>
      <c r="T72" s="171"/>
      <c r="Y72" s="171"/>
      <c r="Z72" s="171"/>
      <c r="AA72" s="171"/>
      <c r="AB72" s="171"/>
      <c r="AC72" s="171"/>
      <c r="AD72" s="171"/>
      <c r="AE72" s="171"/>
      <c r="AF72" s="171"/>
      <c r="AN72" s="171"/>
      <c r="AO72" s="171"/>
      <c r="AP72" s="171"/>
      <c r="AQ72" s="171"/>
      <c r="AR72" s="171"/>
      <c r="AS72" s="171"/>
      <c r="AT72" s="171"/>
      <c r="AU72" s="171"/>
      <c r="AX72" s="171"/>
      <c r="AY72" s="171"/>
      <c r="AZ72" s="171"/>
      <c r="BA72" s="171"/>
      <c r="BB72" s="171"/>
      <c r="BC72" s="171"/>
      <c r="BD72" s="171"/>
      <c r="BF72" s="171"/>
      <c r="BH72" s="171"/>
      <c r="BI72" s="168"/>
      <c r="BL72" s="168"/>
      <c r="BM72" s="168"/>
      <c r="BN72" s="168"/>
      <c r="BO72" s="168"/>
      <c r="BP72" s="168"/>
      <c r="BQ72" s="168"/>
      <c r="BR72" s="168"/>
      <c r="BS72" s="168"/>
      <c r="BT72" s="168"/>
      <c r="BU72" s="168"/>
      <c r="BV72" s="168"/>
      <c r="BW72" s="168"/>
      <c r="BX72" s="168"/>
      <c r="BY72" s="168"/>
      <c r="BZ72" s="168"/>
      <c r="CA72" s="168"/>
      <c r="CB72" s="168"/>
      <c r="CC72" s="168"/>
      <c r="CD72" s="168"/>
      <c r="CE72" s="168"/>
      <c r="CF72" s="168"/>
      <c r="CG72" s="168"/>
      <c r="CH72" s="168"/>
      <c r="CI72" s="168"/>
      <c r="CJ72" s="168"/>
      <c r="CK72" s="168"/>
      <c r="CL72" s="168"/>
      <c r="CM72" s="168"/>
      <c r="CN72" s="168"/>
      <c r="CO72" s="168"/>
      <c r="CP72" s="168"/>
      <c r="CR72" s="168"/>
      <c r="CS72" s="168"/>
      <c r="CT72" s="168"/>
      <c r="CU72" s="168"/>
      <c r="CV72" s="168"/>
      <c r="CW72" s="168"/>
      <c r="CX72" s="168"/>
    </row>
    <row r="73" spans="1:102" x14ac:dyDescent="0.25">
      <c r="A73" s="182"/>
      <c r="B73" s="182"/>
      <c r="C73" s="171"/>
      <c r="D73" s="171"/>
      <c r="E73" s="160"/>
      <c r="F73" s="171"/>
      <c r="G73" s="171"/>
      <c r="H73" s="171"/>
      <c r="I73" s="171"/>
      <c r="J73" s="171"/>
      <c r="K73" s="171"/>
      <c r="L73" s="629"/>
      <c r="M73" s="629"/>
      <c r="N73" s="171"/>
      <c r="O73" s="171"/>
      <c r="P73" s="171"/>
      <c r="Q73" s="160"/>
      <c r="R73" s="160"/>
      <c r="S73" s="171"/>
      <c r="T73" s="171"/>
      <c r="Y73" s="171"/>
      <c r="Z73" s="171"/>
      <c r="AA73" s="171"/>
      <c r="AB73" s="171"/>
      <c r="AC73" s="171"/>
      <c r="AD73" s="171"/>
      <c r="AE73" s="171"/>
      <c r="AF73" s="171"/>
      <c r="AN73" s="171"/>
      <c r="AO73" s="171"/>
      <c r="AP73" s="171"/>
      <c r="AQ73" s="171"/>
      <c r="AR73" s="171"/>
      <c r="AS73" s="171"/>
      <c r="AT73" s="171"/>
      <c r="AU73" s="171"/>
      <c r="AX73" s="171"/>
      <c r="AY73" s="171"/>
      <c r="AZ73" s="171"/>
      <c r="BA73" s="171"/>
      <c r="BB73" s="171"/>
      <c r="BF73" s="171"/>
      <c r="BH73" s="171"/>
    </row>
    <row r="74" spans="1:102" x14ac:dyDescent="0.25">
      <c r="A74" s="182"/>
      <c r="B74" s="182"/>
      <c r="C74" s="171"/>
      <c r="D74" s="171"/>
      <c r="E74" s="160"/>
      <c r="F74" s="171"/>
      <c r="G74" s="171"/>
      <c r="H74" s="171"/>
      <c r="I74" s="171"/>
      <c r="J74" s="171"/>
      <c r="K74" s="171"/>
      <c r="L74" s="629"/>
      <c r="M74" s="629"/>
      <c r="N74" s="171"/>
      <c r="O74" s="171"/>
      <c r="P74" s="171"/>
      <c r="Q74" s="160"/>
      <c r="R74" s="160"/>
      <c r="S74" s="171"/>
      <c r="T74" s="171"/>
      <c r="Y74" s="171"/>
      <c r="Z74" s="171"/>
      <c r="AA74" s="171"/>
      <c r="AB74" s="171"/>
      <c r="AC74" s="171"/>
      <c r="AD74" s="171"/>
      <c r="AE74" s="171"/>
      <c r="AF74" s="171"/>
      <c r="AN74" s="171"/>
      <c r="AO74" s="171"/>
      <c r="AP74" s="171"/>
      <c r="AQ74" s="171"/>
      <c r="AR74" s="171"/>
      <c r="AS74" s="171"/>
      <c r="AT74" s="171"/>
      <c r="AU74" s="171"/>
      <c r="AX74" s="171"/>
      <c r="AY74" s="171"/>
      <c r="AZ74" s="171"/>
      <c r="BA74" s="171"/>
      <c r="BB74" s="171"/>
      <c r="BF74" s="171"/>
      <c r="BH74" s="171"/>
    </row>
    <row r="75" spans="1:102" x14ac:dyDescent="0.25">
      <c r="A75" s="182"/>
      <c r="B75" s="182"/>
      <c r="C75" s="171"/>
      <c r="D75" s="171"/>
      <c r="E75" s="160"/>
      <c r="F75" s="171"/>
      <c r="G75" s="171"/>
      <c r="H75" s="171"/>
      <c r="I75" s="171"/>
      <c r="J75" s="171"/>
      <c r="K75" s="171"/>
      <c r="L75" s="629"/>
      <c r="M75" s="629"/>
      <c r="N75" s="171"/>
      <c r="O75" s="171"/>
      <c r="P75" s="171"/>
      <c r="Q75" s="160"/>
      <c r="R75" s="160"/>
      <c r="S75" s="171"/>
      <c r="T75" s="171"/>
      <c r="Y75" s="171"/>
      <c r="Z75" s="171"/>
      <c r="AA75" s="171"/>
      <c r="AB75" s="171"/>
      <c r="AC75" s="171"/>
      <c r="AD75" s="171"/>
      <c r="AE75" s="171"/>
      <c r="AF75" s="171"/>
      <c r="AN75" s="171"/>
      <c r="AO75" s="171"/>
      <c r="AP75" s="171"/>
      <c r="AQ75" s="171"/>
      <c r="AR75" s="171"/>
      <c r="AS75" s="171"/>
      <c r="AT75" s="171"/>
      <c r="AU75" s="171"/>
      <c r="AX75" s="171"/>
      <c r="AY75" s="171"/>
      <c r="AZ75" s="171"/>
      <c r="BA75" s="171"/>
      <c r="BB75" s="171"/>
      <c r="BF75" s="171"/>
      <c r="BH75" s="171"/>
    </row>
    <row r="76" spans="1:102" x14ac:dyDescent="0.25">
      <c r="A76" s="182"/>
      <c r="B76" s="182"/>
      <c r="C76" s="171"/>
      <c r="D76" s="171"/>
      <c r="E76" s="160"/>
      <c r="F76" s="171"/>
      <c r="G76" s="171"/>
      <c r="H76"/>
      <c r="I76" s="171"/>
      <c r="J76"/>
      <c r="K76"/>
      <c r="L76" s="247"/>
      <c r="M76" s="247"/>
      <c r="N76" s="171"/>
      <c r="O76" s="171"/>
      <c r="P76" s="171"/>
      <c r="Q76" s="160"/>
      <c r="R76" s="160"/>
      <c r="S76" s="171"/>
      <c r="T76" s="171"/>
      <c r="Y76" s="171"/>
      <c r="Z76" s="171"/>
      <c r="AA76" s="171"/>
      <c r="AB76" s="171"/>
      <c r="AC76" s="171"/>
      <c r="AD76" s="171"/>
      <c r="AE76" s="171"/>
      <c r="AF76" s="171"/>
      <c r="AN76" s="171"/>
      <c r="AO76" s="171"/>
      <c r="AP76" s="171"/>
      <c r="AQ76" s="171"/>
      <c r="AR76" s="171"/>
      <c r="AS76" s="171"/>
      <c r="AT76" s="171"/>
      <c r="AU76" s="171"/>
      <c r="AX76" s="171"/>
      <c r="AY76" s="171"/>
      <c r="AZ76" s="171"/>
      <c r="BA76" s="171"/>
      <c r="BB76" s="171"/>
      <c r="BF76" s="171"/>
      <c r="BH76" s="171"/>
    </row>
    <row r="77" spans="1:102" x14ac:dyDescent="0.25">
      <c r="A77" s="182"/>
      <c r="B77" s="182"/>
      <c r="C77" s="171"/>
      <c r="D77" s="171"/>
      <c r="E77" s="160"/>
      <c r="F77" s="171"/>
      <c r="G77" s="171"/>
      <c r="H77" s="171"/>
      <c r="I77" s="171"/>
      <c r="J77" s="171"/>
      <c r="K77" s="171"/>
      <c r="L77" s="629"/>
      <c r="M77" s="629"/>
      <c r="N77" s="171"/>
      <c r="O77" s="171"/>
      <c r="P77" s="171"/>
      <c r="Q77" s="160"/>
      <c r="R77" s="160"/>
      <c r="S77" s="171"/>
      <c r="T77" s="171"/>
      <c r="Y77" s="171"/>
      <c r="Z77" s="171"/>
      <c r="AA77" s="171"/>
      <c r="AB77" s="171"/>
      <c r="AC77" s="171"/>
      <c r="AD77" s="171"/>
      <c r="AE77" s="171"/>
      <c r="AF77" s="171"/>
      <c r="AN77" s="171"/>
      <c r="AO77" s="171"/>
      <c r="AP77" s="171"/>
      <c r="AQ77" s="171"/>
      <c r="AR77" s="171"/>
      <c r="AS77" s="171"/>
      <c r="AT77" s="171"/>
      <c r="AU77" s="171"/>
      <c r="AX77" s="171"/>
      <c r="AY77" s="171"/>
      <c r="AZ77" s="171"/>
      <c r="BA77" s="171"/>
      <c r="BB77" s="171"/>
      <c r="BF77" s="171"/>
      <c r="BH77" s="171"/>
    </row>
    <row r="78" spans="1:102" x14ac:dyDescent="0.25">
      <c r="A78" s="182"/>
      <c r="B78" s="182"/>
      <c r="C78" s="171"/>
      <c r="D78" s="171"/>
      <c r="E78" s="160"/>
      <c r="F78" s="171"/>
      <c r="G78" s="171"/>
      <c r="H78"/>
      <c r="I78" s="171"/>
      <c r="J78"/>
      <c r="K78"/>
      <c r="L78" s="247"/>
      <c r="M78" s="247"/>
      <c r="N78" s="171"/>
      <c r="O78" s="171"/>
      <c r="P78" s="171"/>
      <c r="Q78" s="160"/>
      <c r="R78" s="160"/>
      <c r="S78" s="171"/>
      <c r="T78" s="171"/>
      <c r="Y78" s="171"/>
      <c r="Z78" s="171"/>
      <c r="AA78" s="171"/>
      <c r="AB78" s="171"/>
      <c r="AC78" s="171"/>
      <c r="AD78" s="171"/>
      <c r="AE78" s="171"/>
      <c r="AF78" s="171"/>
      <c r="AN78" s="171"/>
      <c r="AO78" s="171"/>
      <c r="AP78" s="171"/>
      <c r="AQ78" s="171"/>
      <c r="AR78" s="171"/>
      <c r="AS78" s="171"/>
      <c r="AT78" s="171"/>
      <c r="AU78" s="171"/>
      <c r="AX78" s="171"/>
      <c r="AY78" s="171"/>
      <c r="AZ78" s="171"/>
      <c r="BA78" s="171"/>
      <c r="BB78" s="171"/>
      <c r="BF78" s="171"/>
      <c r="BH78" s="171"/>
    </row>
    <row r="79" spans="1:102" x14ac:dyDescent="0.25">
      <c r="A79" s="182"/>
      <c r="B79" s="182"/>
      <c r="C79" s="171"/>
      <c r="D79" s="171"/>
      <c r="E79" s="160"/>
      <c r="F79" s="171"/>
      <c r="G79" s="171"/>
      <c r="H79" s="171"/>
      <c r="I79" s="171"/>
      <c r="J79"/>
      <c r="K79"/>
      <c r="L79" s="247"/>
      <c r="M79" s="247"/>
      <c r="N79" s="171"/>
      <c r="O79" s="171"/>
      <c r="P79" s="171"/>
      <c r="Q79" s="160"/>
      <c r="R79" s="160"/>
      <c r="S79" s="171"/>
      <c r="T79" s="171"/>
      <c r="Y79" s="171"/>
      <c r="Z79" s="171"/>
      <c r="AA79" s="171"/>
      <c r="AB79" s="171"/>
      <c r="AC79" s="171"/>
      <c r="AD79" s="171"/>
      <c r="AE79" s="171"/>
      <c r="AF79" s="171"/>
      <c r="AN79" s="171"/>
      <c r="AO79" s="171"/>
      <c r="AP79" s="171"/>
      <c r="AQ79" s="171"/>
      <c r="AR79" s="171"/>
      <c r="AS79" s="171"/>
      <c r="AT79" s="171"/>
      <c r="AU79" s="171"/>
      <c r="AX79" s="171"/>
      <c r="AY79" s="171"/>
      <c r="AZ79" s="171"/>
      <c r="BA79" s="171"/>
      <c r="BB79" s="171"/>
      <c r="BF79" s="171"/>
      <c r="BH79" s="171"/>
    </row>
    <row r="80" spans="1:102" x14ac:dyDescent="0.25">
      <c r="A80" s="182"/>
      <c r="B80" s="182"/>
      <c r="C80" s="171"/>
      <c r="D80" s="171"/>
      <c r="E80" s="160"/>
      <c r="F80" s="171"/>
      <c r="G80" s="171"/>
      <c r="H80" s="171"/>
      <c r="I80" s="171"/>
      <c r="J80"/>
      <c r="K80"/>
      <c r="L80" s="247"/>
      <c r="M80" s="247"/>
      <c r="N80" s="171"/>
      <c r="O80" s="171"/>
      <c r="P80" s="171"/>
      <c r="Q80" s="160"/>
      <c r="R80" s="160"/>
      <c r="S80" s="171"/>
      <c r="T80" s="171"/>
      <c r="Y80" s="171"/>
      <c r="Z80" s="171"/>
      <c r="AA80" s="171"/>
      <c r="AB80" s="171"/>
      <c r="AC80" s="171"/>
      <c r="AD80" s="171"/>
      <c r="AE80" s="171"/>
      <c r="AF80" s="171"/>
      <c r="AN80" s="171"/>
      <c r="AO80" s="171"/>
      <c r="AP80" s="171"/>
      <c r="AQ80" s="171"/>
      <c r="AR80" s="171"/>
      <c r="AS80" s="171"/>
      <c r="AT80" s="171"/>
      <c r="AU80" s="171"/>
      <c r="AX80" s="171"/>
      <c r="AY80" s="171"/>
      <c r="AZ80" s="171"/>
      <c r="BA80" s="171"/>
      <c r="BB80" s="171"/>
      <c r="BF80" s="171"/>
      <c r="BH80" s="171"/>
    </row>
    <row r="81" spans="1:102" x14ac:dyDescent="0.25">
      <c r="A81" s="182"/>
      <c r="B81" s="182"/>
      <c r="C81" s="171"/>
      <c r="D81" s="171"/>
      <c r="E81" s="160"/>
      <c r="F81" s="171"/>
      <c r="G81" s="171"/>
      <c r="H81" s="171"/>
      <c r="I81" s="171"/>
      <c r="J81"/>
      <c r="K81"/>
      <c r="L81" s="247"/>
      <c r="M81" s="247"/>
      <c r="N81" s="171"/>
      <c r="O81" s="171"/>
      <c r="P81" s="171"/>
      <c r="Q81" s="160"/>
      <c r="R81" s="160"/>
      <c r="S81" s="171"/>
      <c r="T81" s="171"/>
      <c r="Y81" s="171"/>
      <c r="Z81" s="171"/>
      <c r="AA81" s="171"/>
      <c r="AB81" s="171"/>
      <c r="AC81" s="171"/>
      <c r="AD81" s="171"/>
      <c r="AE81" s="171"/>
      <c r="AF81" s="171"/>
      <c r="AN81" s="171"/>
      <c r="AO81" s="171"/>
      <c r="AP81" s="171"/>
      <c r="AQ81" s="171"/>
      <c r="AR81" s="171"/>
      <c r="AS81" s="171"/>
      <c r="AT81" s="171"/>
      <c r="AU81" s="171"/>
      <c r="AX81" s="171"/>
      <c r="AY81" s="171"/>
      <c r="AZ81" s="171"/>
      <c r="BA81" s="171"/>
      <c r="BB81" s="171"/>
      <c r="BF81" s="171"/>
      <c r="BH81" s="171"/>
    </row>
    <row r="82" spans="1:102" x14ac:dyDescent="0.25">
      <c r="A82" s="182"/>
      <c r="B82" s="182"/>
      <c r="C82" s="171"/>
      <c r="D82" s="171"/>
      <c r="E82" s="160"/>
      <c r="F82" s="171"/>
      <c r="G82" s="171"/>
      <c r="H82" s="171"/>
      <c r="I82" s="171"/>
      <c r="J82"/>
      <c r="K82"/>
      <c r="L82" s="247"/>
      <c r="M82" s="247"/>
      <c r="N82" s="171"/>
      <c r="O82" s="171"/>
      <c r="P82" s="171"/>
      <c r="Q82" s="160"/>
      <c r="R82" s="160"/>
      <c r="S82" s="171"/>
      <c r="T82" s="171"/>
      <c r="Y82" s="171"/>
      <c r="Z82" s="171"/>
      <c r="AA82" s="171"/>
      <c r="AB82" s="171"/>
      <c r="AC82" s="171"/>
      <c r="AD82" s="171"/>
      <c r="AE82" s="171"/>
      <c r="AF82" s="171"/>
      <c r="AN82" s="171"/>
      <c r="AO82" s="171"/>
      <c r="AP82" s="171"/>
      <c r="AQ82" s="171"/>
      <c r="AR82" s="171"/>
      <c r="AS82" s="171"/>
      <c r="AT82" s="171"/>
      <c r="AU82" s="171"/>
      <c r="AX82" s="171"/>
      <c r="AY82" s="171"/>
      <c r="AZ82" s="171"/>
      <c r="BA82" s="171"/>
      <c r="BB82" s="171"/>
      <c r="BF82" s="171"/>
      <c r="BH82" s="171"/>
    </row>
    <row r="83" spans="1:102" x14ac:dyDescent="0.25">
      <c r="A83" s="182"/>
      <c r="B83" s="182"/>
      <c r="C83" s="171"/>
      <c r="D83" s="171"/>
      <c r="E83" s="160"/>
      <c r="F83" s="171"/>
      <c r="G83" s="171"/>
      <c r="H83"/>
      <c r="I83" s="171"/>
      <c r="J83"/>
      <c r="K83"/>
      <c r="L83" s="247"/>
      <c r="M83" s="247"/>
      <c r="N83" s="171"/>
      <c r="O83" s="171"/>
      <c r="P83" s="171"/>
      <c r="Q83" s="160"/>
      <c r="R83" s="160"/>
      <c r="S83" s="171"/>
      <c r="T83" s="171"/>
      <c r="Y83" s="171"/>
      <c r="Z83" s="171"/>
      <c r="AA83" s="171"/>
      <c r="AB83" s="171"/>
      <c r="AC83" s="171"/>
      <c r="AD83" s="171"/>
      <c r="AE83" s="171"/>
      <c r="AF83" s="171"/>
      <c r="AN83" s="171"/>
      <c r="AO83" s="171"/>
      <c r="AP83" s="171"/>
      <c r="AQ83" s="171"/>
      <c r="AR83" s="171"/>
      <c r="AS83" s="171"/>
      <c r="AT83" s="171"/>
      <c r="AU83" s="171"/>
      <c r="AX83" s="171"/>
      <c r="AY83" s="171"/>
      <c r="AZ83" s="171"/>
      <c r="BA83" s="171"/>
      <c r="BB83" s="171"/>
      <c r="BF83" s="171"/>
      <c r="BH83" s="171"/>
    </row>
    <row r="84" spans="1:102" x14ac:dyDescent="0.25">
      <c r="A84" s="182"/>
      <c r="B84" s="182"/>
      <c r="C84" s="171"/>
      <c r="D84" s="171"/>
      <c r="E84" s="160"/>
      <c r="F84" s="171"/>
      <c r="G84" s="171"/>
      <c r="H84"/>
      <c r="I84" s="171"/>
      <c r="J84"/>
      <c r="K84"/>
      <c r="L84" s="247"/>
      <c r="M84" s="247"/>
      <c r="N84" s="171"/>
      <c r="O84" s="171"/>
      <c r="P84" s="171"/>
      <c r="Q84" s="160"/>
      <c r="R84" s="160"/>
      <c r="S84" s="171"/>
      <c r="T84" s="171"/>
      <c r="Y84" s="171"/>
      <c r="Z84" s="171"/>
      <c r="AA84" s="171"/>
      <c r="AB84" s="171"/>
      <c r="AC84" s="171"/>
      <c r="AD84" s="171"/>
      <c r="AE84" s="171"/>
      <c r="AF84" s="171"/>
      <c r="AN84" s="171"/>
      <c r="AO84" s="171"/>
      <c r="AP84" s="171"/>
      <c r="AQ84" s="171"/>
      <c r="AR84" s="171"/>
      <c r="AS84" s="171"/>
      <c r="AT84" s="171"/>
      <c r="AU84" s="171"/>
      <c r="AX84" s="171"/>
      <c r="AY84" s="171"/>
      <c r="AZ84" s="171"/>
      <c r="BA84" s="171"/>
      <c r="BB84" s="171"/>
      <c r="BF84" s="171"/>
      <c r="BH84" s="171"/>
    </row>
    <row r="85" spans="1:102" x14ac:dyDescent="0.25">
      <c r="A85" s="182"/>
      <c r="B85" s="182"/>
      <c r="C85" s="171"/>
      <c r="D85" s="171"/>
      <c r="E85" s="160"/>
      <c r="F85" s="171"/>
      <c r="G85" s="171"/>
      <c r="H85" s="171"/>
      <c r="I85" s="171"/>
      <c r="J85"/>
      <c r="K85"/>
      <c r="L85" s="247"/>
      <c r="M85" s="247"/>
      <c r="N85" s="171"/>
      <c r="O85" s="171"/>
      <c r="P85" s="171"/>
      <c r="Q85" s="160"/>
      <c r="R85" s="160"/>
      <c r="S85" s="171"/>
      <c r="T85" s="171"/>
      <c r="Y85" s="171"/>
      <c r="Z85" s="171"/>
      <c r="AA85" s="171"/>
      <c r="AB85" s="171"/>
      <c r="AC85" s="171"/>
      <c r="AD85" s="171"/>
      <c r="AE85" s="171"/>
      <c r="AF85" s="171"/>
      <c r="AN85" s="171"/>
      <c r="AO85" s="171"/>
      <c r="AP85" s="171"/>
      <c r="AQ85" s="171"/>
      <c r="AR85" s="171"/>
      <c r="AS85" s="171"/>
      <c r="AT85" s="171"/>
      <c r="AU85" s="171"/>
      <c r="AX85" s="171"/>
      <c r="AY85" s="171"/>
      <c r="AZ85" s="171"/>
      <c r="BA85" s="171"/>
      <c r="BB85" s="171"/>
      <c r="BF85" s="171"/>
      <c r="BH85" s="171"/>
    </row>
    <row r="86" spans="1:102" x14ac:dyDescent="0.25">
      <c r="A86" s="182"/>
      <c r="B86" s="182"/>
      <c r="C86" s="171"/>
      <c r="D86" s="171"/>
      <c r="E86" s="160"/>
      <c r="F86" s="171"/>
      <c r="G86" s="171"/>
      <c r="H86" s="171"/>
      <c r="I86" s="171"/>
      <c r="J86"/>
      <c r="K86"/>
      <c r="L86" s="247"/>
      <c r="M86" s="247"/>
      <c r="N86" s="171"/>
      <c r="O86" s="171"/>
      <c r="P86" s="171"/>
      <c r="Q86" s="160"/>
      <c r="R86" s="160"/>
      <c r="S86" s="171"/>
      <c r="T86" s="171"/>
      <c r="Y86" s="171"/>
      <c r="Z86" s="171"/>
      <c r="AA86" s="171"/>
      <c r="AB86" s="171"/>
      <c r="AC86" s="171"/>
      <c r="AD86" s="171"/>
      <c r="AE86" s="171"/>
      <c r="AF86" s="171"/>
      <c r="AN86" s="171"/>
      <c r="AO86" s="171"/>
      <c r="AP86" s="171"/>
      <c r="AQ86" s="171"/>
      <c r="AR86" s="171"/>
      <c r="AS86" s="171"/>
      <c r="AT86" s="171"/>
      <c r="AU86" s="171"/>
      <c r="AX86" s="171"/>
      <c r="AY86" s="171"/>
      <c r="AZ86" s="171"/>
      <c r="BA86" s="171"/>
      <c r="BB86" s="171"/>
      <c r="BF86" s="171"/>
      <c r="BH86" s="171"/>
    </row>
    <row r="87" spans="1:102" x14ac:dyDescent="0.25">
      <c r="A87" s="182"/>
      <c r="B87" s="182"/>
      <c r="C87" s="171"/>
      <c r="D87" s="171"/>
      <c r="E87" s="160"/>
      <c r="F87" s="171"/>
      <c r="G87" s="171"/>
      <c r="H87" s="171"/>
      <c r="I87" s="171"/>
      <c r="J87"/>
      <c r="K87"/>
      <c r="L87" s="247"/>
      <c r="M87" s="247"/>
      <c r="N87" s="171"/>
      <c r="O87" s="171"/>
      <c r="P87" s="171"/>
      <c r="Q87" s="160"/>
      <c r="R87" s="160"/>
      <c r="S87" s="171"/>
      <c r="T87" s="171"/>
      <c r="Y87" s="171"/>
      <c r="Z87" s="171"/>
      <c r="AA87" s="171"/>
      <c r="AB87" s="171"/>
      <c r="AC87" s="171"/>
      <c r="AD87" s="171"/>
      <c r="AE87" s="171"/>
      <c r="AF87" s="171"/>
      <c r="AN87" s="171"/>
      <c r="AO87" s="171"/>
      <c r="AP87" s="171"/>
      <c r="AQ87" s="171"/>
      <c r="AR87" s="171"/>
      <c r="AS87" s="171"/>
      <c r="AT87" s="171"/>
      <c r="AU87" s="171"/>
      <c r="AX87" s="171"/>
      <c r="AY87" s="171"/>
      <c r="AZ87" s="171"/>
      <c r="BA87" s="171"/>
      <c r="BB87" s="171"/>
      <c r="BF87" s="171"/>
      <c r="BH87" s="171"/>
    </row>
    <row r="88" spans="1:102" x14ac:dyDescent="0.25">
      <c r="A88" s="182"/>
      <c r="B88" s="182"/>
      <c r="C88" s="171"/>
      <c r="D88" s="171"/>
      <c r="E88" s="160"/>
      <c r="F88" s="171"/>
      <c r="G88" s="171"/>
      <c r="H88" s="171"/>
      <c r="I88" s="171"/>
      <c r="J88" s="171"/>
      <c r="K88" s="171"/>
      <c r="L88" s="629"/>
      <c r="M88" s="629"/>
      <c r="N88" s="171"/>
      <c r="O88" s="171"/>
      <c r="P88" s="171"/>
      <c r="Q88" s="160"/>
      <c r="R88" s="160"/>
      <c r="S88" s="171"/>
      <c r="T88" s="171"/>
      <c r="Y88" s="171"/>
      <c r="Z88" s="171"/>
      <c r="AA88" s="171"/>
      <c r="AB88" s="171"/>
      <c r="AC88" s="171"/>
      <c r="AD88" s="171"/>
      <c r="AE88" s="171"/>
      <c r="AF88" s="171"/>
      <c r="AN88" s="171"/>
      <c r="AO88" s="171"/>
      <c r="AP88" s="171"/>
      <c r="AQ88" s="171"/>
      <c r="AR88" s="171"/>
      <c r="AS88" s="171"/>
      <c r="AT88" s="171"/>
      <c r="AU88" s="171"/>
      <c r="AX88" s="171"/>
      <c r="AY88" s="171"/>
      <c r="AZ88" s="171"/>
      <c r="BA88" s="171"/>
      <c r="BB88" s="171"/>
      <c r="BF88" s="171"/>
      <c r="BH88" s="171"/>
    </row>
    <row r="89" spans="1:102" x14ac:dyDescent="0.25">
      <c r="A89" s="182"/>
      <c r="B89" s="182"/>
      <c r="C89" s="171"/>
      <c r="D89" s="171"/>
      <c r="E89" s="160"/>
      <c r="F89" s="171"/>
      <c r="G89" s="171"/>
      <c r="H89"/>
      <c r="I89" s="171"/>
      <c r="J89"/>
      <c r="K89"/>
      <c r="L89" s="247"/>
      <c r="M89" s="247"/>
      <c r="N89" s="171"/>
      <c r="O89" s="171"/>
      <c r="P89" s="171"/>
      <c r="Q89" s="160"/>
      <c r="R89" s="160"/>
      <c r="S89" s="171"/>
      <c r="T89" s="171"/>
      <c r="Y89" s="171"/>
      <c r="Z89" s="171"/>
      <c r="AA89" s="171"/>
      <c r="AB89" s="171"/>
      <c r="AC89" s="171"/>
      <c r="AD89" s="171"/>
      <c r="AE89" s="171"/>
      <c r="AF89" s="171"/>
      <c r="AN89" s="171"/>
      <c r="AO89" s="171"/>
      <c r="AP89" s="171"/>
      <c r="AQ89" s="171"/>
      <c r="AR89" s="171"/>
      <c r="AS89" s="171"/>
      <c r="AT89" s="171"/>
      <c r="AU89" s="171"/>
      <c r="AX89" s="171"/>
      <c r="AY89" s="171"/>
      <c r="AZ89" s="171"/>
      <c r="BA89" s="171"/>
      <c r="BB89" s="171"/>
      <c r="BF89" s="171"/>
      <c r="BH89" s="171"/>
    </row>
    <row r="90" spans="1:102" x14ac:dyDescent="0.25">
      <c r="A90" s="182"/>
      <c r="B90" s="182"/>
      <c r="C90" s="171"/>
      <c r="D90" s="171"/>
      <c r="E90" s="160"/>
      <c r="F90" s="171"/>
      <c r="G90" s="171"/>
      <c r="H90"/>
      <c r="I90" s="171"/>
      <c r="J90"/>
      <c r="K90"/>
      <c r="L90" s="247"/>
      <c r="M90" s="247"/>
      <c r="N90" s="171"/>
      <c r="O90" s="171"/>
      <c r="P90" s="171"/>
      <c r="Q90" s="160"/>
      <c r="R90" s="160"/>
      <c r="S90" s="171"/>
      <c r="T90" s="171"/>
      <c r="Y90" s="171"/>
      <c r="Z90" s="171"/>
      <c r="AA90" s="171"/>
      <c r="AB90" s="171"/>
      <c r="AC90" s="171"/>
      <c r="AD90" s="171"/>
      <c r="AE90" s="171"/>
      <c r="AF90" s="171"/>
      <c r="AN90" s="171"/>
      <c r="AO90" s="171"/>
      <c r="AP90" s="171"/>
      <c r="AQ90" s="171"/>
      <c r="AR90" s="171"/>
      <c r="AS90" s="171"/>
      <c r="AT90" s="171"/>
      <c r="AU90" s="171"/>
      <c r="AX90" s="171"/>
      <c r="AY90" s="171"/>
      <c r="AZ90" s="171"/>
      <c r="BA90" s="171"/>
      <c r="BB90" s="171"/>
      <c r="BC90" s="171"/>
      <c r="BD90" s="171"/>
      <c r="BF90" s="171"/>
      <c r="BH90" s="171"/>
      <c r="BI90" s="168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168"/>
      <c r="CQ90" s="168"/>
      <c r="CR90" s="168"/>
      <c r="CS90" s="168"/>
      <c r="CT90" s="168"/>
      <c r="CU90" s="168"/>
      <c r="CV90" s="168"/>
      <c r="CW90" s="168"/>
      <c r="CX90" s="168"/>
    </row>
    <row r="91" spans="1:102" x14ac:dyDescent="0.25">
      <c r="A91" s="182"/>
      <c r="B91" s="182"/>
      <c r="C91" s="171"/>
      <c r="D91" s="171"/>
      <c r="E91" s="160"/>
      <c r="F91" s="171"/>
      <c r="G91" s="171"/>
      <c r="H91" s="171"/>
      <c r="I91" s="171"/>
      <c r="J91" s="171"/>
      <c r="K91" s="171"/>
      <c r="L91" s="629"/>
      <c r="M91" s="629"/>
      <c r="N91" s="171"/>
      <c r="O91" s="171"/>
      <c r="P91" s="171"/>
      <c r="Q91" s="160"/>
      <c r="R91" s="160"/>
      <c r="S91" s="171"/>
      <c r="T91" s="171"/>
      <c r="Y91" s="171"/>
      <c r="Z91" s="171"/>
      <c r="AA91" s="171"/>
      <c r="AB91" s="171"/>
      <c r="AC91" s="171"/>
      <c r="AD91" s="171"/>
      <c r="AE91" s="171"/>
      <c r="AF91" s="171"/>
      <c r="AN91" s="171"/>
      <c r="AO91" s="171"/>
      <c r="AP91" s="171"/>
      <c r="AQ91" s="171"/>
      <c r="AR91" s="171"/>
      <c r="AS91" s="171"/>
      <c r="AT91" s="171"/>
      <c r="AU91" s="171"/>
      <c r="AX91" s="171"/>
      <c r="AY91" s="171"/>
      <c r="AZ91" s="171"/>
      <c r="BA91" s="171"/>
      <c r="BB91" s="171"/>
      <c r="BC91" s="171"/>
      <c r="BD91" s="171"/>
      <c r="BF91" s="171"/>
      <c r="BH91" s="171"/>
      <c r="BI91" s="168"/>
      <c r="BL91" s="168"/>
      <c r="BM91" s="168"/>
      <c r="BN91" s="168"/>
      <c r="BO91" s="168"/>
      <c r="BP91" s="168"/>
      <c r="BQ91" s="168"/>
      <c r="BR91" s="168"/>
      <c r="BS91" s="168"/>
      <c r="BT91" s="168"/>
      <c r="BU91" s="168"/>
      <c r="BV91" s="168"/>
      <c r="BW91" s="168"/>
      <c r="BX91" s="168"/>
      <c r="BY91" s="168"/>
      <c r="BZ91" s="168"/>
      <c r="CA91" s="168"/>
      <c r="CB91" s="168"/>
      <c r="CC91" s="168"/>
      <c r="CD91" s="168"/>
      <c r="CE91" s="168"/>
      <c r="CF91" s="168"/>
      <c r="CG91" s="168"/>
      <c r="CH91" s="168"/>
      <c r="CI91" s="168"/>
      <c r="CJ91" s="168"/>
      <c r="CK91" s="168"/>
      <c r="CL91" s="168"/>
      <c r="CM91" s="168"/>
      <c r="CN91" s="168"/>
      <c r="CO91" s="168"/>
      <c r="CP91" s="168"/>
      <c r="CQ91" s="168"/>
      <c r="CR91" s="168"/>
      <c r="CS91" s="168"/>
      <c r="CT91" s="168"/>
      <c r="CU91" s="168"/>
      <c r="CV91" s="168"/>
      <c r="CW91" s="168"/>
      <c r="CX91" s="168"/>
    </row>
    <row r="92" spans="1:102" x14ac:dyDescent="0.25">
      <c r="A92" s="182"/>
      <c r="B92" s="182"/>
      <c r="C92" s="171"/>
      <c r="D92" s="171"/>
      <c r="E92" s="160"/>
      <c r="F92" s="171"/>
      <c r="G92" s="171"/>
      <c r="H92" s="171"/>
      <c r="I92" s="171"/>
      <c r="J92"/>
      <c r="K92"/>
      <c r="L92" s="247"/>
      <c r="M92" s="247"/>
      <c r="N92" s="171"/>
      <c r="O92" s="171"/>
      <c r="P92" s="171"/>
      <c r="Q92" s="160"/>
      <c r="R92" s="160"/>
      <c r="S92" s="171"/>
      <c r="T92" s="171"/>
      <c r="Y92" s="171"/>
      <c r="Z92" s="171"/>
      <c r="AA92" s="171"/>
      <c r="AB92" s="171"/>
      <c r="AC92" s="171"/>
      <c r="AD92" s="171"/>
      <c r="AE92" s="171"/>
      <c r="AF92" s="171"/>
      <c r="AN92" s="171"/>
      <c r="AO92" s="171"/>
      <c r="AP92" s="171"/>
      <c r="AQ92" s="171"/>
      <c r="AR92" s="171"/>
      <c r="AS92" s="171"/>
      <c r="AT92" s="171"/>
      <c r="AU92" s="171"/>
      <c r="AX92" s="171"/>
      <c r="AY92" s="171"/>
      <c r="AZ92" s="171"/>
      <c r="BA92" s="171"/>
      <c r="BB92" s="171"/>
      <c r="BF92" s="171"/>
      <c r="BH92" s="171"/>
    </row>
    <row r="93" spans="1:102" x14ac:dyDescent="0.25">
      <c r="A93" s="182"/>
      <c r="B93" s="182"/>
      <c r="C93" s="171"/>
      <c r="D93" s="171"/>
      <c r="E93" s="160"/>
      <c r="F93" s="171"/>
      <c r="G93" s="171"/>
      <c r="H93" s="171"/>
      <c r="I93" s="171"/>
      <c r="J93"/>
      <c r="K93"/>
      <c r="L93" s="247"/>
      <c r="M93" s="247"/>
      <c r="N93" s="171"/>
      <c r="O93" s="171"/>
      <c r="P93" s="171"/>
      <c r="Q93" s="160"/>
      <c r="R93" s="160"/>
      <c r="S93" s="171"/>
      <c r="T93" s="171"/>
      <c r="Y93" s="171"/>
      <c r="Z93" s="171"/>
      <c r="AA93" s="171"/>
      <c r="AB93" s="171"/>
      <c r="AC93" s="171"/>
      <c r="AD93" s="171"/>
      <c r="AE93" s="171"/>
      <c r="AF93" s="171"/>
      <c r="AN93" s="171"/>
      <c r="AO93" s="171"/>
      <c r="AP93" s="171"/>
      <c r="AQ93" s="171"/>
      <c r="AR93" s="171"/>
      <c r="AS93" s="171"/>
      <c r="AT93" s="171"/>
      <c r="AU93" s="171"/>
      <c r="AX93" s="171"/>
      <c r="AY93" s="171"/>
      <c r="AZ93" s="171"/>
      <c r="BA93" s="171"/>
      <c r="BB93" s="171"/>
      <c r="BF93" s="171"/>
      <c r="BH93" s="171"/>
    </row>
    <row r="94" spans="1:102" x14ac:dyDescent="0.25">
      <c r="A94" s="182"/>
      <c r="B94" s="182"/>
      <c r="C94" s="171"/>
      <c r="D94" s="171"/>
      <c r="E94" s="160"/>
      <c r="F94" s="171"/>
      <c r="G94" s="171"/>
      <c r="H94" s="171"/>
      <c r="I94" s="171"/>
      <c r="J94" s="171"/>
      <c r="K94" s="171"/>
      <c r="L94" s="629"/>
      <c r="M94" s="629"/>
      <c r="N94" s="171"/>
      <c r="O94" s="171"/>
      <c r="P94" s="171"/>
      <c r="Q94" s="160"/>
      <c r="R94" s="160"/>
      <c r="S94" s="171"/>
      <c r="T94" s="171"/>
      <c r="Y94" s="171"/>
      <c r="Z94" s="171"/>
      <c r="AA94" s="171"/>
      <c r="AB94" s="171"/>
      <c r="AC94" s="171"/>
      <c r="AD94" s="171"/>
      <c r="AE94" s="171"/>
      <c r="AF94" s="171"/>
      <c r="AN94" s="171"/>
      <c r="AO94" s="171"/>
      <c r="AP94" s="171"/>
      <c r="AQ94" s="171"/>
      <c r="AR94" s="171"/>
      <c r="AS94" s="171"/>
      <c r="AT94" s="171"/>
      <c r="AU94" s="171"/>
      <c r="AX94" s="171"/>
      <c r="AY94" s="171"/>
      <c r="AZ94" s="171"/>
      <c r="BA94" s="171"/>
      <c r="BB94" s="171"/>
      <c r="BC94" s="171"/>
      <c r="BD94" s="171"/>
      <c r="BF94" s="171"/>
      <c r="BH94" s="171"/>
      <c r="BI94" s="168"/>
      <c r="BM94" s="168"/>
      <c r="BN94" s="168"/>
      <c r="BO94" s="168"/>
      <c r="BP94" s="168"/>
      <c r="BQ94" s="168"/>
      <c r="BR94" s="168"/>
      <c r="BS94" s="168"/>
      <c r="BT94" s="168"/>
      <c r="BU94" s="168"/>
      <c r="BV94" s="168"/>
      <c r="BW94" s="168"/>
      <c r="BX94" s="168"/>
      <c r="BY94" s="168"/>
      <c r="BZ94" s="168"/>
      <c r="CA94" s="168"/>
      <c r="CB94" s="168"/>
      <c r="CC94" s="168"/>
      <c r="CD94" s="168"/>
      <c r="CE94" s="168"/>
      <c r="CF94" s="168"/>
      <c r="CG94" s="168"/>
      <c r="CH94" s="168"/>
      <c r="CI94" s="168"/>
      <c r="CJ94" s="168"/>
      <c r="CK94" s="168"/>
      <c r="CL94" s="168"/>
      <c r="CM94" s="168"/>
      <c r="CN94" s="168"/>
      <c r="CO94" s="168"/>
      <c r="CP94" s="168"/>
      <c r="CQ94" s="168"/>
      <c r="CR94" s="168"/>
      <c r="CS94" s="168"/>
      <c r="CT94" s="168"/>
      <c r="CU94" s="168"/>
      <c r="CV94" s="168"/>
      <c r="CW94" s="168"/>
      <c r="CX94" s="168"/>
    </row>
    <row r="95" spans="1:102" x14ac:dyDescent="0.25">
      <c r="A95" s="182"/>
      <c r="B95" s="182"/>
      <c r="C95" s="171"/>
      <c r="D95" s="171"/>
      <c r="E95" s="160"/>
      <c r="F95" s="171"/>
      <c r="G95" s="171"/>
      <c r="H95" s="171"/>
      <c r="I95" s="171"/>
      <c r="J95"/>
      <c r="K95"/>
      <c r="L95" s="247"/>
      <c r="M95" s="247"/>
      <c r="N95" s="171"/>
      <c r="O95" s="171"/>
      <c r="P95" s="171"/>
      <c r="Q95" s="160"/>
      <c r="R95" s="160"/>
      <c r="S95" s="171"/>
      <c r="T95" s="171"/>
      <c r="Y95" s="171"/>
      <c r="Z95" s="171"/>
      <c r="AA95" s="171"/>
      <c r="AB95" s="171"/>
      <c r="AC95" s="171"/>
      <c r="AD95" s="171"/>
      <c r="AE95" s="171"/>
      <c r="AF95" s="171"/>
      <c r="AN95" s="171"/>
      <c r="AO95" s="171"/>
      <c r="AP95" s="171"/>
      <c r="AQ95" s="171"/>
      <c r="AR95" s="171"/>
      <c r="AS95" s="171"/>
      <c r="AT95" s="171"/>
      <c r="AU95" s="171"/>
      <c r="AX95" s="171"/>
      <c r="AY95" s="171"/>
      <c r="AZ95" s="171"/>
      <c r="BA95" s="171"/>
      <c r="BB95" s="171"/>
      <c r="BF95" s="171"/>
      <c r="BH95" s="171"/>
    </row>
    <row r="96" spans="1:102" x14ac:dyDescent="0.25">
      <c r="A96" s="182"/>
      <c r="B96" s="182"/>
      <c r="C96" s="171"/>
      <c r="D96" s="171"/>
      <c r="E96" s="160"/>
      <c r="F96" s="171"/>
      <c r="G96" s="171"/>
      <c r="H96" s="171"/>
      <c r="I96" s="171"/>
      <c r="J96"/>
      <c r="K96"/>
      <c r="L96" s="247"/>
      <c r="M96" s="247"/>
      <c r="N96" s="171"/>
      <c r="O96" s="171"/>
      <c r="P96" s="171"/>
      <c r="Q96" s="160"/>
      <c r="R96" s="160"/>
      <c r="S96" s="171"/>
      <c r="T96" s="171"/>
      <c r="Y96" s="171"/>
      <c r="Z96" s="171"/>
      <c r="AA96" s="171"/>
      <c r="AB96" s="171"/>
      <c r="AC96" s="171"/>
      <c r="AD96" s="171"/>
      <c r="AE96" s="171"/>
      <c r="AF96" s="171"/>
      <c r="AN96" s="171"/>
      <c r="AO96" s="171"/>
      <c r="AP96" s="171"/>
      <c r="AQ96" s="171"/>
      <c r="AR96" s="171"/>
      <c r="AS96" s="171"/>
      <c r="AT96" s="171"/>
      <c r="AU96" s="171"/>
      <c r="AX96" s="171"/>
      <c r="AY96" s="171"/>
      <c r="AZ96" s="171"/>
      <c r="BA96" s="171"/>
      <c r="BB96" s="171"/>
      <c r="BF96" s="171"/>
      <c r="BH96" s="171"/>
    </row>
    <row r="97" spans="1:102" x14ac:dyDescent="0.25">
      <c r="A97" s="182"/>
      <c r="B97" s="182"/>
      <c r="C97" s="171"/>
      <c r="D97" s="171"/>
      <c r="E97" s="160"/>
      <c r="F97" s="171"/>
      <c r="G97" s="171"/>
      <c r="H97" s="171"/>
      <c r="I97" s="171"/>
      <c r="J97" s="171"/>
      <c r="K97" s="171"/>
      <c r="L97" s="629"/>
      <c r="M97" s="629"/>
      <c r="N97" s="171"/>
      <c r="O97" s="171"/>
      <c r="P97" s="171"/>
      <c r="Q97" s="160"/>
      <c r="R97" s="160"/>
      <c r="S97" s="171"/>
      <c r="T97" s="171"/>
      <c r="Y97" s="171"/>
      <c r="Z97" s="171"/>
      <c r="AA97" s="171"/>
      <c r="AB97" s="171"/>
      <c r="AC97" s="171"/>
      <c r="AD97" s="171"/>
      <c r="AE97" s="171"/>
      <c r="AF97" s="171"/>
      <c r="AN97" s="171"/>
      <c r="AO97" s="171"/>
      <c r="AP97" s="171"/>
      <c r="AQ97" s="171"/>
      <c r="AR97" s="171"/>
      <c r="AS97" s="171"/>
      <c r="AT97" s="171"/>
      <c r="AU97" s="171"/>
      <c r="AX97" s="171"/>
      <c r="AY97" s="171"/>
      <c r="AZ97" s="171"/>
      <c r="BA97" s="171"/>
      <c r="BB97" s="171"/>
      <c r="BF97" s="171"/>
      <c r="BH97" s="171"/>
    </row>
    <row r="98" spans="1:102" x14ac:dyDescent="0.25">
      <c r="A98" s="182"/>
      <c r="B98" s="182"/>
      <c r="C98" s="171"/>
      <c r="D98" s="171"/>
      <c r="E98" s="160"/>
      <c r="F98" s="171"/>
      <c r="G98" s="171"/>
      <c r="H98" s="171"/>
      <c r="I98" s="171"/>
      <c r="J98" s="171"/>
      <c r="K98" s="171"/>
      <c r="L98" s="629"/>
      <c r="M98" s="629"/>
      <c r="N98" s="171"/>
      <c r="O98" s="171"/>
      <c r="P98" s="171"/>
      <c r="Q98" s="160"/>
      <c r="R98" s="160"/>
      <c r="S98" s="171"/>
      <c r="T98" s="171"/>
      <c r="Y98" s="171"/>
      <c r="Z98" s="171"/>
      <c r="AA98" s="171"/>
      <c r="AB98" s="171"/>
      <c r="AC98" s="171"/>
      <c r="AD98" s="171"/>
      <c r="AE98" s="171"/>
      <c r="AF98" s="171"/>
      <c r="AN98" s="171"/>
      <c r="AO98" s="171"/>
      <c r="AP98" s="171"/>
      <c r="AQ98" s="171"/>
      <c r="AR98" s="171"/>
      <c r="AS98" s="171"/>
      <c r="AT98" s="171"/>
      <c r="AU98" s="171"/>
      <c r="AX98" s="171"/>
      <c r="AY98" s="171"/>
      <c r="AZ98" s="171"/>
      <c r="BA98" s="171"/>
      <c r="BB98" s="171"/>
      <c r="BF98" s="171"/>
      <c r="BH98" s="171"/>
    </row>
    <row r="99" spans="1:102" x14ac:dyDescent="0.25">
      <c r="A99" s="182"/>
      <c r="B99" s="182"/>
      <c r="C99" s="171"/>
      <c r="D99" s="171"/>
      <c r="E99" s="160"/>
      <c r="F99" s="171"/>
      <c r="G99" s="171"/>
      <c r="H99" s="171"/>
      <c r="I99" s="171"/>
      <c r="J99"/>
      <c r="K99"/>
      <c r="L99" s="247"/>
      <c r="M99" s="247"/>
      <c r="N99" s="171"/>
      <c r="O99" s="171"/>
      <c r="P99" s="171"/>
      <c r="Q99" s="160"/>
      <c r="R99" s="160"/>
      <c r="S99" s="171"/>
      <c r="T99" s="171"/>
      <c r="Y99" s="171"/>
      <c r="Z99" s="171"/>
      <c r="AA99" s="171"/>
      <c r="AB99" s="171"/>
      <c r="AC99" s="171"/>
      <c r="AD99" s="171"/>
      <c r="AE99" s="171"/>
      <c r="AF99" s="171"/>
      <c r="AN99" s="171"/>
      <c r="AO99" s="171"/>
      <c r="AP99" s="171"/>
      <c r="AQ99" s="171"/>
      <c r="AR99" s="171"/>
      <c r="AS99" s="171"/>
      <c r="AT99" s="171"/>
      <c r="AU99" s="171"/>
      <c r="AX99" s="171"/>
      <c r="AY99" s="171"/>
      <c r="AZ99" s="171"/>
      <c r="BA99" s="171"/>
      <c r="BB99" s="171"/>
      <c r="BC99" s="171"/>
      <c r="BD99" s="171"/>
      <c r="BF99" s="171"/>
      <c r="BH99" s="171"/>
      <c r="BI99" s="168"/>
      <c r="BJ99" s="168"/>
      <c r="BL99" s="168"/>
      <c r="BM99" s="168"/>
      <c r="BN99" s="168"/>
      <c r="BO99" s="168"/>
      <c r="BP99" s="168"/>
      <c r="BQ99" s="168"/>
      <c r="BR99" s="168"/>
      <c r="BS99" s="168"/>
      <c r="BT99" s="168"/>
      <c r="BU99" s="168"/>
      <c r="BV99" s="168"/>
      <c r="BW99" s="168"/>
      <c r="BX99" s="168"/>
      <c r="BY99" s="168"/>
      <c r="BZ99" s="168"/>
      <c r="CA99" s="168"/>
      <c r="CB99" s="168"/>
      <c r="CC99" s="168"/>
      <c r="CD99" s="168"/>
      <c r="CE99" s="168"/>
      <c r="CF99" s="168"/>
      <c r="CG99" s="168"/>
      <c r="CH99" s="168"/>
      <c r="CI99" s="168"/>
      <c r="CJ99" s="168"/>
      <c r="CK99" s="168"/>
      <c r="CL99" s="168"/>
      <c r="CM99" s="168"/>
      <c r="CN99" s="168"/>
      <c r="CO99" s="168"/>
      <c r="CP99" s="168"/>
      <c r="CQ99" s="168"/>
      <c r="CR99" s="168"/>
      <c r="CS99" s="168"/>
      <c r="CT99" s="168"/>
      <c r="CU99" s="168"/>
      <c r="CV99" s="168"/>
      <c r="CW99" s="168"/>
      <c r="CX99" s="168"/>
    </row>
    <row r="100" spans="1:102" x14ac:dyDescent="0.25">
      <c r="A100" s="182"/>
      <c r="B100" s="182"/>
      <c r="C100" s="171"/>
      <c r="D100" s="171"/>
      <c r="E100" s="160"/>
      <c r="F100" s="171"/>
      <c r="G100" s="171"/>
      <c r="H100" s="171"/>
      <c r="I100" s="171"/>
      <c r="J100"/>
      <c r="K100"/>
      <c r="L100" s="247"/>
      <c r="M100" s="247"/>
      <c r="N100" s="171"/>
      <c r="O100" s="171"/>
      <c r="P100" s="171"/>
      <c r="Q100" s="160"/>
      <c r="R100" s="160"/>
      <c r="S100" s="171"/>
      <c r="T100" s="171"/>
      <c r="Y100" s="171"/>
      <c r="Z100" s="171"/>
      <c r="AA100" s="171"/>
      <c r="AB100" s="171"/>
      <c r="AC100" s="171"/>
      <c r="AD100" s="171"/>
      <c r="AE100" s="171"/>
      <c r="AF100" s="171"/>
      <c r="AN100" s="171"/>
      <c r="AO100" s="171"/>
      <c r="AP100" s="171"/>
      <c r="AQ100" s="171"/>
      <c r="AR100" s="171"/>
      <c r="AS100" s="171"/>
      <c r="AT100" s="171"/>
      <c r="AU100" s="171"/>
      <c r="AX100" s="171"/>
      <c r="AY100" s="171"/>
      <c r="AZ100" s="171"/>
      <c r="BA100" s="171"/>
      <c r="BB100" s="171"/>
      <c r="BF100" s="171"/>
      <c r="BH100" s="171"/>
    </row>
    <row r="101" spans="1:102" x14ac:dyDescent="0.25">
      <c r="A101" s="182"/>
      <c r="B101" s="182"/>
      <c r="C101" s="171"/>
      <c r="D101" s="171"/>
      <c r="E101" s="160"/>
      <c r="F101" s="171"/>
      <c r="G101" s="171"/>
      <c r="H101"/>
      <c r="I101" s="171"/>
      <c r="J101"/>
      <c r="K101"/>
      <c r="L101" s="247"/>
      <c r="M101" s="247"/>
      <c r="N101" s="171"/>
      <c r="O101" s="171"/>
      <c r="P101" s="171"/>
      <c r="Q101" s="160"/>
      <c r="R101" s="160"/>
      <c r="S101" s="171"/>
      <c r="T101" s="171"/>
      <c r="Y101" s="171"/>
      <c r="Z101" s="171"/>
      <c r="AA101" s="171"/>
      <c r="AB101" s="171"/>
      <c r="AC101" s="171"/>
      <c r="AD101" s="171"/>
      <c r="AE101" s="171"/>
      <c r="AF101" s="171"/>
      <c r="AN101" s="171"/>
      <c r="AO101" s="171"/>
      <c r="AP101" s="171"/>
      <c r="AQ101" s="171"/>
      <c r="AR101" s="171"/>
      <c r="AS101" s="171"/>
      <c r="AT101" s="171"/>
      <c r="AU101" s="171"/>
      <c r="AX101" s="171"/>
      <c r="AY101" s="171"/>
      <c r="AZ101" s="171"/>
      <c r="BA101" s="171"/>
      <c r="BB101" s="171"/>
      <c r="BF101" s="171"/>
      <c r="BH101" s="171"/>
    </row>
    <row r="102" spans="1:102" x14ac:dyDescent="0.25">
      <c r="A102" s="182"/>
      <c r="B102" s="182"/>
      <c r="C102" s="171"/>
      <c r="D102" s="171"/>
      <c r="E102" s="160"/>
      <c r="F102" s="171"/>
      <c r="G102" s="171"/>
      <c r="H102"/>
      <c r="I102" s="171"/>
      <c r="J102"/>
      <c r="K102"/>
      <c r="L102" s="247"/>
      <c r="M102" s="247"/>
      <c r="N102" s="171"/>
      <c r="O102" s="171"/>
      <c r="P102" s="171"/>
      <c r="Q102" s="160"/>
      <c r="R102" s="160"/>
      <c r="S102" s="171"/>
      <c r="T102" s="171"/>
      <c r="Y102" s="171"/>
      <c r="Z102" s="171"/>
      <c r="AA102" s="171"/>
      <c r="AB102" s="171"/>
      <c r="AC102" s="171"/>
      <c r="AD102" s="171"/>
      <c r="AE102" s="171"/>
      <c r="AF102" s="171"/>
      <c r="AN102" s="171"/>
      <c r="AO102" s="171"/>
      <c r="AP102" s="171"/>
      <c r="AQ102" s="171"/>
      <c r="AR102" s="171"/>
      <c r="AS102" s="171"/>
      <c r="AT102" s="171"/>
      <c r="AU102" s="171"/>
      <c r="AX102" s="171"/>
      <c r="AY102" s="171"/>
      <c r="AZ102" s="171"/>
      <c r="BA102" s="171"/>
      <c r="BB102" s="171"/>
      <c r="BF102" s="171"/>
      <c r="BH102" s="171"/>
    </row>
    <row r="103" spans="1:102" x14ac:dyDescent="0.25">
      <c r="A103" s="182"/>
      <c r="B103" s="182"/>
      <c r="C103" s="171"/>
      <c r="D103" s="171"/>
      <c r="E103" s="160"/>
      <c r="F103" s="171"/>
      <c r="G103" s="171"/>
      <c r="H103" s="171"/>
      <c r="I103" s="171"/>
      <c r="J103"/>
      <c r="K103"/>
      <c r="L103" s="247"/>
      <c r="M103" s="247"/>
      <c r="N103" s="171"/>
      <c r="O103" s="171"/>
      <c r="P103" s="171"/>
      <c r="Q103" s="160"/>
      <c r="R103" s="160"/>
      <c r="S103" s="171"/>
      <c r="T103" s="171"/>
      <c r="Y103" s="171"/>
      <c r="Z103" s="171"/>
      <c r="AA103" s="171"/>
      <c r="AB103" s="171"/>
      <c r="AC103" s="171"/>
      <c r="AD103" s="171"/>
      <c r="AE103" s="171"/>
      <c r="AF103" s="171"/>
      <c r="AN103" s="171"/>
      <c r="AO103" s="171"/>
      <c r="AP103" s="171"/>
      <c r="AQ103" s="171"/>
      <c r="AR103" s="171"/>
      <c r="AS103" s="171"/>
      <c r="AT103" s="171"/>
      <c r="AU103" s="171"/>
      <c r="AX103" s="171"/>
      <c r="AY103" s="171"/>
      <c r="AZ103" s="171"/>
      <c r="BA103" s="171"/>
      <c r="BB103" s="171"/>
      <c r="BF103" s="171"/>
      <c r="BH103" s="171"/>
    </row>
    <row r="104" spans="1:102" x14ac:dyDescent="0.25">
      <c r="A104" s="182"/>
      <c r="B104" s="182"/>
      <c r="C104" s="171"/>
      <c r="D104" s="171"/>
      <c r="E104" s="160"/>
      <c r="F104" s="171"/>
      <c r="G104" s="171"/>
      <c r="H104" s="171"/>
      <c r="I104" s="171"/>
      <c r="J104"/>
      <c r="K104"/>
      <c r="L104" s="247"/>
      <c r="M104" s="247"/>
      <c r="N104" s="171"/>
      <c r="O104" s="171"/>
      <c r="P104" s="171"/>
      <c r="Q104" s="160"/>
      <c r="R104" s="160"/>
      <c r="S104" s="171"/>
      <c r="T104" s="171"/>
      <c r="Y104" s="171"/>
      <c r="Z104" s="171"/>
      <c r="AA104" s="171"/>
      <c r="AB104" s="171"/>
      <c r="AC104" s="171"/>
      <c r="AD104" s="171"/>
      <c r="AE104" s="171"/>
      <c r="AF104" s="171"/>
      <c r="AN104" s="171"/>
      <c r="AO104" s="171"/>
      <c r="AP104" s="171"/>
      <c r="AQ104" s="171"/>
      <c r="AR104" s="171"/>
      <c r="AS104" s="171"/>
      <c r="AT104" s="171"/>
      <c r="AU104" s="171"/>
      <c r="AX104" s="171"/>
      <c r="AY104" s="171"/>
      <c r="AZ104" s="171"/>
      <c r="BA104" s="171"/>
      <c r="BB104" s="171"/>
      <c r="BF104" s="171"/>
      <c r="BH104" s="171"/>
    </row>
    <row r="105" spans="1:102" x14ac:dyDescent="0.25">
      <c r="A105" s="182"/>
      <c r="B105" s="182"/>
      <c r="C105" s="171"/>
      <c r="D105" s="171"/>
      <c r="E105" s="160"/>
      <c r="F105" s="171"/>
      <c r="G105" s="171"/>
      <c r="H105" s="171"/>
      <c r="I105" s="171"/>
      <c r="J105"/>
      <c r="K105"/>
      <c r="L105" s="247"/>
      <c r="M105" s="247"/>
      <c r="N105" s="171"/>
      <c r="O105" s="171"/>
      <c r="P105" s="171"/>
      <c r="Q105" s="160"/>
      <c r="R105" s="160"/>
      <c r="S105" s="171"/>
      <c r="T105" s="171"/>
      <c r="Y105" s="171"/>
      <c r="Z105" s="171"/>
      <c r="AA105" s="171"/>
      <c r="AB105" s="171"/>
      <c r="AC105" s="171"/>
      <c r="AD105" s="171"/>
      <c r="AE105" s="171"/>
      <c r="AF105" s="171"/>
      <c r="AN105" s="171"/>
      <c r="AO105" s="171"/>
      <c r="AP105" s="171"/>
      <c r="AQ105" s="171"/>
      <c r="AR105" s="171"/>
      <c r="AS105" s="171"/>
      <c r="AT105" s="171"/>
      <c r="AU105" s="171"/>
      <c r="AX105" s="171"/>
      <c r="AY105" s="171"/>
      <c r="AZ105" s="171"/>
      <c r="BA105" s="171"/>
      <c r="BB105" s="171"/>
      <c r="BF105" s="171"/>
      <c r="BH105" s="171"/>
    </row>
    <row r="106" spans="1:102" x14ac:dyDescent="0.25">
      <c r="A106" s="182"/>
      <c r="B106" s="182"/>
      <c r="C106" s="171"/>
      <c r="D106" s="171"/>
      <c r="E106" s="160"/>
      <c r="F106" s="171"/>
      <c r="G106" s="171"/>
      <c r="H106" s="171"/>
      <c r="I106" s="171"/>
      <c r="J106"/>
      <c r="K106"/>
      <c r="L106" s="247"/>
      <c r="M106" s="247"/>
      <c r="N106" s="171"/>
      <c r="O106" s="171"/>
      <c r="P106" s="171"/>
      <c r="Q106" s="160"/>
      <c r="R106" s="160"/>
      <c r="S106" s="171"/>
      <c r="T106" s="171"/>
      <c r="Y106" s="171"/>
      <c r="Z106" s="171"/>
      <c r="AA106" s="171"/>
      <c r="AB106" s="171"/>
      <c r="AC106" s="171"/>
      <c r="AD106" s="171"/>
      <c r="AE106" s="171"/>
      <c r="AF106" s="171"/>
      <c r="AN106" s="171"/>
      <c r="AO106" s="171"/>
      <c r="AP106" s="171"/>
      <c r="AQ106" s="171"/>
      <c r="AR106" s="171"/>
      <c r="AS106" s="171"/>
      <c r="AT106" s="171"/>
      <c r="AU106" s="171"/>
      <c r="AX106" s="171"/>
      <c r="AY106" s="171"/>
      <c r="AZ106" s="171"/>
      <c r="BA106" s="171"/>
      <c r="BB106" s="171"/>
      <c r="BF106" s="171"/>
      <c r="BH106" s="171"/>
    </row>
    <row r="107" spans="1:102" x14ac:dyDescent="0.25">
      <c r="A107" s="182"/>
      <c r="B107" s="182"/>
      <c r="C107" s="171"/>
      <c r="D107" s="171"/>
      <c r="E107" s="160"/>
      <c r="F107" s="171"/>
      <c r="G107" s="171"/>
      <c r="H107" s="171"/>
      <c r="I107" s="171"/>
      <c r="J107"/>
      <c r="K107"/>
      <c r="L107" s="247"/>
      <c r="M107" s="247"/>
      <c r="N107" s="171"/>
      <c r="O107" s="171"/>
      <c r="P107" s="171"/>
      <c r="Q107" s="160"/>
      <c r="R107" s="160"/>
      <c r="S107" s="171"/>
      <c r="T107" s="171"/>
      <c r="Y107" s="171"/>
      <c r="Z107" s="171"/>
      <c r="AA107" s="171"/>
      <c r="AB107" s="171"/>
      <c r="AC107" s="171"/>
      <c r="AD107" s="171"/>
      <c r="AE107" s="171"/>
      <c r="AF107" s="171"/>
      <c r="AN107" s="171"/>
      <c r="AO107" s="171"/>
      <c r="AP107" s="171"/>
      <c r="AQ107" s="171"/>
      <c r="AR107" s="171"/>
      <c r="AS107" s="171"/>
      <c r="AT107" s="171"/>
      <c r="AU107" s="171"/>
      <c r="AX107" s="171"/>
      <c r="AY107" s="171"/>
      <c r="AZ107" s="171"/>
      <c r="BA107" s="171"/>
      <c r="BB107" s="171"/>
      <c r="BF107" s="171"/>
      <c r="BH107" s="171"/>
    </row>
    <row r="108" spans="1:102" x14ac:dyDescent="0.25">
      <c r="A108" s="182"/>
      <c r="B108" s="182"/>
      <c r="C108" s="171"/>
      <c r="D108" s="171"/>
      <c r="E108" s="160"/>
      <c r="F108" s="171"/>
      <c r="G108" s="171"/>
      <c r="H108" s="171"/>
      <c r="I108" s="171"/>
      <c r="J108" s="171"/>
      <c r="K108" s="171"/>
      <c r="L108" s="629"/>
      <c r="M108" s="629"/>
      <c r="N108" s="171"/>
      <c r="O108" s="171"/>
      <c r="P108" s="171"/>
      <c r="Q108" s="160"/>
      <c r="R108" s="160"/>
      <c r="S108" s="171"/>
      <c r="T108" s="171"/>
      <c r="Y108" s="171"/>
      <c r="Z108" s="171"/>
      <c r="AA108" s="171"/>
      <c r="AB108" s="171"/>
      <c r="AC108" s="171"/>
      <c r="AD108" s="171"/>
      <c r="AE108" s="171"/>
      <c r="AF108" s="171"/>
      <c r="AN108" s="171"/>
      <c r="AO108" s="171"/>
      <c r="AP108" s="171"/>
      <c r="AQ108" s="171"/>
      <c r="AR108" s="171"/>
      <c r="AS108" s="171"/>
      <c r="AT108" s="171"/>
      <c r="AU108" s="171"/>
      <c r="AX108" s="171"/>
      <c r="AY108" s="171"/>
      <c r="AZ108" s="171"/>
      <c r="BA108" s="171"/>
      <c r="BB108" s="171"/>
      <c r="BC108" s="171"/>
      <c r="BD108" s="171"/>
      <c r="BF108" s="171"/>
      <c r="BH108" s="171"/>
      <c r="BI108" s="168"/>
      <c r="BL108" s="168"/>
      <c r="BM108" s="168"/>
      <c r="BN108" s="168"/>
      <c r="BO108" s="168"/>
      <c r="BP108" s="168"/>
      <c r="BQ108" s="168"/>
      <c r="BR108" s="168"/>
      <c r="BS108" s="168"/>
      <c r="BT108" s="168"/>
      <c r="BU108" s="168"/>
      <c r="BV108" s="168"/>
      <c r="BW108" s="168"/>
      <c r="BX108" s="168"/>
      <c r="BY108" s="168"/>
      <c r="BZ108" s="168"/>
      <c r="CA108" s="168"/>
      <c r="CB108" s="168"/>
      <c r="CC108" s="168"/>
      <c r="CD108" s="168"/>
      <c r="CE108" s="168"/>
      <c r="CF108" s="168"/>
      <c r="CG108" s="168"/>
      <c r="CH108" s="168"/>
      <c r="CI108" s="168"/>
      <c r="CJ108" s="168"/>
      <c r="CK108" s="168"/>
      <c r="CL108" s="168"/>
      <c r="CM108" s="168"/>
      <c r="CN108" s="168"/>
      <c r="CO108" s="168"/>
      <c r="CP108" s="168"/>
      <c r="CQ108" s="168"/>
      <c r="CR108" s="168"/>
      <c r="CS108" s="168"/>
      <c r="CT108" s="168"/>
      <c r="CU108" s="168"/>
      <c r="CV108" s="168"/>
      <c r="CW108" s="168"/>
      <c r="CX108" s="168"/>
    </row>
    <row r="109" spans="1:102" x14ac:dyDescent="0.25">
      <c r="A109" s="182"/>
      <c r="B109" s="182"/>
      <c r="C109" s="171"/>
      <c r="D109" s="171"/>
      <c r="E109" s="160"/>
      <c r="F109" s="171"/>
      <c r="G109" s="171"/>
      <c r="H109" s="171"/>
      <c r="I109" s="171"/>
      <c r="J109"/>
      <c r="K109"/>
      <c r="L109" s="247"/>
      <c r="M109" s="247"/>
      <c r="N109" s="171"/>
      <c r="O109" s="171"/>
      <c r="P109" s="171"/>
      <c r="Q109" s="160"/>
      <c r="R109" s="160"/>
      <c r="S109" s="171"/>
      <c r="T109" s="171"/>
      <c r="Y109" s="171"/>
      <c r="Z109" s="171"/>
      <c r="AA109" s="171"/>
      <c r="AB109" s="171"/>
      <c r="AC109" s="171"/>
      <c r="AD109" s="171"/>
      <c r="AE109" s="171"/>
      <c r="AF109" s="171"/>
      <c r="AN109" s="171"/>
      <c r="AO109" s="171"/>
      <c r="AP109" s="171"/>
      <c r="AQ109" s="171"/>
      <c r="AR109" s="171"/>
      <c r="AS109" s="171"/>
      <c r="AT109" s="171"/>
      <c r="AU109" s="171"/>
      <c r="AX109" s="171"/>
      <c r="AY109" s="171"/>
      <c r="AZ109" s="171"/>
      <c r="BA109" s="171"/>
      <c r="BB109" s="171"/>
      <c r="BF109" s="171"/>
      <c r="BH109" s="171"/>
    </row>
    <row r="110" spans="1:102" x14ac:dyDescent="0.25">
      <c r="A110" s="182"/>
      <c r="B110" s="182"/>
      <c r="C110" s="171"/>
      <c r="D110" s="171"/>
      <c r="E110" s="160"/>
      <c r="F110" s="171"/>
      <c r="G110" s="171"/>
      <c r="H110" s="171"/>
      <c r="I110" s="171"/>
      <c r="J110"/>
      <c r="K110"/>
      <c r="L110" s="247"/>
      <c r="M110" s="247"/>
      <c r="N110" s="171"/>
      <c r="O110" s="171"/>
      <c r="P110" s="171"/>
      <c r="Q110" s="160"/>
      <c r="R110" s="160"/>
      <c r="S110" s="171"/>
      <c r="T110" s="171"/>
      <c r="Y110" s="171"/>
      <c r="Z110" s="171"/>
      <c r="AA110" s="171"/>
      <c r="AB110" s="171"/>
      <c r="AC110" s="171"/>
      <c r="AD110" s="171"/>
      <c r="AE110" s="171"/>
      <c r="AF110" s="171"/>
      <c r="AN110" s="171"/>
      <c r="AO110" s="171"/>
      <c r="AP110" s="171"/>
      <c r="AQ110" s="171"/>
      <c r="AR110" s="171"/>
      <c r="AS110" s="171"/>
      <c r="AT110" s="171"/>
      <c r="AU110" s="171"/>
      <c r="AX110" s="171"/>
      <c r="AY110" s="171"/>
      <c r="AZ110" s="171"/>
      <c r="BA110" s="171"/>
      <c r="BB110" s="171"/>
      <c r="BF110" s="171"/>
      <c r="BH110" s="171"/>
    </row>
    <row r="111" spans="1:102" x14ac:dyDescent="0.25">
      <c r="A111" s="182"/>
      <c r="B111" s="182"/>
      <c r="C111" s="171"/>
      <c r="D111" s="171"/>
      <c r="E111" s="160"/>
      <c r="F111" s="171"/>
      <c r="G111" s="171"/>
      <c r="H111" s="171"/>
      <c r="I111" s="171"/>
      <c r="J111"/>
      <c r="K111"/>
      <c r="L111" s="247"/>
      <c r="M111" s="247"/>
      <c r="N111" s="171"/>
      <c r="O111" s="171"/>
      <c r="P111" s="171"/>
      <c r="Q111" s="160"/>
      <c r="R111" s="160"/>
      <c r="S111" s="171"/>
      <c r="T111" s="171"/>
      <c r="Y111" s="171"/>
      <c r="Z111" s="171"/>
      <c r="AA111" s="171"/>
      <c r="AB111" s="171"/>
      <c r="AC111" s="171"/>
      <c r="AD111" s="171"/>
      <c r="AE111" s="171"/>
      <c r="AF111" s="171"/>
      <c r="AN111" s="171"/>
      <c r="AO111" s="171"/>
      <c r="AP111" s="171"/>
      <c r="AQ111" s="171"/>
      <c r="AR111" s="171"/>
      <c r="AS111" s="171"/>
      <c r="AT111" s="171"/>
      <c r="AU111" s="171"/>
      <c r="AX111" s="171"/>
      <c r="AY111" s="171"/>
      <c r="AZ111" s="171"/>
      <c r="BA111" s="171"/>
      <c r="BB111" s="171"/>
      <c r="BF111" s="171"/>
      <c r="BH111" s="171"/>
    </row>
    <row r="112" spans="1:102" x14ac:dyDescent="0.25">
      <c r="A112" s="182"/>
      <c r="B112" s="182"/>
      <c r="C112" s="171"/>
      <c r="D112" s="171"/>
      <c r="E112" s="160"/>
      <c r="F112" s="171"/>
      <c r="G112" s="171"/>
      <c r="H112" s="171"/>
      <c r="I112" s="171"/>
      <c r="J112"/>
      <c r="K112"/>
      <c r="L112" s="247"/>
      <c r="M112" s="247"/>
      <c r="N112" s="171"/>
      <c r="O112" s="171"/>
      <c r="P112" s="171"/>
      <c r="Q112" s="160"/>
      <c r="R112" s="160"/>
      <c r="S112" s="171"/>
      <c r="T112" s="171"/>
      <c r="Y112" s="171"/>
      <c r="Z112" s="171"/>
      <c r="AA112" s="171"/>
      <c r="AB112" s="171"/>
      <c r="AC112" s="171"/>
      <c r="AD112" s="171"/>
      <c r="AE112" s="171"/>
      <c r="AF112" s="171"/>
      <c r="AN112" s="171"/>
      <c r="AO112" s="171"/>
      <c r="AP112" s="171"/>
      <c r="AQ112" s="171"/>
      <c r="AR112" s="171"/>
      <c r="AS112" s="171"/>
      <c r="AT112" s="171"/>
      <c r="AU112" s="171"/>
      <c r="AX112" s="171"/>
      <c r="AY112" s="171"/>
      <c r="AZ112" s="171"/>
      <c r="BA112" s="171"/>
      <c r="BB112" s="171"/>
      <c r="BF112" s="171"/>
      <c r="BH112" s="171"/>
    </row>
    <row r="113" spans="1:102" x14ac:dyDescent="0.25">
      <c r="A113" s="182"/>
      <c r="B113" s="182"/>
      <c r="C113" s="171"/>
      <c r="D113" s="171"/>
      <c r="E113" s="160"/>
      <c r="F113" s="171"/>
      <c r="G113" s="171"/>
      <c r="H113" s="171"/>
      <c r="I113" s="171"/>
      <c r="J113"/>
      <c r="K113"/>
      <c r="L113" s="247"/>
      <c r="M113" s="247"/>
      <c r="N113" s="171"/>
      <c r="O113" s="171"/>
      <c r="P113" s="171"/>
      <c r="Q113" s="160"/>
      <c r="R113" s="160"/>
      <c r="S113" s="171"/>
      <c r="T113" s="171"/>
      <c r="Y113" s="171"/>
      <c r="Z113" s="171"/>
      <c r="AA113" s="171"/>
      <c r="AB113" s="171"/>
      <c r="AC113" s="171"/>
      <c r="AD113" s="171"/>
      <c r="AE113" s="171"/>
      <c r="AF113" s="171"/>
      <c r="AN113" s="171"/>
      <c r="AO113" s="171"/>
      <c r="AP113" s="171"/>
      <c r="AQ113" s="171"/>
      <c r="AR113" s="171"/>
      <c r="AS113" s="171"/>
      <c r="AT113" s="171"/>
      <c r="AU113" s="171"/>
      <c r="AX113" s="171"/>
      <c r="AY113" s="171"/>
      <c r="AZ113" s="171"/>
      <c r="BA113" s="171"/>
      <c r="BB113" s="171"/>
      <c r="BF113" s="171"/>
      <c r="BH113" s="171"/>
    </row>
    <row r="114" spans="1:102" x14ac:dyDescent="0.25">
      <c r="A114" s="182"/>
      <c r="B114" s="182"/>
      <c r="C114" s="171"/>
      <c r="D114" s="171"/>
      <c r="E114" s="160"/>
      <c r="F114" s="171"/>
      <c r="G114" s="171"/>
      <c r="H114" s="171"/>
      <c r="I114" s="171"/>
      <c r="J114"/>
      <c r="K114"/>
      <c r="L114" s="247"/>
      <c r="M114" s="247"/>
      <c r="N114" s="171"/>
      <c r="O114" s="171"/>
      <c r="P114" s="171"/>
      <c r="Q114" s="160"/>
      <c r="R114" s="160"/>
      <c r="S114" s="171"/>
      <c r="T114" s="171"/>
      <c r="Y114" s="171"/>
      <c r="Z114" s="171"/>
      <c r="AA114" s="171"/>
      <c r="AB114" s="171"/>
      <c r="AC114" s="171"/>
      <c r="AD114" s="171"/>
      <c r="AE114" s="171"/>
      <c r="AF114" s="171"/>
      <c r="AN114" s="171"/>
      <c r="AO114" s="171"/>
      <c r="AP114" s="171"/>
      <c r="AQ114" s="171"/>
      <c r="AR114" s="171"/>
      <c r="AS114" s="171"/>
      <c r="AT114" s="171"/>
      <c r="AU114" s="171"/>
      <c r="AX114" s="171"/>
      <c r="AY114" s="171"/>
      <c r="AZ114" s="171"/>
      <c r="BA114" s="171"/>
      <c r="BB114" s="171"/>
      <c r="BF114" s="171"/>
      <c r="BH114" s="171"/>
    </row>
    <row r="115" spans="1:102" x14ac:dyDescent="0.25">
      <c r="A115" s="182"/>
      <c r="B115" s="182"/>
      <c r="C115" s="171"/>
      <c r="D115" s="171"/>
      <c r="E115" s="160"/>
      <c r="F115" s="171"/>
      <c r="G115" s="171"/>
      <c r="H115" s="171"/>
      <c r="I115" s="171"/>
      <c r="J115"/>
      <c r="K115"/>
      <c r="L115" s="247"/>
      <c r="M115" s="247"/>
      <c r="N115" s="171"/>
      <c r="O115" s="171"/>
      <c r="P115" s="171"/>
      <c r="Q115" s="160"/>
      <c r="R115" s="160"/>
      <c r="S115" s="171"/>
      <c r="T115" s="171"/>
      <c r="Y115" s="171"/>
      <c r="Z115" s="171"/>
      <c r="AA115" s="171"/>
      <c r="AB115" s="171"/>
      <c r="AC115" s="171"/>
      <c r="AD115" s="171"/>
      <c r="AE115" s="171"/>
      <c r="AF115" s="171"/>
      <c r="AN115" s="171"/>
      <c r="AO115" s="171"/>
      <c r="AP115" s="171"/>
      <c r="AQ115" s="171"/>
      <c r="AR115" s="171"/>
      <c r="AS115" s="171"/>
      <c r="AT115" s="171"/>
      <c r="AU115" s="171"/>
      <c r="AX115" s="171"/>
      <c r="AY115" s="171"/>
      <c r="AZ115" s="171"/>
      <c r="BA115" s="171"/>
      <c r="BB115" s="171"/>
      <c r="BF115" s="171"/>
      <c r="BH115" s="171"/>
    </row>
    <row r="116" spans="1:102" x14ac:dyDescent="0.25">
      <c r="A116" s="182"/>
      <c r="B116" s="182"/>
      <c r="C116" s="171"/>
      <c r="D116" s="171"/>
      <c r="E116" s="160"/>
      <c r="F116" s="171"/>
      <c r="G116" s="171"/>
      <c r="H116" s="171"/>
      <c r="I116" s="171"/>
      <c r="J116"/>
      <c r="K116"/>
      <c r="L116" s="247"/>
      <c r="M116" s="247"/>
      <c r="N116" s="171"/>
      <c r="O116" s="171"/>
      <c r="P116" s="171"/>
      <c r="Q116" s="160"/>
      <c r="R116" s="160"/>
      <c r="S116" s="171"/>
      <c r="T116" s="171"/>
      <c r="Y116" s="171"/>
      <c r="Z116" s="171"/>
      <c r="AA116" s="171"/>
      <c r="AB116" s="171"/>
      <c r="AC116" s="171"/>
      <c r="AD116" s="171"/>
      <c r="AE116" s="171"/>
      <c r="AF116" s="171"/>
      <c r="AN116" s="171"/>
      <c r="AO116" s="171"/>
      <c r="AP116" s="171"/>
      <c r="AQ116" s="171"/>
      <c r="AR116" s="171"/>
      <c r="AS116" s="171"/>
      <c r="AT116" s="171"/>
      <c r="AU116" s="171"/>
      <c r="AX116" s="171"/>
      <c r="AY116" s="171"/>
      <c r="AZ116" s="171"/>
      <c r="BA116" s="171"/>
      <c r="BB116" s="171"/>
      <c r="BF116" s="171"/>
      <c r="BH116" s="171"/>
    </row>
    <row r="117" spans="1:102" x14ac:dyDescent="0.25">
      <c r="A117" s="182"/>
      <c r="B117" s="182"/>
      <c r="C117" s="171"/>
      <c r="D117" s="171"/>
      <c r="E117" s="160"/>
      <c r="F117" s="171"/>
      <c r="G117" s="171"/>
      <c r="H117" s="171"/>
      <c r="I117" s="171"/>
      <c r="J117"/>
      <c r="K117"/>
      <c r="L117" s="247"/>
      <c r="M117" s="247"/>
      <c r="N117" s="171"/>
      <c r="O117" s="171"/>
      <c r="P117" s="171"/>
      <c r="Q117" s="160"/>
      <c r="R117" s="160"/>
      <c r="S117" s="171"/>
      <c r="T117" s="171"/>
      <c r="Y117" s="171"/>
      <c r="Z117" s="171"/>
      <c r="AA117" s="171"/>
      <c r="AB117" s="171"/>
      <c r="AC117" s="171"/>
      <c r="AD117" s="171"/>
      <c r="AE117" s="171"/>
      <c r="AF117" s="171"/>
      <c r="AN117" s="171"/>
      <c r="AO117" s="171"/>
      <c r="AP117" s="171"/>
      <c r="AQ117" s="171"/>
      <c r="AR117" s="171"/>
      <c r="AS117" s="171"/>
      <c r="AT117" s="171"/>
      <c r="AU117" s="171"/>
      <c r="AX117" s="171"/>
      <c r="AY117" s="171"/>
      <c r="AZ117" s="171"/>
      <c r="BA117" s="171"/>
      <c r="BB117" s="171"/>
      <c r="BF117" s="171"/>
      <c r="BH117" s="171"/>
    </row>
    <row r="118" spans="1:102" x14ac:dyDescent="0.25">
      <c r="A118" s="182"/>
      <c r="B118" s="182"/>
      <c r="C118" s="171"/>
      <c r="D118" s="171"/>
      <c r="E118" s="160"/>
      <c r="F118" s="171"/>
      <c r="G118" s="171"/>
      <c r="H118" s="171"/>
      <c r="I118" s="171"/>
      <c r="J118"/>
      <c r="K118"/>
      <c r="L118" s="247"/>
      <c r="M118" s="247"/>
      <c r="N118" s="171"/>
      <c r="O118" s="171"/>
      <c r="P118" s="171"/>
      <c r="Q118" s="160"/>
      <c r="R118" s="160"/>
      <c r="S118" s="171"/>
      <c r="T118" s="171"/>
      <c r="Y118" s="171"/>
      <c r="Z118" s="171"/>
      <c r="AA118" s="171"/>
      <c r="AB118" s="171"/>
      <c r="AC118" s="171"/>
      <c r="AD118" s="171"/>
      <c r="AE118" s="171"/>
      <c r="AF118" s="171"/>
      <c r="AN118" s="171"/>
      <c r="AO118" s="171"/>
      <c r="AP118" s="171"/>
      <c r="AQ118" s="171"/>
      <c r="AR118" s="171"/>
      <c r="AS118" s="171"/>
      <c r="AT118" s="171"/>
      <c r="AU118" s="171"/>
      <c r="AX118" s="171"/>
      <c r="AY118" s="171"/>
      <c r="AZ118" s="171"/>
      <c r="BA118" s="171"/>
      <c r="BB118" s="171"/>
      <c r="BF118" s="171"/>
      <c r="BH118" s="171"/>
    </row>
    <row r="119" spans="1:102" x14ac:dyDescent="0.25">
      <c r="A119" s="182"/>
      <c r="B119" s="182"/>
      <c r="C119" s="171"/>
      <c r="D119" s="171"/>
      <c r="E119" s="160"/>
      <c r="F119" s="171"/>
      <c r="G119" s="171"/>
      <c r="H119" s="171"/>
      <c r="I119" s="171"/>
      <c r="J119"/>
      <c r="K119"/>
      <c r="L119" s="247"/>
      <c r="M119" s="247"/>
      <c r="N119" s="171"/>
      <c r="O119" s="171"/>
      <c r="P119" s="171"/>
      <c r="Q119" s="160"/>
      <c r="R119" s="160"/>
      <c r="S119" s="171"/>
      <c r="T119" s="171"/>
      <c r="Y119" s="171"/>
      <c r="Z119" s="171"/>
      <c r="AA119" s="171"/>
      <c r="AB119" s="171"/>
      <c r="AC119" s="171"/>
      <c r="AD119" s="171"/>
      <c r="AE119" s="171"/>
      <c r="AF119" s="171"/>
      <c r="AN119" s="171"/>
      <c r="AO119" s="171"/>
      <c r="AP119" s="171"/>
      <c r="AQ119" s="171"/>
      <c r="AR119" s="171"/>
      <c r="AS119" s="171"/>
      <c r="AT119" s="171"/>
      <c r="AU119" s="171"/>
      <c r="AX119" s="171"/>
      <c r="AY119" s="171"/>
      <c r="AZ119" s="171"/>
      <c r="BA119" s="171"/>
      <c r="BB119" s="171"/>
      <c r="BF119" s="171"/>
      <c r="BH119" s="171"/>
    </row>
    <row r="120" spans="1:102" x14ac:dyDescent="0.25">
      <c r="A120" s="182"/>
      <c r="B120" s="182"/>
      <c r="C120" s="171"/>
      <c r="D120" s="171"/>
      <c r="E120" s="160"/>
      <c r="F120" s="171"/>
      <c r="G120" s="171"/>
      <c r="H120" s="171"/>
      <c r="I120" s="171"/>
      <c r="J120"/>
      <c r="K120"/>
      <c r="L120" s="247"/>
      <c r="M120" s="247"/>
      <c r="N120" s="171"/>
      <c r="O120" s="171"/>
      <c r="P120" s="171"/>
      <c r="Q120" s="160"/>
      <c r="R120" s="160"/>
      <c r="S120" s="171"/>
      <c r="T120" s="171"/>
      <c r="Y120" s="171"/>
      <c r="Z120" s="171"/>
      <c r="AA120" s="171"/>
      <c r="AB120" s="171"/>
      <c r="AC120" s="171"/>
      <c r="AD120" s="171"/>
      <c r="AE120" s="171"/>
      <c r="AF120" s="171"/>
      <c r="AN120" s="171"/>
      <c r="AO120" s="171"/>
      <c r="AP120" s="171"/>
      <c r="AQ120" s="171"/>
      <c r="AR120" s="171"/>
      <c r="AS120" s="171"/>
      <c r="AT120" s="171"/>
      <c r="AU120" s="171"/>
      <c r="AX120" s="171"/>
      <c r="AY120" s="171"/>
      <c r="AZ120" s="171"/>
      <c r="BA120" s="171"/>
      <c r="BB120" s="171"/>
      <c r="BF120" s="171"/>
      <c r="BH120" s="171"/>
    </row>
    <row r="121" spans="1:102" x14ac:dyDescent="0.25">
      <c r="A121" s="182"/>
      <c r="B121" s="182"/>
      <c r="C121" s="171"/>
      <c r="D121" s="171"/>
      <c r="E121" s="160"/>
      <c r="F121" s="171"/>
      <c r="G121" s="171"/>
      <c r="H121" s="171"/>
      <c r="I121" s="171"/>
      <c r="J121" s="171"/>
      <c r="K121" s="171"/>
      <c r="L121" s="629"/>
      <c r="M121" s="629"/>
      <c r="N121" s="171"/>
      <c r="O121" s="171"/>
      <c r="P121" s="171"/>
      <c r="Q121" s="160"/>
      <c r="R121" s="160"/>
      <c r="S121" s="171"/>
      <c r="T121" s="171"/>
      <c r="Y121" s="171"/>
      <c r="Z121" s="171"/>
      <c r="AA121" s="171"/>
      <c r="AB121" s="171"/>
      <c r="AC121" s="171"/>
      <c r="AD121" s="171"/>
      <c r="AE121" s="171"/>
      <c r="AF121" s="171"/>
      <c r="AN121" s="171"/>
      <c r="AO121" s="171"/>
      <c r="AP121" s="171"/>
      <c r="AQ121" s="171"/>
      <c r="AR121" s="171"/>
      <c r="AS121" s="171"/>
      <c r="AT121" s="171"/>
      <c r="AU121" s="171"/>
      <c r="AX121" s="171"/>
      <c r="AY121" s="171"/>
      <c r="AZ121" s="171"/>
      <c r="BA121" s="171"/>
      <c r="BB121" s="171"/>
      <c r="BC121" s="171"/>
      <c r="BD121" s="171"/>
      <c r="BF121" s="171"/>
      <c r="BH121" s="171"/>
      <c r="BI121" s="168"/>
      <c r="BL121" s="168"/>
      <c r="BM121" s="168"/>
      <c r="BN121" s="168"/>
      <c r="BO121" s="168"/>
      <c r="BP121" s="168"/>
      <c r="BQ121" s="168"/>
      <c r="BR121" s="168"/>
      <c r="BS121" s="168"/>
      <c r="BT121" s="168"/>
      <c r="BU121" s="168"/>
      <c r="BV121" s="168"/>
      <c r="BW121" s="168"/>
      <c r="BX121" s="168"/>
      <c r="BY121" s="168"/>
      <c r="BZ121" s="168"/>
      <c r="CA121" s="168"/>
      <c r="CB121" s="168"/>
      <c r="CC121" s="168"/>
      <c r="CD121" s="168"/>
      <c r="CE121" s="168"/>
      <c r="CF121" s="168"/>
      <c r="CG121" s="168"/>
      <c r="CH121" s="168"/>
      <c r="CI121" s="168"/>
      <c r="CJ121" s="168"/>
      <c r="CK121" s="168"/>
      <c r="CL121" s="168"/>
      <c r="CM121" s="168"/>
      <c r="CN121" s="168"/>
      <c r="CO121" s="168"/>
      <c r="CP121" s="168"/>
      <c r="CQ121" s="168"/>
      <c r="CR121" s="168"/>
      <c r="CS121" s="168"/>
      <c r="CT121" s="168"/>
      <c r="CU121" s="168"/>
      <c r="CV121" s="168"/>
      <c r="CW121" s="168"/>
      <c r="CX121" s="168"/>
    </row>
    <row r="122" spans="1:102" x14ac:dyDescent="0.25">
      <c r="A122" s="182"/>
      <c r="B122" s="182"/>
      <c r="C122" s="171"/>
      <c r="D122" s="171"/>
      <c r="E122" s="160"/>
      <c r="F122" s="171"/>
      <c r="G122" s="171"/>
      <c r="H122" s="171"/>
      <c r="I122" s="171"/>
      <c r="J122"/>
      <c r="K122"/>
      <c r="L122" s="247"/>
      <c r="M122" s="247"/>
      <c r="N122" s="171"/>
      <c r="O122" s="171"/>
      <c r="P122" s="171"/>
      <c r="Q122" s="160"/>
      <c r="R122" s="160"/>
      <c r="S122" s="171"/>
      <c r="T122" s="171"/>
      <c r="Y122" s="171"/>
      <c r="Z122" s="171"/>
      <c r="AA122" s="171"/>
      <c r="AB122" s="171"/>
      <c r="AC122" s="171"/>
      <c r="AD122" s="171"/>
      <c r="AE122" s="171"/>
      <c r="AF122" s="171"/>
      <c r="AN122" s="171"/>
      <c r="AO122" s="171"/>
      <c r="AP122" s="171"/>
      <c r="AQ122" s="171"/>
      <c r="AR122" s="171"/>
      <c r="AS122" s="171"/>
      <c r="AT122" s="171"/>
      <c r="AU122" s="171"/>
      <c r="AX122" s="171"/>
      <c r="AY122" s="171"/>
      <c r="AZ122" s="171"/>
      <c r="BA122" s="171"/>
      <c r="BB122" s="171"/>
      <c r="BF122" s="171"/>
      <c r="BH122" s="171"/>
    </row>
    <row r="123" spans="1:102" x14ac:dyDescent="0.25">
      <c r="A123" s="182"/>
      <c r="B123" s="182"/>
      <c r="C123" s="171"/>
      <c r="D123" s="171"/>
      <c r="E123" s="160"/>
      <c r="F123" s="171"/>
      <c r="G123" s="171"/>
      <c r="H123" s="171"/>
      <c r="I123" s="171"/>
      <c r="J123"/>
      <c r="K123"/>
      <c r="L123" s="247"/>
      <c r="M123" s="247"/>
      <c r="N123" s="171"/>
      <c r="O123" s="171"/>
      <c r="P123" s="171"/>
      <c r="Q123" s="160"/>
      <c r="R123" s="160"/>
      <c r="S123" s="171"/>
      <c r="T123" s="171"/>
      <c r="Y123" s="171"/>
      <c r="Z123" s="171"/>
      <c r="AA123" s="171"/>
      <c r="AB123" s="171"/>
      <c r="AC123" s="171"/>
      <c r="AD123" s="171"/>
      <c r="AE123" s="171"/>
      <c r="AF123" s="171"/>
      <c r="AN123" s="171"/>
      <c r="AO123" s="171"/>
      <c r="AP123" s="171"/>
      <c r="AQ123" s="171"/>
      <c r="AR123" s="171"/>
      <c r="AS123" s="171"/>
      <c r="AT123" s="171"/>
      <c r="AU123" s="171"/>
      <c r="AX123" s="171"/>
      <c r="AY123" s="171"/>
      <c r="AZ123" s="171"/>
      <c r="BA123" s="171"/>
      <c r="BB123" s="171"/>
      <c r="BF123" s="171"/>
      <c r="BH123" s="171"/>
    </row>
    <row r="124" spans="1:102" x14ac:dyDescent="0.25">
      <c r="A124" s="182"/>
      <c r="B124" s="182"/>
      <c r="C124" s="171"/>
      <c r="D124" s="171"/>
      <c r="E124" s="160"/>
      <c r="F124" s="171"/>
      <c r="G124" s="171"/>
      <c r="H124" s="171"/>
      <c r="I124" s="171"/>
      <c r="J124"/>
      <c r="K124"/>
      <c r="L124" s="247"/>
      <c r="M124" s="247"/>
      <c r="N124" s="171"/>
      <c r="O124" s="171"/>
      <c r="P124" s="171"/>
      <c r="Q124" s="160"/>
      <c r="R124" s="160"/>
      <c r="S124" s="171"/>
      <c r="T124" s="171"/>
      <c r="Y124" s="171"/>
      <c r="Z124" s="171"/>
      <c r="AA124" s="171"/>
      <c r="AB124" s="171"/>
      <c r="AC124" s="171"/>
      <c r="AD124" s="171"/>
      <c r="AE124" s="171"/>
      <c r="AF124" s="171"/>
      <c r="AN124" s="171"/>
      <c r="AO124" s="171"/>
      <c r="AP124" s="171"/>
      <c r="AQ124" s="171"/>
      <c r="AR124" s="171"/>
      <c r="AS124" s="171"/>
      <c r="AT124" s="171"/>
      <c r="AU124" s="171"/>
      <c r="AX124" s="171"/>
      <c r="AY124" s="171"/>
      <c r="AZ124" s="171"/>
      <c r="BA124" s="171"/>
      <c r="BB124" s="171"/>
      <c r="BF124" s="171"/>
      <c r="BH124" s="171"/>
    </row>
    <row r="125" spans="1:102" x14ac:dyDescent="0.25">
      <c r="A125" s="182"/>
      <c r="B125" s="182"/>
      <c r="C125" s="171"/>
      <c r="D125" s="171"/>
      <c r="E125" s="160"/>
      <c r="F125" s="171"/>
      <c r="G125" s="171"/>
      <c r="H125" s="171"/>
      <c r="I125" s="171"/>
      <c r="J125"/>
      <c r="K125"/>
      <c r="L125" s="247"/>
      <c r="M125" s="247"/>
      <c r="N125" s="171"/>
      <c r="O125" s="171"/>
      <c r="P125" s="171"/>
      <c r="Q125" s="160"/>
      <c r="R125" s="160"/>
      <c r="S125" s="171"/>
      <c r="T125" s="171"/>
      <c r="Y125" s="171"/>
      <c r="Z125" s="171"/>
      <c r="AA125" s="171"/>
      <c r="AB125" s="171"/>
      <c r="AC125" s="171"/>
      <c r="AD125" s="171"/>
      <c r="AE125" s="171"/>
      <c r="AF125" s="171"/>
      <c r="AN125" s="171"/>
      <c r="AO125" s="171"/>
      <c r="AP125" s="171"/>
      <c r="AQ125" s="171"/>
      <c r="AR125" s="171"/>
      <c r="AS125" s="171"/>
      <c r="AT125" s="171"/>
      <c r="AU125" s="171"/>
      <c r="AX125" s="171"/>
      <c r="AY125" s="171"/>
      <c r="AZ125" s="171"/>
      <c r="BA125" s="171"/>
      <c r="BB125" s="171"/>
      <c r="BF125" s="171"/>
      <c r="BH125" s="171"/>
    </row>
    <row r="126" spans="1:102" x14ac:dyDescent="0.25">
      <c r="A126" s="182"/>
      <c r="B126" s="182"/>
      <c r="C126" s="171"/>
      <c r="D126" s="171"/>
      <c r="E126" s="160"/>
      <c r="F126" s="171"/>
      <c r="G126" s="171"/>
      <c r="H126" s="171"/>
      <c r="I126" s="171"/>
      <c r="J126"/>
      <c r="K126"/>
      <c r="L126" s="247"/>
      <c r="M126" s="247"/>
      <c r="N126" s="171"/>
      <c r="O126" s="171"/>
      <c r="P126" s="171"/>
      <c r="Q126" s="160"/>
      <c r="R126" s="160"/>
      <c r="S126" s="171"/>
      <c r="T126" s="171"/>
      <c r="Y126" s="171"/>
      <c r="Z126" s="171"/>
      <c r="AA126" s="171"/>
      <c r="AB126" s="171"/>
      <c r="AC126" s="171"/>
      <c r="AD126" s="171"/>
      <c r="AE126" s="171"/>
      <c r="AF126" s="171"/>
      <c r="AN126" s="171"/>
      <c r="AO126" s="171"/>
      <c r="AP126" s="171"/>
      <c r="AQ126" s="171"/>
      <c r="AR126" s="171"/>
      <c r="AS126" s="171"/>
      <c r="AT126" s="171"/>
      <c r="AU126" s="171"/>
      <c r="AX126" s="171"/>
      <c r="AY126" s="171"/>
      <c r="AZ126" s="171"/>
      <c r="BA126" s="171"/>
      <c r="BB126" s="171"/>
      <c r="BF126" s="171"/>
      <c r="BH126" s="171"/>
    </row>
    <row r="127" spans="1:102" x14ac:dyDescent="0.25">
      <c r="A127" s="182"/>
      <c r="B127" s="182"/>
      <c r="C127" s="171"/>
      <c r="D127" s="171"/>
      <c r="E127" s="160"/>
      <c r="F127" s="171"/>
      <c r="G127" s="171"/>
      <c r="H127" s="171"/>
      <c r="I127" s="171"/>
      <c r="J127"/>
      <c r="K127"/>
      <c r="L127" s="247"/>
      <c r="M127" s="247"/>
      <c r="N127" s="171"/>
      <c r="O127" s="171"/>
      <c r="P127" s="171"/>
      <c r="Q127" s="160"/>
      <c r="R127" s="160"/>
      <c r="S127" s="171"/>
      <c r="T127" s="171"/>
      <c r="Y127" s="171"/>
      <c r="Z127" s="171"/>
      <c r="AA127" s="171"/>
      <c r="AB127" s="171"/>
      <c r="AC127" s="171"/>
      <c r="AD127" s="171"/>
      <c r="AE127" s="171"/>
      <c r="AF127" s="171"/>
      <c r="AN127" s="171"/>
      <c r="AO127" s="171"/>
      <c r="AP127" s="171"/>
      <c r="AQ127" s="171"/>
      <c r="AR127" s="171"/>
      <c r="AS127" s="171"/>
      <c r="AT127" s="171"/>
      <c r="AU127" s="171"/>
      <c r="AX127" s="171"/>
      <c r="AY127" s="171"/>
      <c r="AZ127" s="171"/>
      <c r="BA127" s="171"/>
      <c r="BB127" s="171"/>
      <c r="BF127" s="171"/>
      <c r="BH127" s="171"/>
    </row>
    <row r="128" spans="1:102" x14ac:dyDescent="0.25">
      <c r="A128" s="182"/>
      <c r="B128" s="182"/>
      <c r="C128" s="171"/>
      <c r="D128" s="171"/>
      <c r="E128" s="160"/>
      <c r="F128" s="171"/>
      <c r="G128" s="171"/>
      <c r="H128" s="171"/>
      <c r="I128" s="171"/>
      <c r="J128" s="171"/>
      <c r="K128" s="171"/>
      <c r="L128" s="629"/>
      <c r="M128" s="629"/>
      <c r="N128" s="171"/>
      <c r="O128" s="171"/>
      <c r="P128" s="171"/>
      <c r="Q128" s="160"/>
      <c r="R128" s="160"/>
      <c r="S128" s="171"/>
      <c r="T128" s="171"/>
      <c r="Y128" s="171"/>
      <c r="Z128" s="171"/>
      <c r="AA128" s="171"/>
      <c r="AB128" s="171"/>
      <c r="AC128" s="171"/>
      <c r="AD128" s="171"/>
      <c r="AE128" s="171"/>
      <c r="AF128" s="171"/>
      <c r="AN128" s="171"/>
      <c r="AO128" s="171"/>
      <c r="AP128" s="171"/>
      <c r="AQ128" s="171"/>
      <c r="AR128" s="171"/>
      <c r="AS128" s="171"/>
      <c r="AT128" s="171"/>
      <c r="AU128" s="171"/>
      <c r="AX128" s="171"/>
      <c r="AY128" s="171"/>
      <c r="AZ128" s="171"/>
      <c r="BA128" s="171"/>
      <c r="BB128" s="171"/>
      <c r="BC128" s="171"/>
      <c r="BD128" s="171"/>
      <c r="BF128" s="171"/>
      <c r="BH128" s="171"/>
      <c r="BI128" s="168"/>
      <c r="BL128" s="168"/>
      <c r="BM128" s="168"/>
      <c r="BN128" s="168"/>
      <c r="BO128" s="168"/>
      <c r="BP128" s="168"/>
      <c r="BQ128" s="168"/>
      <c r="BR128" s="168"/>
      <c r="BS128" s="168"/>
      <c r="BT128" s="168"/>
      <c r="BU128" s="168"/>
      <c r="BV128" s="168"/>
      <c r="BW128" s="168"/>
      <c r="BX128" s="168"/>
      <c r="BY128" s="168"/>
      <c r="BZ128" s="168"/>
      <c r="CA128" s="168"/>
      <c r="CB128" s="168"/>
      <c r="CC128" s="168"/>
      <c r="CD128" s="168"/>
      <c r="CE128" s="168"/>
      <c r="CF128" s="168"/>
      <c r="CG128" s="168"/>
      <c r="CH128" s="168"/>
      <c r="CI128" s="168"/>
      <c r="CJ128" s="168"/>
      <c r="CK128" s="168"/>
      <c r="CL128" s="168"/>
      <c r="CM128" s="168"/>
      <c r="CN128" s="168"/>
      <c r="CO128" s="168"/>
      <c r="CP128" s="168"/>
      <c r="CR128" s="168"/>
      <c r="CS128" s="168"/>
      <c r="CT128" s="168"/>
      <c r="CU128" s="168"/>
      <c r="CV128" s="168"/>
      <c r="CW128" s="168"/>
      <c r="CX128" s="168"/>
    </row>
    <row r="129" spans="1:102" x14ac:dyDescent="0.25">
      <c r="A129" s="182"/>
      <c r="B129" s="182"/>
      <c r="C129" s="171"/>
      <c r="D129" s="171"/>
      <c r="E129" s="160"/>
      <c r="F129" s="171"/>
      <c r="G129" s="171"/>
      <c r="H129" s="171"/>
      <c r="I129" s="171"/>
      <c r="J129" s="171"/>
      <c r="K129" s="171"/>
      <c r="L129" s="629"/>
      <c r="M129" s="629"/>
      <c r="N129" s="171"/>
      <c r="O129" s="171"/>
      <c r="P129" s="171"/>
      <c r="Q129" s="160"/>
      <c r="R129" s="160"/>
      <c r="S129" s="171"/>
      <c r="T129" s="171"/>
      <c r="Y129" s="171"/>
      <c r="Z129" s="171"/>
      <c r="AA129" s="171"/>
      <c r="AB129" s="171"/>
      <c r="AC129" s="171"/>
      <c r="AD129" s="171"/>
      <c r="AE129" s="171"/>
      <c r="AF129" s="171"/>
      <c r="AN129" s="171"/>
      <c r="AO129" s="171"/>
      <c r="AP129" s="171"/>
      <c r="AQ129" s="171"/>
      <c r="AR129" s="171"/>
      <c r="AS129" s="171"/>
      <c r="AT129" s="171"/>
      <c r="AU129" s="171"/>
      <c r="AX129" s="171"/>
      <c r="AY129" s="171"/>
      <c r="AZ129" s="171"/>
      <c r="BA129" s="171"/>
      <c r="BB129" s="171"/>
      <c r="BC129" s="171"/>
      <c r="BD129" s="171"/>
      <c r="BF129" s="171"/>
      <c r="BH129" s="171"/>
      <c r="BI129" s="168"/>
      <c r="BL129" s="168"/>
      <c r="BM129" s="168"/>
      <c r="BN129" s="168"/>
      <c r="BO129" s="168"/>
      <c r="BP129" s="168"/>
      <c r="BQ129" s="168"/>
      <c r="BR129" s="168"/>
      <c r="BS129" s="168"/>
      <c r="BT129" s="168"/>
      <c r="BU129" s="168"/>
      <c r="BV129" s="168"/>
      <c r="BW129" s="168"/>
      <c r="BX129" s="168"/>
      <c r="BY129" s="168"/>
      <c r="BZ129" s="168"/>
      <c r="CA129" s="168"/>
      <c r="CB129" s="168"/>
      <c r="CC129" s="168"/>
      <c r="CD129" s="168"/>
      <c r="CE129" s="168"/>
      <c r="CF129" s="168"/>
      <c r="CG129" s="168"/>
      <c r="CH129" s="168"/>
      <c r="CI129" s="168"/>
      <c r="CJ129" s="168"/>
      <c r="CK129" s="168"/>
      <c r="CL129" s="168"/>
      <c r="CM129" s="168"/>
      <c r="CN129" s="168"/>
      <c r="CO129" s="168"/>
      <c r="CP129" s="168"/>
      <c r="CR129" s="168"/>
      <c r="CS129" s="168"/>
      <c r="CT129" s="168"/>
      <c r="CU129" s="168"/>
      <c r="CV129" s="168"/>
      <c r="CW129" s="168"/>
      <c r="CX129" s="168"/>
    </row>
    <row r="130" spans="1:102" x14ac:dyDescent="0.25">
      <c r="A130" s="182"/>
      <c r="B130" s="182"/>
      <c r="C130" s="171"/>
      <c r="D130" s="171"/>
      <c r="E130" s="160"/>
      <c r="F130" s="171"/>
      <c r="G130" s="171"/>
      <c r="H130" s="171"/>
      <c r="I130" s="171"/>
      <c r="J130"/>
      <c r="K130"/>
      <c r="L130" s="247"/>
      <c r="M130" s="247"/>
      <c r="N130" s="171"/>
      <c r="O130" s="171"/>
      <c r="P130" s="171"/>
      <c r="Q130" s="160"/>
      <c r="R130" s="160"/>
      <c r="S130" s="171"/>
      <c r="T130" s="171"/>
      <c r="Y130" s="171"/>
      <c r="Z130" s="171"/>
      <c r="AA130" s="171"/>
      <c r="AB130" s="171"/>
      <c r="AC130" s="171"/>
      <c r="AD130" s="171"/>
      <c r="AE130" s="171"/>
      <c r="AF130" s="171"/>
      <c r="AN130" s="171"/>
      <c r="AO130" s="171"/>
      <c r="AP130" s="171"/>
      <c r="AQ130" s="171"/>
      <c r="AR130" s="171"/>
      <c r="AS130" s="171"/>
      <c r="AT130" s="171"/>
      <c r="AU130" s="171"/>
      <c r="AX130" s="171"/>
      <c r="AY130" s="171"/>
      <c r="AZ130" s="171"/>
      <c r="BA130" s="171"/>
      <c r="BB130" s="171"/>
      <c r="BF130" s="171"/>
      <c r="BH130" s="171"/>
    </row>
    <row r="131" spans="1:102" x14ac:dyDescent="0.25">
      <c r="A131" s="182"/>
      <c r="B131" s="182"/>
      <c r="C131" s="171"/>
      <c r="D131" s="171"/>
      <c r="E131" s="160"/>
      <c r="F131" s="171"/>
      <c r="G131" s="171"/>
      <c r="H131" s="171"/>
      <c r="I131" s="171"/>
      <c r="J131"/>
      <c r="K131"/>
      <c r="L131" s="247"/>
      <c r="M131" s="247"/>
      <c r="N131" s="171"/>
      <c r="O131" s="171"/>
      <c r="P131" s="171"/>
      <c r="Q131" s="160"/>
      <c r="R131" s="160"/>
      <c r="S131" s="171"/>
      <c r="T131" s="171"/>
      <c r="Y131" s="171"/>
      <c r="Z131" s="171"/>
      <c r="AA131" s="171"/>
      <c r="AB131" s="171"/>
      <c r="AC131" s="171"/>
      <c r="AD131" s="171"/>
      <c r="AE131" s="171"/>
      <c r="AF131" s="171"/>
      <c r="AN131" s="171"/>
      <c r="AO131" s="171"/>
      <c r="AP131" s="171"/>
      <c r="AQ131" s="171"/>
      <c r="AR131" s="171"/>
      <c r="AS131" s="171"/>
      <c r="AT131" s="171"/>
      <c r="AU131" s="171"/>
      <c r="AX131" s="171"/>
      <c r="AY131" s="171"/>
      <c r="AZ131" s="171"/>
      <c r="BA131" s="171"/>
      <c r="BB131" s="171"/>
      <c r="BF131" s="171"/>
      <c r="BH131" s="171"/>
    </row>
    <row r="132" spans="1:102" x14ac:dyDescent="0.25">
      <c r="A132" s="182"/>
      <c r="B132" s="182"/>
      <c r="C132" s="171"/>
      <c r="D132" s="171"/>
      <c r="E132" s="160"/>
      <c r="F132" s="171"/>
      <c r="G132" s="171"/>
      <c r="H132" s="171"/>
      <c r="I132" s="171"/>
      <c r="J132" s="171"/>
      <c r="K132" s="171"/>
      <c r="L132" s="629"/>
      <c r="M132" s="629"/>
      <c r="N132" s="171"/>
      <c r="O132" s="171"/>
      <c r="P132" s="171"/>
      <c r="Q132" s="160"/>
      <c r="R132" s="160"/>
      <c r="S132" s="171"/>
      <c r="T132" s="171"/>
      <c r="Y132" s="171"/>
      <c r="Z132" s="171"/>
      <c r="AA132" s="171"/>
      <c r="AB132" s="171"/>
      <c r="AC132" s="171"/>
      <c r="AD132" s="171"/>
      <c r="AE132" s="171"/>
      <c r="AF132" s="171"/>
      <c r="AN132" s="171"/>
      <c r="AO132" s="171"/>
      <c r="AP132" s="171"/>
      <c r="AQ132" s="171"/>
      <c r="AR132" s="171"/>
      <c r="AS132" s="171"/>
      <c r="AT132" s="171"/>
      <c r="AU132" s="171"/>
      <c r="AX132" s="171"/>
      <c r="AY132" s="171"/>
      <c r="AZ132" s="171"/>
      <c r="BA132" s="171"/>
      <c r="BB132" s="171"/>
      <c r="BC132" s="171"/>
      <c r="BD132" s="171"/>
      <c r="BF132" s="171"/>
      <c r="BH132" s="171"/>
      <c r="BI132" s="168"/>
      <c r="BJ132" s="168"/>
      <c r="BL132" s="168"/>
      <c r="BM132" s="168"/>
      <c r="BN132" s="168"/>
      <c r="BO132" s="168"/>
      <c r="BP132" s="168"/>
      <c r="BQ132" s="168"/>
      <c r="BR132" s="168"/>
      <c r="BS132" s="168"/>
      <c r="BT132" s="168"/>
      <c r="BU132" s="168"/>
      <c r="BV132" s="168"/>
      <c r="BW132" s="168"/>
      <c r="BX132" s="168"/>
      <c r="BY132" s="168"/>
      <c r="BZ132" s="168"/>
      <c r="CA132" s="168"/>
      <c r="CB132" s="168"/>
      <c r="CC132" s="168"/>
      <c r="CD132" s="168"/>
      <c r="CE132" s="168"/>
      <c r="CF132" s="168"/>
      <c r="CG132" s="168"/>
      <c r="CH132" s="168"/>
      <c r="CI132" s="168"/>
      <c r="CJ132" s="168"/>
      <c r="CK132" s="168"/>
      <c r="CL132" s="168"/>
      <c r="CM132" s="168"/>
      <c r="CN132" s="168"/>
      <c r="CO132" s="168"/>
      <c r="CP132" s="168"/>
      <c r="CQ132" s="168"/>
      <c r="CR132" s="168"/>
      <c r="CS132" s="168"/>
      <c r="CT132" s="168"/>
      <c r="CU132" s="168"/>
      <c r="CV132" s="168"/>
      <c r="CW132" s="168"/>
      <c r="CX132" s="168"/>
    </row>
    <row r="133" spans="1:102" x14ac:dyDescent="0.25">
      <c r="A133" s="182"/>
      <c r="B133" s="182"/>
      <c r="C133" s="171"/>
      <c r="D133" s="171"/>
      <c r="E133" s="160"/>
      <c r="F133" s="171"/>
      <c r="G133" s="171"/>
      <c r="H133" s="171"/>
      <c r="I133" s="171"/>
      <c r="J133" s="171"/>
      <c r="K133" s="171"/>
      <c r="L133" s="629"/>
      <c r="M133" s="629"/>
      <c r="N133" s="171"/>
      <c r="O133" s="171"/>
      <c r="P133" s="171"/>
      <c r="Q133" s="160"/>
      <c r="R133" s="160"/>
      <c r="S133" s="171"/>
      <c r="T133" s="171"/>
      <c r="Y133" s="171"/>
      <c r="Z133" s="171"/>
      <c r="AA133" s="171"/>
      <c r="AB133" s="171"/>
      <c r="AC133" s="171"/>
      <c r="AD133" s="171"/>
      <c r="AE133" s="171"/>
      <c r="AF133" s="171"/>
      <c r="AN133" s="171"/>
      <c r="AO133" s="171"/>
      <c r="AP133" s="171"/>
      <c r="AQ133" s="171"/>
      <c r="AR133" s="171"/>
      <c r="AS133" s="171"/>
      <c r="AT133" s="171"/>
      <c r="AU133" s="171"/>
      <c r="AX133" s="171"/>
      <c r="AY133" s="171"/>
      <c r="AZ133" s="171"/>
      <c r="BA133" s="171"/>
      <c r="BB133" s="171"/>
      <c r="BC133" s="171"/>
      <c r="BD133" s="171"/>
      <c r="BF133" s="171"/>
      <c r="BH133" s="171"/>
      <c r="BI133" s="168"/>
      <c r="BL133" s="168"/>
      <c r="BM133" s="168"/>
      <c r="BN133" s="168"/>
      <c r="BO133" s="168"/>
      <c r="BP133" s="168"/>
      <c r="BQ133" s="168"/>
      <c r="BR133" s="168"/>
      <c r="BS133" s="168"/>
      <c r="BT133" s="168"/>
      <c r="BU133" s="168"/>
      <c r="BV133" s="168"/>
      <c r="BW133" s="168"/>
      <c r="BX133" s="168"/>
      <c r="BY133" s="168"/>
      <c r="BZ133" s="168"/>
      <c r="CA133" s="168"/>
      <c r="CB133" s="168"/>
      <c r="CC133" s="168"/>
      <c r="CD133" s="168"/>
      <c r="CE133" s="168"/>
      <c r="CF133" s="168"/>
      <c r="CG133" s="168"/>
      <c r="CH133" s="168"/>
      <c r="CI133" s="168"/>
      <c r="CJ133" s="168"/>
      <c r="CK133" s="168"/>
      <c r="CL133" s="168"/>
      <c r="CM133" s="168"/>
      <c r="CN133" s="168"/>
      <c r="CO133" s="168"/>
      <c r="CP133" s="168"/>
      <c r="CQ133" s="168"/>
      <c r="CR133" s="168"/>
      <c r="CS133" s="168"/>
      <c r="CT133" s="168"/>
      <c r="CU133" s="168"/>
      <c r="CV133" s="168"/>
      <c r="CW133" s="168"/>
      <c r="CX133" s="168"/>
    </row>
    <row r="134" spans="1:102" x14ac:dyDescent="0.25">
      <c r="A134" s="182"/>
      <c r="B134" s="182"/>
      <c r="C134" s="171"/>
      <c r="D134" s="171"/>
      <c r="E134" s="160"/>
      <c r="F134" s="171"/>
      <c r="G134" s="171"/>
      <c r="H134" s="171"/>
      <c r="I134" s="171"/>
      <c r="J134"/>
      <c r="K134"/>
      <c r="L134" s="247"/>
      <c r="M134" s="247"/>
      <c r="N134" s="171"/>
      <c r="O134" s="171"/>
      <c r="P134" s="171"/>
      <c r="Q134" s="160"/>
      <c r="R134" s="160"/>
      <c r="S134" s="171"/>
      <c r="T134" s="171"/>
      <c r="Y134" s="171"/>
      <c r="Z134" s="171"/>
      <c r="AA134" s="171"/>
      <c r="AB134" s="171"/>
      <c r="AC134" s="171"/>
      <c r="AD134" s="171"/>
      <c r="AE134" s="171"/>
      <c r="AF134" s="171"/>
      <c r="AN134" s="171"/>
      <c r="AO134" s="171"/>
      <c r="AP134" s="171"/>
      <c r="AQ134" s="171"/>
      <c r="AR134" s="171"/>
      <c r="AS134" s="171"/>
      <c r="AT134" s="171"/>
      <c r="AU134" s="171"/>
      <c r="AX134" s="171"/>
      <c r="AY134" s="171"/>
      <c r="AZ134" s="171"/>
      <c r="BA134" s="171"/>
      <c r="BB134" s="171"/>
      <c r="BF134" s="171"/>
      <c r="BH134" s="171"/>
    </row>
    <row r="135" spans="1:102" x14ac:dyDescent="0.25">
      <c r="A135" s="182"/>
      <c r="B135" s="182"/>
      <c r="C135" s="171"/>
      <c r="D135" s="171"/>
      <c r="E135" s="160"/>
      <c r="F135" s="171"/>
      <c r="G135" s="171"/>
      <c r="H135" s="171"/>
      <c r="I135" s="171"/>
      <c r="J135" s="171"/>
      <c r="K135" s="171"/>
      <c r="L135" s="629"/>
      <c r="M135" s="629"/>
      <c r="N135" s="171"/>
      <c r="O135" s="171"/>
      <c r="P135" s="171"/>
      <c r="Q135" s="160"/>
      <c r="R135" s="160"/>
      <c r="S135" s="171"/>
      <c r="T135" s="171"/>
      <c r="Y135" s="171"/>
      <c r="Z135" s="171"/>
      <c r="AA135" s="171"/>
      <c r="AB135" s="171"/>
      <c r="AC135" s="171"/>
      <c r="AD135" s="171"/>
      <c r="AE135" s="171"/>
      <c r="AF135" s="171"/>
      <c r="AN135" s="171"/>
      <c r="AO135" s="171"/>
      <c r="AP135" s="171"/>
      <c r="AQ135" s="171"/>
      <c r="AR135" s="171"/>
      <c r="AS135" s="171"/>
      <c r="AT135" s="171"/>
      <c r="AU135" s="171"/>
      <c r="AX135" s="171"/>
      <c r="AY135" s="171"/>
      <c r="AZ135" s="171"/>
      <c r="BA135" s="171"/>
      <c r="BB135" s="171"/>
      <c r="BC135" s="171"/>
      <c r="BD135" s="171"/>
      <c r="BF135" s="171"/>
      <c r="BH135" s="171"/>
      <c r="BI135" s="168"/>
      <c r="BL135" s="168"/>
      <c r="BM135" s="168"/>
      <c r="BN135" s="168"/>
      <c r="BO135" s="168"/>
      <c r="BP135" s="168"/>
      <c r="BQ135" s="168"/>
      <c r="BR135" s="168"/>
      <c r="BS135" s="168"/>
      <c r="BT135" s="168"/>
      <c r="BU135" s="168"/>
      <c r="BV135" s="168"/>
      <c r="BW135" s="168"/>
      <c r="BX135" s="168"/>
      <c r="BY135" s="168"/>
      <c r="BZ135" s="168"/>
      <c r="CA135" s="168"/>
      <c r="CB135" s="168"/>
      <c r="CC135" s="168"/>
      <c r="CD135" s="168"/>
      <c r="CE135" s="168"/>
      <c r="CF135" s="168"/>
      <c r="CG135" s="168"/>
      <c r="CH135" s="168"/>
      <c r="CI135" s="168"/>
      <c r="CJ135" s="168"/>
      <c r="CK135" s="168"/>
      <c r="CL135" s="168"/>
      <c r="CM135" s="168"/>
      <c r="CN135" s="168"/>
      <c r="CO135" s="168"/>
      <c r="CP135" s="168"/>
      <c r="CQ135" s="168"/>
      <c r="CR135" s="168"/>
      <c r="CS135" s="168"/>
      <c r="CT135" s="168"/>
      <c r="CU135" s="168"/>
      <c r="CV135" s="168"/>
      <c r="CW135" s="168"/>
      <c r="CX135" s="168"/>
    </row>
    <row r="136" spans="1:102" x14ac:dyDescent="0.25">
      <c r="A136" s="182"/>
      <c r="B136" s="182"/>
      <c r="C136" s="171"/>
      <c r="D136" s="171"/>
      <c r="E136" s="160"/>
      <c r="F136" s="171"/>
      <c r="G136" s="171"/>
      <c r="H136" s="171"/>
      <c r="I136" s="171"/>
      <c r="J136"/>
      <c r="K136"/>
      <c r="L136" s="247"/>
      <c r="M136" s="247"/>
      <c r="N136" s="171"/>
      <c r="O136" s="171"/>
      <c r="P136" s="171"/>
      <c r="Q136" s="160"/>
      <c r="R136" s="160"/>
      <c r="S136" s="171"/>
      <c r="T136" s="171"/>
      <c r="Y136" s="171"/>
      <c r="Z136" s="171"/>
      <c r="AA136" s="171"/>
      <c r="AB136" s="171"/>
      <c r="AC136" s="171"/>
      <c r="AD136" s="171"/>
      <c r="AE136" s="171"/>
      <c r="AF136" s="171"/>
      <c r="AN136" s="171"/>
      <c r="AO136" s="171"/>
      <c r="AP136" s="171"/>
      <c r="AQ136" s="171"/>
      <c r="AR136" s="171"/>
      <c r="AS136" s="171"/>
      <c r="AT136" s="171"/>
      <c r="AU136" s="171"/>
      <c r="AX136" s="171"/>
      <c r="AY136" s="171"/>
      <c r="AZ136" s="171"/>
      <c r="BA136" s="171"/>
      <c r="BB136" s="171"/>
      <c r="BF136" s="171"/>
      <c r="BH136" s="171"/>
    </row>
    <row r="137" spans="1:102" x14ac:dyDescent="0.25">
      <c r="A137" s="182"/>
      <c r="B137" s="182"/>
      <c r="C137" s="171"/>
      <c r="D137" s="171"/>
      <c r="E137" s="160"/>
      <c r="F137" s="171"/>
      <c r="G137" s="171"/>
      <c r="H137" s="171"/>
      <c r="I137" s="171"/>
      <c r="J137"/>
      <c r="K137"/>
      <c r="L137" s="247"/>
      <c r="M137" s="247"/>
      <c r="N137" s="171"/>
      <c r="O137" s="171"/>
      <c r="P137" s="171"/>
      <c r="Q137" s="160"/>
      <c r="R137" s="160"/>
      <c r="S137" s="171"/>
      <c r="T137" s="171"/>
      <c r="Y137" s="171"/>
      <c r="Z137" s="171"/>
      <c r="AA137" s="171"/>
      <c r="AB137" s="171"/>
      <c r="AC137" s="171"/>
      <c r="AD137" s="171"/>
      <c r="AE137" s="171"/>
      <c r="AF137" s="171"/>
      <c r="AN137" s="171"/>
      <c r="AO137" s="171"/>
      <c r="AP137" s="171"/>
      <c r="AQ137" s="171"/>
      <c r="AR137" s="171"/>
      <c r="AS137" s="171"/>
      <c r="AT137" s="171"/>
      <c r="AU137" s="171"/>
      <c r="AX137" s="171"/>
      <c r="AY137" s="171"/>
      <c r="AZ137" s="171"/>
      <c r="BA137" s="171"/>
      <c r="BB137" s="171"/>
      <c r="BF137" s="171"/>
      <c r="BH137" s="171"/>
    </row>
    <row r="138" spans="1:102" x14ac:dyDescent="0.25">
      <c r="A138" s="182"/>
      <c r="B138" s="182"/>
      <c r="C138" s="171"/>
      <c r="D138" s="171"/>
      <c r="E138" s="160"/>
      <c r="F138" s="171"/>
      <c r="G138" s="171"/>
      <c r="H138" s="171"/>
      <c r="I138" s="171"/>
      <c r="J138"/>
      <c r="K138"/>
      <c r="L138" s="247"/>
      <c r="M138" s="247"/>
      <c r="N138" s="171"/>
      <c r="O138" s="171"/>
      <c r="P138" s="171"/>
      <c r="Q138" s="160"/>
      <c r="R138" s="160"/>
      <c r="S138" s="171"/>
      <c r="T138" s="171"/>
      <c r="Y138" s="171"/>
      <c r="Z138" s="171"/>
      <c r="AA138" s="171"/>
      <c r="AB138" s="171"/>
      <c r="AC138" s="171"/>
      <c r="AD138" s="171"/>
      <c r="AE138" s="171"/>
      <c r="AF138" s="171"/>
      <c r="AN138" s="171"/>
      <c r="AO138" s="171"/>
      <c r="AP138" s="171"/>
      <c r="AQ138" s="171"/>
      <c r="AR138" s="171"/>
      <c r="AS138" s="171"/>
      <c r="AT138" s="171"/>
      <c r="AU138" s="171"/>
      <c r="AX138" s="171"/>
      <c r="AY138" s="171"/>
      <c r="AZ138" s="171"/>
      <c r="BA138" s="171"/>
      <c r="BB138" s="171"/>
      <c r="BF138" s="171"/>
      <c r="BH138" s="171"/>
    </row>
    <row r="139" spans="1:102" x14ac:dyDescent="0.25">
      <c r="A139" s="182"/>
      <c r="B139" s="182"/>
      <c r="C139" s="171"/>
      <c r="D139" s="171"/>
      <c r="E139" s="160"/>
      <c r="F139" s="171"/>
      <c r="G139" s="171"/>
      <c r="H139" s="171"/>
      <c r="I139" s="171"/>
      <c r="J139"/>
      <c r="K139"/>
      <c r="L139" s="247"/>
      <c r="M139" s="247"/>
      <c r="N139" s="171"/>
      <c r="O139" s="171"/>
      <c r="P139" s="171"/>
      <c r="Q139" s="160"/>
      <c r="R139" s="160"/>
      <c r="S139" s="171"/>
      <c r="T139" s="171"/>
      <c r="Y139" s="171"/>
      <c r="Z139" s="171"/>
      <c r="AA139" s="171"/>
      <c r="AB139" s="171"/>
      <c r="AC139" s="171"/>
      <c r="AD139" s="171"/>
      <c r="AE139" s="171"/>
      <c r="AF139" s="171"/>
      <c r="AN139" s="171"/>
      <c r="AO139" s="171"/>
      <c r="AP139" s="171"/>
      <c r="AQ139" s="171"/>
      <c r="AR139" s="171"/>
      <c r="AS139" s="171"/>
      <c r="AT139" s="171"/>
      <c r="AU139" s="171"/>
      <c r="AX139" s="171"/>
      <c r="AY139" s="171"/>
      <c r="AZ139" s="171"/>
      <c r="BA139" s="171"/>
      <c r="BB139" s="171"/>
      <c r="BF139" s="171"/>
      <c r="BH139" s="171"/>
    </row>
    <row r="140" spans="1:102" x14ac:dyDescent="0.25">
      <c r="A140" s="182"/>
      <c r="B140" s="182"/>
      <c r="C140" s="171"/>
      <c r="D140" s="171"/>
      <c r="E140" s="160"/>
      <c r="F140" s="171"/>
      <c r="G140" s="171"/>
      <c r="H140" s="171"/>
      <c r="I140" s="171"/>
      <c r="J140" s="171"/>
      <c r="K140" s="171"/>
      <c r="L140" s="629"/>
      <c r="M140" s="629"/>
      <c r="N140" s="171"/>
      <c r="O140" s="171"/>
      <c r="P140" s="171"/>
      <c r="Q140" s="160"/>
      <c r="R140" s="160"/>
      <c r="S140" s="171"/>
      <c r="T140" s="171"/>
      <c r="Y140" s="171"/>
      <c r="Z140" s="171"/>
      <c r="AA140" s="171"/>
      <c r="AB140" s="171"/>
      <c r="AC140" s="171"/>
      <c r="AD140" s="171"/>
      <c r="AE140" s="171"/>
      <c r="AF140" s="171"/>
      <c r="AN140" s="171"/>
      <c r="AO140" s="171"/>
      <c r="AP140" s="171"/>
      <c r="AQ140" s="171"/>
      <c r="AR140" s="171"/>
      <c r="AS140" s="171"/>
      <c r="AT140" s="171"/>
      <c r="AU140" s="171"/>
      <c r="AX140" s="171"/>
      <c r="AY140" s="171"/>
      <c r="AZ140" s="171"/>
      <c r="BA140" s="171"/>
      <c r="BB140" s="171"/>
      <c r="BC140" s="171"/>
      <c r="BD140" s="171"/>
      <c r="BF140" s="171"/>
      <c r="BH140" s="171"/>
      <c r="BI140" s="168"/>
      <c r="BL140" s="168"/>
      <c r="BM140" s="168"/>
      <c r="BN140" s="168"/>
      <c r="BO140" s="168"/>
      <c r="BP140" s="168"/>
      <c r="BQ140" s="168"/>
      <c r="BR140" s="168"/>
      <c r="BS140" s="168"/>
      <c r="BT140" s="168"/>
      <c r="BU140" s="168"/>
      <c r="BV140" s="168"/>
      <c r="BW140" s="168"/>
      <c r="BX140" s="168"/>
      <c r="BY140" s="168"/>
      <c r="BZ140" s="168"/>
      <c r="CA140" s="168"/>
      <c r="CB140" s="168"/>
      <c r="CC140" s="168"/>
      <c r="CD140" s="168"/>
      <c r="CE140" s="168"/>
      <c r="CF140" s="168"/>
      <c r="CG140" s="168"/>
      <c r="CH140" s="168"/>
      <c r="CI140" s="168"/>
      <c r="CJ140" s="168"/>
      <c r="CK140" s="168"/>
      <c r="CL140" s="168"/>
      <c r="CM140" s="168"/>
      <c r="CN140" s="168"/>
      <c r="CO140" s="168"/>
      <c r="CP140" s="168"/>
      <c r="CQ140" s="168"/>
      <c r="CR140" s="168"/>
      <c r="CS140" s="168"/>
      <c r="CT140" s="168"/>
      <c r="CU140" s="168"/>
      <c r="CV140" s="168"/>
      <c r="CW140" s="168"/>
      <c r="CX140" s="168"/>
    </row>
    <row r="141" spans="1:102" x14ac:dyDescent="0.25">
      <c r="A141" s="182"/>
      <c r="B141" s="182"/>
      <c r="C141" s="171"/>
      <c r="D141" s="171"/>
      <c r="E141" s="160"/>
      <c r="F141" s="171"/>
      <c r="G141" s="171"/>
      <c r="H141" s="171"/>
      <c r="I141" s="171"/>
      <c r="J141" s="171"/>
      <c r="K141" s="171"/>
      <c r="L141" s="629"/>
      <c r="M141" s="629"/>
      <c r="N141" s="171"/>
      <c r="O141" s="171"/>
      <c r="P141" s="171"/>
      <c r="Q141" s="160"/>
      <c r="R141" s="160"/>
      <c r="S141" s="171"/>
      <c r="T141" s="171"/>
      <c r="Y141" s="171"/>
      <c r="Z141" s="171"/>
      <c r="AA141" s="171"/>
      <c r="AB141" s="171"/>
      <c r="AC141" s="171"/>
      <c r="AD141" s="171"/>
      <c r="AE141" s="171"/>
      <c r="AF141" s="171"/>
      <c r="AN141" s="171"/>
      <c r="AO141" s="171"/>
      <c r="AP141" s="171"/>
      <c r="AQ141" s="171"/>
      <c r="AR141" s="171"/>
      <c r="AS141" s="171"/>
      <c r="AT141" s="171"/>
      <c r="AU141" s="171"/>
      <c r="AX141" s="171"/>
      <c r="AY141" s="171"/>
      <c r="AZ141" s="171"/>
      <c r="BA141" s="171"/>
      <c r="BB141" s="171"/>
      <c r="BC141" s="171"/>
      <c r="BD141" s="171"/>
      <c r="BF141" s="171"/>
      <c r="BH141" s="171"/>
      <c r="BI141" s="168"/>
      <c r="BL141" s="168"/>
      <c r="BM141" s="168"/>
      <c r="BN141" s="168"/>
      <c r="BO141" s="168"/>
      <c r="BP141" s="168"/>
      <c r="BQ141" s="168"/>
      <c r="BR141" s="168"/>
      <c r="BS141" s="168"/>
      <c r="BT141" s="168"/>
      <c r="BU141" s="168"/>
      <c r="BV141" s="168"/>
      <c r="BW141" s="168"/>
      <c r="BX141" s="168"/>
      <c r="BY141" s="168"/>
      <c r="BZ141" s="168"/>
      <c r="CA141" s="168"/>
      <c r="CB141" s="168"/>
      <c r="CC141" s="168"/>
      <c r="CD141" s="168"/>
      <c r="CE141" s="168"/>
      <c r="CF141" s="168"/>
      <c r="CG141" s="168"/>
      <c r="CH141" s="168"/>
      <c r="CI141" s="168"/>
      <c r="CJ141" s="168"/>
      <c r="CK141" s="168"/>
      <c r="CL141" s="168"/>
      <c r="CM141" s="168"/>
      <c r="CN141" s="168"/>
      <c r="CO141" s="168"/>
      <c r="CP141" s="168"/>
      <c r="CQ141" s="168"/>
      <c r="CR141" s="168"/>
      <c r="CS141" s="168"/>
      <c r="CT141" s="168"/>
      <c r="CU141" s="168"/>
      <c r="CV141" s="168"/>
      <c r="CW141" s="168"/>
      <c r="CX141" s="168"/>
    </row>
    <row r="142" spans="1:102" x14ac:dyDescent="0.25">
      <c r="A142" s="182"/>
      <c r="B142" s="182"/>
      <c r="C142" s="171"/>
      <c r="D142" s="171"/>
      <c r="E142" s="160"/>
      <c r="F142" s="171"/>
      <c r="G142" s="171"/>
      <c r="H142" s="171"/>
      <c r="I142" s="171"/>
      <c r="J142"/>
      <c r="K142"/>
      <c r="L142" s="247"/>
      <c r="M142" s="247"/>
      <c r="N142" s="171"/>
      <c r="O142" s="171"/>
      <c r="P142" s="171"/>
      <c r="Q142" s="160"/>
      <c r="R142" s="160"/>
      <c r="S142" s="171"/>
      <c r="T142" s="171"/>
      <c r="Y142" s="171"/>
      <c r="Z142" s="171"/>
      <c r="AA142" s="171"/>
      <c r="AB142" s="171"/>
      <c r="AC142" s="171"/>
      <c r="AD142" s="171"/>
      <c r="AE142" s="171"/>
      <c r="AF142" s="171"/>
      <c r="AN142" s="171"/>
      <c r="AO142" s="171"/>
      <c r="AP142" s="171"/>
      <c r="AQ142" s="171"/>
      <c r="AR142" s="171"/>
      <c r="AS142" s="171"/>
      <c r="AT142" s="171"/>
      <c r="AU142" s="171"/>
      <c r="AX142" s="171"/>
      <c r="AY142" s="171"/>
      <c r="AZ142" s="171"/>
      <c r="BA142" s="171"/>
      <c r="BB142" s="171"/>
      <c r="BF142" s="171"/>
      <c r="BH142" s="171"/>
    </row>
    <row r="143" spans="1:102" x14ac:dyDescent="0.25">
      <c r="A143" s="182"/>
      <c r="B143" s="182"/>
      <c r="C143" s="171"/>
      <c r="D143" s="171"/>
      <c r="E143" s="160"/>
      <c r="F143" s="171"/>
      <c r="G143" s="171"/>
      <c r="H143" s="171"/>
      <c r="I143" s="171"/>
      <c r="J143"/>
      <c r="K143"/>
      <c r="L143" s="247"/>
      <c r="M143" s="247"/>
      <c r="N143" s="171"/>
      <c r="O143" s="171"/>
      <c r="P143" s="171"/>
      <c r="Q143" s="160"/>
      <c r="R143" s="160"/>
      <c r="S143" s="171"/>
      <c r="T143" s="171"/>
      <c r="Y143" s="171"/>
      <c r="Z143" s="171"/>
      <c r="AA143" s="171"/>
      <c r="AB143" s="171"/>
      <c r="AC143" s="171"/>
      <c r="AD143" s="171"/>
      <c r="AE143" s="171"/>
      <c r="AF143" s="171"/>
      <c r="AN143" s="171"/>
      <c r="AO143" s="171"/>
      <c r="AP143" s="171"/>
      <c r="AQ143" s="171"/>
      <c r="AR143" s="171"/>
      <c r="AS143" s="171"/>
      <c r="AT143" s="171"/>
      <c r="AU143" s="171"/>
      <c r="AX143" s="171"/>
      <c r="AY143" s="171"/>
      <c r="AZ143" s="171"/>
      <c r="BA143" s="171"/>
      <c r="BB143" s="171"/>
      <c r="BF143" s="171"/>
      <c r="BH143" s="171"/>
    </row>
    <row r="144" spans="1:102" x14ac:dyDescent="0.25">
      <c r="A144" s="182"/>
      <c r="B144" s="182"/>
      <c r="C144" s="171"/>
      <c r="D144" s="171"/>
      <c r="E144" s="160"/>
      <c r="F144" s="171"/>
      <c r="G144" s="171"/>
      <c r="H144" s="171"/>
      <c r="I144" s="171"/>
      <c r="J144" s="171"/>
      <c r="K144" s="171"/>
      <c r="L144" s="629"/>
      <c r="M144" s="629"/>
      <c r="N144" s="171"/>
      <c r="O144" s="171"/>
      <c r="P144" s="171"/>
      <c r="Q144" s="160"/>
      <c r="R144" s="160"/>
      <c r="S144" s="171"/>
      <c r="T144" s="171"/>
      <c r="Y144" s="171"/>
      <c r="Z144" s="171"/>
      <c r="AA144" s="171"/>
      <c r="AB144" s="171"/>
      <c r="AC144" s="171"/>
      <c r="AD144" s="171"/>
      <c r="AE144" s="171"/>
      <c r="AF144" s="171"/>
      <c r="AN144" s="171"/>
      <c r="AO144" s="171"/>
      <c r="AP144" s="171"/>
      <c r="AQ144" s="171"/>
      <c r="AR144" s="171"/>
      <c r="AS144" s="171"/>
      <c r="AT144" s="171"/>
      <c r="AU144" s="171"/>
      <c r="AX144" s="171"/>
      <c r="AY144" s="171"/>
      <c r="AZ144" s="171"/>
      <c r="BA144" s="171"/>
      <c r="BB144" s="171"/>
      <c r="BC144" s="171"/>
      <c r="BD144" s="171"/>
      <c r="BF144" s="171"/>
      <c r="BH144" s="171"/>
      <c r="BI144" s="168"/>
      <c r="BL144" s="168"/>
      <c r="BM144" s="168"/>
      <c r="BN144" s="168"/>
      <c r="BO144" s="168"/>
      <c r="BP144" s="168"/>
      <c r="BQ144" s="168"/>
      <c r="BR144" s="168"/>
      <c r="BS144" s="168"/>
      <c r="BT144" s="168"/>
      <c r="BU144" s="168"/>
      <c r="BV144" s="168"/>
      <c r="BW144" s="168"/>
      <c r="BX144" s="168"/>
      <c r="BY144" s="168"/>
      <c r="BZ144" s="168"/>
      <c r="CA144" s="168"/>
      <c r="CB144" s="168"/>
      <c r="CC144" s="168"/>
      <c r="CD144" s="168"/>
      <c r="CE144" s="168"/>
      <c r="CF144" s="168"/>
      <c r="CG144" s="168"/>
      <c r="CH144" s="168"/>
      <c r="CI144" s="168"/>
      <c r="CJ144" s="168"/>
      <c r="CK144" s="168"/>
      <c r="CL144" s="168"/>
      <c r="CM144" s="168"/>
      <c r="CN144" s="168"/>
      <c r="CO144" s="168"/>
      <c r="CP144" s="168"/>
      <c r="CQ144" s="168"/>
      <c r="CR144" s="168"/>
      <c r="CS144" s="168"/>
      <c r="CT144" s="168"/>
      <c r="CU144" s="168"/>
      <c r="CV144" s="168"/>
      <c r="CW144" s="168"/>
      <c r="CX144" s="168"/>
    </row>
    <row r="145" spans="1:102" x14ac:dyDescent="0.25">
      <c r="A145" s="182"/>
      <c r="B145" s="182"/>
      <c r="C145" s="171"/>
      <c r="D145" s="171"/>
      <c r="E145" s="160"/>
      <c r="F145" s="171"/>
      <c r="G145" s="171"/>
      <c r="H145" s="171"/>
      <c r="I145" s="171"/>
      <c r="J145"/>
      <c r="K145"/>
      <c r="L145" s="247"/>
      <c r="M145" s="247"/>
      <c r="N145" s="171"/>
      <c r="O145" s="171"/>
      <c r="P145" s="171"/>
      <c r="Q145" s="160"/>
      <c r="R145" s="160"/>
      <c r="S145" s="171"/>
      <c r="T145" s="171"/>
      <c r="Y145" s="171"/>
      <c r="Z145" s="171"/>
      <c r="AA145" s="171"/>
      <c r="AB145" s="171"/>
      <c r="AC145" s="171"/>
      <c r="AD145" s="171"/>
      <c r="AE145" s="171"/>
      <c r="AF145" s="171"/>
      <c r="AN145" s="171"/>
      <c r="AO145" s="171"/>
      <c r="AP145" s="171"/>
      <c r="AQ145" s="171"/>
      <c r="AR145" s="171"/>
      <c r="AS145" s="171"/>
      <c r="AT145" s="171"/>
      <c r="AU145" s="171"/>
      <c r="AX145" s="171"/>
      <c r="AY145" s="171"/>
      <c r="AZ145" s="171"/>
      <c r="BA145" s="171"/>
      <c r="BB145" s="171"/>
      <c r="BF145" s="171"/>
      <c r="BH145" s="171"/>
    </row>
    <row r="146" spans="1:102" x14ac:dyDescent="0.25">
      <c r="A146" s="182"/>
      <c r="B146" s="182"/>
      <c r="C146" s="171"/>
      <c r="D146" s="171"/>
      <c r="E146" s="160"/>
      <c r="F146" s="171"/>
      <c r="G146" s="171"/>
      <c r="H146" s="171"/>
      <c r="I146" s="171"/>
      <c r="J146" s="171"/>
      <c r="K146" s="171"/>
      <c r="L146" s="629"/>
      <c r="M146" s="629"/>
      <c r="N146" s="171"/>
      <c r="O146" s="171"/>
      <c r="P146" s="171"/>
      <c r="Q146" s="160"/>
      <c r="R146" s="160"/>
      <c r="S146" s="171"/>
      <c r="T146" s="171"/>
      <c r="Y146" s="171"/>
      <c r="Z146" s="171"/>
      <c r="AA146" s="171"/>
      <c r="AB146" s="171"/>
      <c r="AC146" s="171"/>
      <c r="AD146" s="171"/>
      <c r="AE146" s="171"/>
      <c r="AF146" s="171"/>
      <c r="AN146" s="171"/>
      <c r="AO146" s="171"/>
      <c r="AP146" s="171"/>
      <c r="AQ146" s="171"/>
      <c r="AR146" s="171"/>
      <c r="AS146" s="171"/>
      <c r="AT146" s="171"/>
      <c r="AU146" s="171"/>
      <c r="AX146" s="171"/>
      <c r="AY146" s="171"/>
      <c r="AZ146" s="171"/>
      <c r="BA146" s="171"/>
      <c r="BB146" s="171"/>
      <c r="BC146" s="171"/>
      <c r="BD146" s="171"/>
      <c r="BF146" s="171"/>
      <c r="BH146" s="171"/>
      <c r="BI146" s="168"/>
      <c r="BL146" s="168"/>
      <c r="BM146" s="168"/>
      <c r="BN146" s="168"/>
      <c r="BO146" s="168"/>
      <c r="BP146" s="168"/>
      <c r="BQ146" s="168"/>
      <c r="BR146" s="168"/>
      <c r="BS146" s="168"/>
      <c r="BT146" s="168"/>
      <c r="BU146" s="168"/>
      <c r="BV146" s="168"/>
      <c r="BW146" s="168"/>
      <c r="BX146" s="168"/>
      <c r="BY146" s="168"/>
      <c r="BZ146" s="168"/>
      <c r="CA146" s="168"/>
      <c r="CB146" s="168"/>
      <c r="CC146" s="168"/>
      <c r="CD146" s="168"/>
      <c r="CE146" s="168"/>
      <c r="CF146" s="168"/>
      <c r="CG146" s="168"/>
      <c r="CH146" s="168"/>
      <c r="CI146" s="168"/>
      <c r="CJ146" s="168"/>
      <c r="CK146" s="168"/>
      <c r="CL146" s="168"/>
      <c r="CM146" s="168"/>
      <c r="CN146" s="168"/>
      <c r="CO146" s="168"/>
      <c r="CP146" s="168"/>
      <c r="CQ146" s="168"/>
      <c r="CR146" s="168"/>
      <c r="CS146" s="168"/>
      <c r="CT146" s="168"/>
      <c r="CU146" s="168"/>
      <c r="CV146" s="168"/>
      <c r="CW146" s="168"/>
      <c r="CX146" s="168"/>
    </row>
    <row r="147" spans="1:102" x14ac:dyDescent="0.25">
      <c r="A147" s="182"/>
      <c r="B147" s="182"/>
      <c r="C147" s="171"/>
      <c r="D147" s="171"/>
      <c r="E147" s="160"/>
      <c r="F147" s="171"/>
      <c r="G147" s="171"/>
      <c r="H147" s="171"/>
      <c r="I147" s="171"/>
      <c r="J147" s="171"/>
      <c r="K147" s="171"/>
      <c r="L147" s="629"/>
      <c r="M147" s="629"/>
      <c r="N147" s="171"/>
      <c r="O147" s="171"/>
      <c r="P147" s="171"/>
      <c r="Q147" s="160"/>
      <c r="R147" s="160"/>
      <c r="S147" s="171"/>
      <c r="T147" s="171"/>
      <c r="Y147" s="171"/>
      <c r="Z147" s="171"/>
      <c r="AA147" s="171"/>
      <c r="AB147" s="171"/>
      <c r="AC147" s="171"/>
      <c r="AD147" s="171"/>
      <c r="AE147" s="171"/>
      <c r="AF147" s="171"/>
      <c r="AN147" s="171"/>
      <c r="AO147" s="171"/>
      <c r="AP147" s="171"/>
      <c r="AQ147" s="171"/>
      <c r="AR147" s="171"/>
      <c r="AS147" s="171"/>
      <c r="AT147" s="171"/>
      <c r="AU147" s="171"/>
      <c r="AX147" s="171"/>
      <c r="AY147" s="171"/>
      <c r="AZ147" s="171"/>
      <c r="BA147" s="171"/>
      <c r="BB147" s="171"/>
      <c r="BC147" s="171"/>
      <c r="BD147" s="171"/>
      <c r="BF147" s="171"/>
      <c r="BH147" s="171"/>
      <c r="BI147" s="168"/>
      <c r="BL147" s="168"/>
      <c r="BM147" s="168"/>
      <c r="BN147" s="168"/>
      <c r="BO147" s="168"/>
      <c r="BP147" s="168"/>
      <c r="BQ147" s="168"/>
      <c r="BR147" s="168"/>
      <c r="BS147" s="168"/>
      <c r="BT147" s="168"/>
      <c r="BU147" s="168"/>
      <c r="BV147" s="168"/>
      <c r="BW147" s="168"/>
      <c r="BX147" s="168"/>
      <c r="BY147" s="168"/>
      <c r="BZ147" s="168"/>
      <c r="CA147" s="168"/>
      <c r="CB147" s="168"/>
      <c r="CC147" s="168"/>
      <c r="CD147" s="168"/>
      <c r="CE147" s="168"/>
      <c r="CF147" s="168"/>
      <c r="CG147" s="168"/>
      <c r="CH147" s="168"/>
      <c r="CI147" s="168"/>
      <c r="CJ147" s="168"/>
      <c r="CK147" s="168"/>
      <c r="CL147" s="168"/>
      <c r="CM147" s="168"/>
      <c r="CN147" s="168"/>
      <c r="CO147" s="168"/>
      <c r="CP147" s="168"/>
      <c r="CQ147" s="168"/>
      <c r="CR147" s="168"/>
      <c r="CS147" s="168"/>
      <c r="CT147" s="168"/>
      <c r="CU147" s="168"/>
      <c r="CV147" s="168"/>
      <c r="CW147" s="168"/>
      <c r="CX147" s="168"/>
    </row>
    <row r="148" spans="1:102" x14ac:dyDescent="0.25">
      <c r="A148" s="182"/>
      <c r="B148" s="182"/>
      <c r="C148" s="171"/>
      <c r="D148" s="171"/>
      <c r="E148" s="160"/>
      <c r="F148" s="171"/>
      <c r="G148" s="171"/>
      <c r="H148" s="171"/>
      <c r="I148" s="171"/>
      <c r="J148" s="171"/>
      <c r="K148" s="171"/>
      <c r="L148" s="629"/>
      <c r="M148" s="629"/>
      <c r="N148" s="171"/>
      <c r="O148" s="171"/>
      <c r="P148" s="171"/>
      <c r="Q148" s="160"/>
      <c r="R148" s="160"/>
      <c r="S148" s="171"/>
      <c r="T148" s="171"/>
      <c r="Y148" s="171"/>
      <c r="Z148" s="171"/>
      <c r="AA148" s="171"/>
      <c r="AB148" s="171"/>
      <c r="AC148" s="171"/>
      <c r="AD148" s="171"/>
      <c r="AE148" s="171"/>
      <c r="AF148" s="171"/>
      <c r="AN148" s="171"/>
      <c r="AO148" s="171"/>
      <c r="AP148" s="171"/>
      <c r="AQ148" s="171"/>
      <c r="AR148" s="171"/>
      <c r="AS148" s="171"/>
      <c r="AT148" s="171"/>
      <c r="AU148" s="171"/>
      <c r="AX148" s="171"/>
      <c r="AY148" s="171"/>
      <c r="AZ148" s="171"/>
      <c r="BA148" s="171"/>
      <c r="BB148" s="171"/>
      <c r="BC148" s="171"/>
      <c r="BD148" s="171"/>
      <c r="BF148" s="171"/>
      <c r="BH148" s="171"/>
      <c r="BI148" s="168"/>
      <c r="BL148" s="168"/>
      <c r="BM148" s="168"/>
      <c r="BN148" s="168"/>
      <c r="BO148" s="168"/>
      <c r="BP148" s="168"/>
      <c r="BQ148" s="168"/>
      <c r="BR148" s="168"/>
      <c r="BS148" s="168"/>
      <c r="BT148" s="168"/>
      <c r="BU148" s="168"/>
      <c r="BV148" s="168"/>
      <c r="BW148" s="168"/>
      <c r="BX148" s="168"/>
      <c r="BY148" s="168"/>
      <c r="BZ148" s="168"/>
      <c r="CA148" s="168"/>
      <c r="CB148" s="168"/>
      <c r="CC148" s="168"/>
      <c r="CD148" s="168"/>
      <c r="CE148" s="168"/>
      <c r="CF148" s="168"/>
      <c r="CG148" s="168"/>
      <c r="CH148" s="168"/>
      <c r="CI148" s="168"/>
      <c r="CJ148" s="168"/>
      <c r="CK148" s="168"/>
      <c r="CL148" s="168"/>
      <c r="CM148" s="168"/>
      <c r="CN148" s="168"/>
      <c r="CO148" s="168"/>
      <c r="CP148" s="168"/>
      <c r="CQ148" s="168"/>
      <c r="CR148" s="168"/>
      <c r="CS148" s="168"/>
      <c r="CT148" s="168"/>
      <c r="CU148" s="168"/>
      <c r="CV148" s="168"/>
      <c r="CW148" s="168"/>
      <c r="CX148" s="168"/>
    </row>
    <row r="149" spans="1:102" x14ac:dyDescent="0.25">
      <c r="A149" s="182"/>
      <c r="B149" s="182"/>
      <c r="C149" s="171"/>
      <c r="D149" s="171"/>
      <c r="E149" s="160"/>
      <c r="F149" s="171"/>
      <c r="G149" s="171"/>
      <c r="H149" s="171"/>
      <c r="I149" s="171"/>
      <c r="J149" s="171"/>
      <c r="K149" s="171"/>
      <c r="L149" s="629"/>
      <c r="M149" s="629"/>
      <c r="N149" s="171"/>
      <c r="O149" s="171"/>
      <c r="P149" s="171"/>
      <c r="Q149" s="160"/>
      <c r="R149" s="160"/>
      <c r="S149" s="171"/>
      <c r="T149" s="171"/>
      <c r="Y149" s="171"/>
      <c r="Z149" s="171"/>
      <c r="AA149" s="171"/>
      <c r="AB149" s="171"/>
      <c r="AC149" s="171"/>
      <c r="AD149" s="171"/>
      <c r="AE149" s="171"/>
      <c r="AF149" s="171"/>
      <c r="AN149" s="171"/>
      <c r="AO149" s="171"/>
      <c r="AP149" s="171"/>
      <c r="AQ149" s="171"/>
      <c r="AR149" s="171"/>
      <c r="AS149" s="171"/>
      <c r="AT149" s="171"/>
      <c r="AU149" s="171"/>
      <c r="AX149" s="171"/>
      <c r="AY149" s="171"/>
      <c r="AZ149" s="171"/>
      <c r="BA149" s="171"/>
      <c r="BB149" s="171"/>
      <c r="BC149" s="171"/>
      <c r="BD149" s="171"/>
      <c r="BF149" s="171"/>
      <c r="BH149" s="171"/>
      <c r="BI149" s="168"/>
      <c r="BJ149" s="168"/>
      <c r="BL149" s="168"/>
      <c r="BM149" s="168"/>
      <c r="BN149" s="168"/>
      <c r="BO149" s="168"/>
      <c r="BP149" s="168"/>
      <c r="BQ149" s="168"/>
      <c r="BR149" s="168"/>
      <c r="BS149" s="168"/>
      <c r="BT149" s="168"/>
      <c r="BU149" s="168"/>
      <c r="BV149" s="168"/>
      <c r="BW149" s="168"/>
      <c r="BX149" s="168"/>
      <c r="BY149" s="168"/>
      <c r="BZ149" s="168"/>
      <c r="CA149" s="168"/>
      <c r="CB149" s="168"/>
      <c r="CC149" s="168"/>
      <c r="CD149" s="168"/>
      <c r="CE149" s="168"/>
      <c r="CF149" s="168"/>
      <c r="CG149" s="168"/>
      <c r="CH149" s="168"/>
      <c r="CI149" s="168"/>
      <c r="CJ149" s="168"/>
      <c r="CK149" s="168"/>
      <c r="CL149" s="168"/>
      <c r="CM149" s="168"/>
      <c r="CN149" s="168"/>
      <c r="CO149" s="168"/>
      <c r="CP149" s="168"/>
      <c r="CQ149" s="168"/>
      <c r="CR149" s="168"/>
      <c r="CS149" s="168"/>
      <c r="CT149" s="168"/>
      <c r="CU149" s="168"/>
      <c r="CV149" s="168"/>
      <c r="CW149" s="168"/>
      <c r="CX149" s="168"/>
    </row>
    <row r="150" spans="1:102" x14ac:dyDescent="0.25">
      <c r="A150" s="182"/>
      <c r="B150" s="182"/>
      <c r="C150" s="171"/>
      <c r="D150" s="171"/>
      <c r="E150" s="160"/>
      <c r="F150" s="171"/>
      <c r="G150" s="171"/>
      <c r="H150" s="171"/>
      <c r="I150" s="171"/>
      <c r="J150"/>
      <c r="K150"/>
      <c r="L150" s="247"/>
      <c r="M150" s="247"/>
      <c r="N150" s="171"/>
      <c r="O150" s="171"/>
      <c r="P150" s="171"/>
      <c r="Q150" s="160"/>
      <c r="R150" s="160"/>
      <c r="S150" s="171"/>
      <c r="T150" s="171"/>
      <c r="Y150" s="171"/>
      <c r="Z150" s="171"/>
      <c r="AA150" s="171"/>
      <c r="AB150" s="171"/>
      <c r="AC150" s="171"/>
      <c r="AD150" s="171"/>
      <c r="AE150" s="171"/>
      <c r="AF150" s="171"/>
      <c r="AN150" s="171"/>
      <c r="AO150" s="171"/>
      <c r="AP150" s="171"/>
      <c r="AQ150" s="171"/>
      <c r="AR150" s="171"/>
      <c r="AS150" s="171"/>
      <c r="AT150" s="171"/>
      <c r="AU150" s="171"/>
      <c r="AX150" s="171"/>
      <c r="AY150" s="171"/>
      <c r="AZ150" s="171"/>
      <c r="BA150" s="171"/>
      <c r="BB150" s="171"/>
      <c r="BF150" s="171"/>
      <c r="BH150" s="171"/>
    </row>
    <row r="151" spans="1:102" x14ac:dyDescent="0.25">
      <c r="A151" s="182"/>
      <c r="B151" s="182"/>
      <c r="C151" s="171"/>
      <c r="D151" s="171"/>
      <c r="E151" s="160"/>
      <c r="F151" s="171"/>
      <c r="G151" s="171"/>
      <c r="H151" s="171"/>
      <c r="I151" s="171"/>
      <c r="J151"/>
      <c r="K151"/>
      <c r="L151" s="247"/>
      <c r="M151" s="247"/>
      <c r="N151" s="171"/>
      <c r="O151" s="171"/>
      <c r="P151" s="171"/>
      <c r="Q151" s="160"/>
      <c r="R151" s="160"/>
      <c r="S151" s="171"/>
      <c r="T151" s="171"/>
      <c r="Y151" s="171"/>
      <c r="Z151" s="171"/>
      <c r="AA151" s="171"/>
      <c r="AB151" s="171"/>
      <c r="AC151" s="171"/>
      <c r="AD151" s="171"/>
      <c r="AE151" s="171"/>
      <c r="AF151" s="171"/>
      <c r="AN151" s="171"/>
      <c r="AO151" s="171"/>
      <c r="AP151" s="171"/>
      <c r="AQ151" s="171"/>
      <c r="AR151" s="171"/>
      <c r="AS151" s="171"/>
      <c r="AT151" s="171"/>
      <c r="AU151" s="171"/>
      <c r="AX151" s="171"/>
      <c r="AY151" s="171"/>
      <c r="AZ151" s="171"/>
      <c r="BA151" s="171"/>
      <c r="BB151" s="171"/>
      <c r="BF151" s="171"/>
      <c r="BH151" s="171"/>
    </row>
    <row r="152" spans="1:102" x14ac:dyDescent="0.25">
      <c r="A152" s="182"/>
      <c r="B152" s="182"/>
      <c r="C152" s="171"/>
      <c r="D152" s="171"/>
      <c r="E152" s="160"/>
      <c r="F152" s="171"/>
      <c r="G152" s="171"/>
      <c r="H152" s="171"/>
      <c r="I152" s="171"/>
      <c r="J152"/>
      <c r="K152"/>
      <c r="L152" s="247"/>
      <c r="M152" s="247"/>
      <c r="N152" s="171"/>
      <c r="O152" s="171"/>
      <c r="P152" s="171"/>
      <c r="Q152" s="160"/>
      <c r="R152" s="160"/>
      <c r="S152" s="171"/>
      <c r="T152" s="171"/>
      <c r="Y152" s="171"/>
      <c r="Z152" s="171"/>
      <c r="AA152" s="171"/>
      <c r="AB152" s="171"/>
      <c r="AC152" s="171"/>
      <c r="AD152" s="171"/>
      <c r="AE152" s="171"/>
      <c r="AF152" s="171"/>
      <c r="AN152" s="171"/>
      <c r="AO152" s="171"/>
      <c r="AP152" s="171"/>
      <c r="AQ152" s="171"/>
      <c r="AR152" s="171"/>
      <c r="AS152" s="171"/>
      <c r="AT152" s="171"/>
      <c r="AU152" s="171"/>
      <c r="AX152" s="171"/>
      <c r="AY152" s="171"/>
      <c r="AZ152" s="171"/>
      <c r="BA152" s="171"/>
      <c r="BB152" s="171"/>
      <c r="BF152" s="171"/>
      <c r="BH152" s="171"/>
    </row>
    <row r="153" spans="1:102" x14ac:dyDescent="0.25">
      <c r="A153" s="182"/>
      <c r="B153" s="182"/>
      <c r="C153" s="171"/>
      <c r="D153" s="171"/>
      <c r="E153" s="160"/>
      <c r="F153" s="171"/>
      <c r="G153" s="171"/>
      <c r="H153" s="171"/>
      <c r="I153" s="171"/>
      <c r="J153"/>
      <c r="K153"/>
      <c r="L153" s="247"/>
      <c r="M153" s="247"/>
      <c r="N153" s="171"/>
      <c r="O153" s="171"/>
      <c r="P153" s="171"/>
      <c r="Q153" s="160"/>
      <c r="R153" s="160"/>
      <c r="S153" s="171"/>
      <c r="T153" s="171"/>
      <c r="Y153" s="171"/>
      <c r="Z153" s="171"/>
      <c r="AA153" s="171"/>
      <c r="AB153" s="171"/>
      <c r="AC153" s="171"/>
      <c r="AD153" s="171"/>
      <c r="AE153" s="171"/>
      <c r="AF153" s="171"/>
      <c r="AN153" s="171"/>
      <c r="AO153" s="171"/>
      <c r="AP153" s="171"/>
      <c r="AQ153" s="171"/>
      <c r="AR153" s="171"/>
      <c r="AS153" s="171"/>
      <c r="AT153" s="171"/>
      <c r="AU153" s="171"/>
      <c r="AX153" s="171"/>
      <c r="AY153" s="171"/>
      <c r="AZ153" s="171"/>
      <c r="BA153" s="171"/>
      <c r="BB153" s="171"/>
      <c r="BF153" s="171"/>
      <c r="BH153" s="171"/>
    </row>
    <row r="154" spans="1:102" x14ac:dyDescent="0.25">
      <c r="A154" s="182"/>
      <c r="B154" s="182"/>
      <c r="C154" s="171"/>
      <c r="D154" s="171"/>
      <c r="E154" s="160"/>
      <c r="F154" s="171"/>
      <c r="G154" s="171"/>
      <c r="H154" s="171"/>
      <c r="I154" s="171"/>
      <c r="J154"/>
      <c r="K154"/>
      <c r="L154" s="247"/>
      <c r="M154" s="247"/>
      <c r="N154" s="171"/>
      <c r="O154" s="171"/>
      <c r="P154" s="171"/>
      <c r="Q154" s="160"/>
      <c r="R154" s="160"/>
      <c r="S154" s="171"/>
      <c r="T154" s="171"/>
      <c r="Y154" s="171"/>
      <c r="Z154" s="171"/>
      <c r="AA154" s="171"/>
      <c r="AB154" s="171"/>
      <c r="AC154" s="171"/>
      <c r="AD154" s="171"/>
      <c r="AE154" s="171"/>
      <c r="AF154" s="171"/>
      <c r="AN154" s="171"/>
      <c r="AO154" s="171"/>
      <c r="AP154" s="171"/>
      <c r="AQ154" s="171"/>
      <c r="AR154" s="171"/>
      <c r="AS154" s="171"/>
      <c r="AT154" s="171"/>
      <c r="AU154" s="171"/>
      <c r="AX154" s="171"/>
      <c r="AY154" s="171"/>
      <c r="AZ154" s="171"/>
      <c r="BA154" s="171"/>
      <c r="BB154" s="171"/>
      <c r="BF154" s="171"/>
      <c r="BH154" s="171"/>
    </row>
    <row r="155" spans="1:102" x14ac:dyDescent="0.25">
      <c r="A155" s="182"/>
      <c r="B155" s="182"/>
      <c r="C155" s="171"/>
      <c r="D155" s="171"/>
      <c r="E155" s="160"/>
      <c r="F155" s="171"/>
      <c r="G155" s="171"/>
      <c r="H155" s="171"/>
      <c r="I155" s="171"/>
      <c r="J155" s="171"/>
      <c r="K155" s="171"/>
      <c r="L155" s="629"/>
      <c r="M155" s="629"/>
      <c r="N155" s="171"/>
      <c r="O155" s="171"/>
      <c r="P155" s="171"/>
      <c r="Q155" s="160"/>
      <c r="R155" s="160"/>
      <c r="S155" s="171"/>
      <c r="T155" s="171"/>
      <c r="Y155" s="171"/>
      <c r="Z155" s="171"/>
      <c r="AA155" s="171"/>
      <c r="AB155" s="171"/>
      <c r="AC155" s="171"/>
      <c r="AD155" s="171"/>
      <c r="AE155" s="171"/>
      <c r="AF155" s="171"/>
      <c r="AN155" s="171"/>
      <c r="AO155" s="171"/>
      <c r="AP155" s="171"/>
      <c r="AQ155" s="171"/>
      <c r="AR155" s="171"/>
      <c r="AS155" s="171"/>
      <c r="AT155" s="171"/>
      <c r="AU155" s="171"/>
      <c r="AX155" s="171"/>
      <c r="AY155" s="171"/>
      <c r="AZ155" s="171"/>
      <c r="BA155" s="171"/>
      <c r="BB155" s="171"/>
      <c r="BC155" s="171"/>
      <c r="BD155" s="171"/>
      <c r="BF155" s="171"/>
      <c r="BH155" s="171"/>
      <c r="BI155" s="168"/>
      <c r="BL155" s="168"/>
      <c r="BM155" s="168"/>
      <c r="BN155" s="168"/>
      <c r="BO155" s="168"/>
      <c r="BP155" s="168"/>
      <c r="BQ155" s="168"/>
      <c r="BR155" s="168"/>
      <c r="BS155" s="168"/>
      <c r="BT155" s="168"/>
      <c r="BU155" s="168"/>
      <c r="BV155" s="168"/>
      <c r="BW155" s="168"/>
      <c r="BX155" s="168"/>
      <c r="BY155" s="168"/>
      <c r="BZ155" s="168"/>
      <c r="CA155" s="168"/>
      <c r="CB155" s="168"/>
      <c r="CC155" s="168"/>
      <c r="CD155" s="168"/>
      <c r="CE155" s="168"/>
      <c r="CF155" s="168"/>
      <c r="CG155" s="168"/>
      <c r="CH155" s="168"/>
      <c r="CI155" s="168"/>
      <c r="CJ155" s="168"/>
      <c r="CK155" s="168"/>
      <c r="CL155" s="168"/>
      <c r="CM155" s="168"/>
      <c r="CN155" s="168"/>
      <c r="CO155" s="168"/>
      <c r="CP155" s="168"/>
      <c r="CQ155" s="168"/>
      <c r="CR155" s="168"/>
      <c r="CS155" s="168"/>
      <c r="CT155" s="168"/>
      <c r="CU155" s="168"/>
      <c r="CV155" s="168"/>
      <c r="CW155" s="168"/>
      <c r="CX155" s="168"/>
    </row>
    <row r="156" spans="1:102" x14ac:dyDescent="0.25">
      <c r="A156" s="182"/>
      <c r="B156" s="182"/>
      <c r="C156" s="171"/>
      <c r="D156" s="171"/>
      <c r="E156" s="160"/>
      <c r="F156" s="171"/>
      <c r="G156" s="171"/>
      <c r="H156" s="171"/>
      <c r="I156" s="171"/>
      <c r="J156" s="171"/>
      <c r="K156" s="171"/>
      <c r="L156" s="629"/>
      <c r="M156" s="629"/>
      <c r="N156" s="171"/>
      <c r="O156" s="171"/>
      <c r="P156" s="171"/>
      <c r="Q156" s="160"/>
      <c r="R156" s="160"/>
      <c r="S156" s="171"/>
      <c r="T156" s="171"/>
      <c r="Y156" s="171"/>
      <c r="Z156" s="171"/>
      <c r="AA156" s="171"/>
      <c r="AB156" s="171"/>
      <c r="AC156" s="171"/>
      <c r="AD156" s="171"/>
      <c r="AE156" s="171"/>
      <c r="AF156" s="171"/>
      <c r="AN156" s="171"/>
      <c r="AO156" s="171"/>
      <c r="AP156" s="171"/>
      <c r="AQ156" s="171"/>
      <c r="AR156" s="171"/>
      <c r="AS156" s="171"/>
      <c r="AT156" s="171"/>
      <c r="AU156" s="171"/>
      <c r="AX156" s="171"/>
      <c r="AY156" s="171"/>
      <c r="AZ156" s="171"/>
      <c r="BA156" s="171"/>
      <c r="BB156" s="171"/>
      <c r="BC156" s="171"/>
      <c r="BD156" s="171"/>
      <c r="BF156" s="171"/>
      <c r="BH156" s="171"/>
      <c r="BI156" s="168"/>
      <c r="BM156" s="168"/>
      <c r="BN156" s="168"/>
      <c r="BO156" s="168"/>
      <c r="BP156" s="168"/>
      <c r="BQ156" s="168"/>
      <c r="BR156" s="168"/>
      <c r="BS156" s="168"/>
      <c r="BT156" s="168"/>
      <c r="BU156" s="168"/>
      <c r="BV156" s="168"/>
      <c r="BW156" s="168"/>
      <c r="BX156" s="168"/>
      <c r="BY156" s="168"/>
      <c r="BZ156" s="168"/>
      <c r="CA156" s="168"/>
      <c r="CB156" s="168"/>
      <c r="CC156" s="168"/>
      <c r="CD156" s="168"/>
      <c r="CE156" s="168"/>
      <c r="CF156" s="168"/>
      <c r="CG156" s="168"/>
      <c r="CH156" s="168"/>
      <c r="CI156" s="168"/>
      <c r="CJ156" s="168"/>
      <c r="CK156" s="168"/>
      <c r="CL156" s="168"/>
      <c r="CM156" s="168"/>
      <c r="CN156" s="168"/>
      <c r="CO156" s="168"/>
      <c r="CP156" s="168"/>
      <c r="CR156" s="168"/>
      <c r="CS156" s="168"/>
      <c r="CT156" s="168"/>
      <c r="CU156" s="168"/>
      <c r="CV156" s="168"/>
      <c r="CW156" s="168"/>
      <c r="CX156" s="168"/>
    </row>
    <row r="157" spans="1:102" x14ac:dyDescent="0.25">
      <c r="A157" s="182"/>
      <c r="B157" s="182"/>
      <c r="C157" s="171"/>
      <c r="D157" s="171"/>
      <c r="E157" s="160"/>
      <c r="F157" s="171"/>
      <c r="G157" s="171"/>
      <c r="H157" s="171"/>
      <c r="I157" s="171"/>
      <c r="J157"/>
      <c r="K157"/>
      <c r="L157" s="247"/>
      <c r="M157" s="247"/>
      <c r="N157" s="171"/>
      <c r="O157" s="171"/>
      <c r="P157" s="171"/>
      <c r="Q157" s="160"/>
      <c r="R157" s="160"/>
      <c r="S157" s="171"/>
      <c r="T157" s="171"/>
      <c r="Y157" s="171"/>
      <c r="Z157" s="171"/>
      <c r="AA157" s="171"/>
      <c r="AB157" s="171"/>
      <c r="AC157" s="171"/>
      <c r="AD157" s="171"/>
      <c r="AE157" s="171"/>
      <c r="AF157" s="171"/>
      <c r="AN157" s="171"/>
      <c r="AO157" s="171"/>
      <c r="AP157" s="171"/>
      <c r="AQ157" s="171"/>
      <c r="AR157" s="171"/>
      <c r="AS157" s="171"/>
      <c r="AT157" s="171"/>
      <c r="AU157" s="171"/>
      <c r="AX157" s="171"/>
      <c r="AY157" s="171"/>
      <c r="AZ157" s="171"/>
      <c r="BA157" s="171"/>
      <c r="BB157" s="171"/>
      <c r="BF157" s="171"/>
      <c r="BH157" s="171"/>
    </row>
    <row r="158" spans="1:102" x14ac:dyDescent="0.25">
      <c r="A158" s="182"/>
      <c r="B158" s="182"/>
      <c r="C158" s="171"/>
      <c r="D158" s="171"/>
      <c r="E158" s="160"/>
      <c r="F158" s="171"/>
      <c r="G158" s="171"/>
      <c r="H158" s="171"/>
      <c r="I158" s="171"/>
      <c r="J158"/>
      <c r="K158"/>
      <c r="L158" s="247"/>
      <c r="M158" s="247"/>
      <c r="N158" s="171"/>
      <c r="O158" s="171"/>
      <c r="P158" s="171"/>
      <c r="Q158" s="160"/>
      <c r="R158" s="160"/>
      <c r="S158" s="171"/>
      <c r="T158" s="171"/>
      <c r="Y158" s="171"/>
      <c r="Z158" s="171"/>
      <c r="AA158" s="171"/>
      <c r="AB158" s="171"/>
      <c r="AC158" s="171"/>
      <c r="AD158" s="171"/>
      <c r="AE158" s="171"/>
      <c r="AF158" s="171"/>
      <c r="AN158" s="171"/>
      <c r="AO158" s="171"/>
      <c r="AP158" s="171"/>
      <c r="AQ158" s="171"/>
      <c r="AR158" s="171"/>
      <c r="AS158" s="171"/>
      <c r="AT158" s="171"/>
      <c r="AU158" s="171"/>
      <c r="AX158" s="171"/>
      <c r="AY158" s="171"/>
      <c r="AZ158" s="171"/>
      <c r="BA158" s="171"/>
      <c r="BB158" s="171"/>
      <c r="BF158" s="171"/>
      <c r="BH158" s="171"/>
    </row>
    <row r="159" spans="1:102" x14ac:dyDescent="0.25">
      <c r="A159" s="182"/>
      <c r="B159" s="182"/>
      <c r="C159" s="171"/>
      <c r="D159" s="171"/>
      <c r="E159" s="160"/>
      <c r="F159" s="171"/>
      <c r="G159" s="171"/>
      <c r="H159" s="171"/>
      <c r="I159" s="171"/>
      <c r="J159"/>
      <c r="K159"/>
      <c r="L159" s="247"/>
      <c r="M159" s="247"/>
      <c r="N159" s="171"/>
      <c r="O159" s="171"/>
      <c r="P159" s="171"/>
      <c r="Q159" s="160"/>
      <c r="R159" s="160"/>
      <c r="S159" s="171"/>
      <c r="T159" s="171"/>
      <c r="Y159" s="171"/>
      <c r="Z159" s="171"/>
      <c r="AA159" s="171"/>
      <c r="AB159" s="171"/>
      <c r="AC159" s="171"/>
      <c r="AD159" s="171"/>
      <c r="AE159" s="171"/>
      <c r="AF159" s="171"/>
      <c r="AN159" s="171"/>
      <c r="AO159" s="171"/>
      <c r="AP159" s="171"/>
      <c r="AQ159" s="171"/>
      <c r="AR159" s="171"/>
      <c r="AS159" s="171"/>
      <c r="AT159" s="171"/>
      <c r="AU159" s="171"/>
      <c r="AX159" s="171"/>
      <c r="AY159" s="171"/>
      <c r="AZ159" s="171"/>
      <c r="BA159" s="171"/>
      <c r="BB159" s="171"/>
      <c r="BF159" s="171"/>
      <c r="BH159" s="171"/>
    </row>
    <row r="160" spans="1:102" x14ac:dyDescent="0.25">
      <c r="A160" s="182"/>
      <c r="B160" s="182"/>
      <c r="C160" s="171"/>
      <c r="D160" s="171"/>
      <c r="E160" s="160"/>
      <c r="F160" s="171"/>
      <c r="G160" s="171"/>
      <c r="H160" s="171"/>
      <c r="I160" s="171"/>
      <c r="J160"/>
      <c r="K160"/>
      <c r="L160" s="247"/>
      <c r="M160" s="247"/>
      <c r="N160" s="171"/>
      <c r="O160" s="171"/>
      <c r="P160" s="171"/>
      <c r="Q160" s="160"/>
      <c r="R160" s="160"/>
      <c r="S160" s="171"/>
      <c r="T160" s="171"/>
      <c r="Y160" s="171"/>
      <c r="Z160" s="171"/>
      <c r="AA160" s="171"/>
      <c r="AB160" s="171"/>
      <c r="AC160" s="171"/>
      <c r="AD160" s="171"/>
      <c r="AE160" s="171"/>
      <c r="AF160" s="171"/>
      <c r="AN160" s="171"/>
      <c r="AO160" s="171"/>
      <c r="AP160" s="171"/>
      <c r="AQ160" s="171"/>
      <c r="AR160" s="171"/>
      <c r="AS160" s="171"/>
      <c r="AT160" s="171"/>
      <c r="AU160" s="171"/>
      <c r="AX160" s="171"/>
      <c r="AY160" s="171"/>
      <c r="AZ160" s="171"/>
      <c r="BA160" s="171"/>
      <c r="BB160" s="171"/>
      <c r="BF160" s="171"/>
      <c r="BH160" s="171"/>
    </row>
    <row r="161" spans="1:102" x14ac:dyDescent="0.25">
      <c r="A161" s="182"/>
      <c r="B161" s="182"/>
      <c r="C161" s="171"/>
      <c r="D161" s="171"/>
      <c r="E161" s="160"/>
      <c r="F161" s="171"/>
      <c r="G161" s="171"/>
      <c r="H161" s="171"/>
      <c r="I161" s="171"/>
      <c r="J161"/>
      <c r="K161"/>
      <c r="L161" s="247"/>
      <c r="M161" s="247"/>
      <c r="N161" s="171"/>
      <c r="O161" s="171"/>
      <c r="P161" s="171"/>
      <c r="Q161" s="160"/>
      <c r="R161" s="160"/>
      <c r="S161" s="171"/>
      <c r="T161" s="171"/>
      <c r="Y161" s="171"/>
      <c r="Z161" s="171"/>
      <c r="AA161" s="171"/>
      <c r="AB161" s="171"/>
      <c r="AC161" s="171"/>
      <c r="AD161" s="171"/>
      <c r="AE161" s="171"/>
      <c r="AF161" s="171"/>
      <c r="AN161" s="171"/>
      <c r="AO161" s="171"/>
      <c r="AP161" s="171"/>
      <c r="AQ161" s="171"/>
      <c r="AR161" s="171"/>
      <c r="AS161" s="171"/>
      <c r="AT161" s="171"/>
      <c r="AU161" s="171"/>
      <c r="AX161" s="171"/>
      <c r="AY161" s="171"/>
      <c r="AZ161" s="171"/>
      <c r="BA161" s="171"/>
      <c r="BB161" s="171"/>
      <c r="BF161" s="171"/>
      <c r="BH161" s="171"/>
    </row>
    <row r="162" spans="1:102" x14ac:dyDescent="0.25">
      <c r="A162" s="182"/>
      <c r="B162" s="182"/>
      <c r="C162" s="171"/>
      <c r="D162" s="171"/>
      <c r="E162" s="160"/>
      <c r="F162" s="171"/>
      <c r="G162" s="171"/>
      <c r="H162" s="171"/>
      <c r="I162" s="171"/>
      <c r="J162"/>
      <c r="K162"/>
      <c r="L162" s="247"/>
      <c r="M162" s="247"/>
      <c r="N162" s="171"/>
      <c r="O162" s="171"/>
      <c r="P162" s="171"/>
      <c r="Q162" s="160"/>
      <c r="R162" s="160"/>
      <c r="S162" s="171"/>
      <c r="T162" s="171"/>
      <c r="Y162" s="171"/>
      <c r="Z162" s="171"/>
      <c r="AA162" s="171"/>
      <c r="AB162" s="171"/>
      <c r="AC162" s="171"/>
      <c r="AD162" s="171"/>
      <c r="AE162" s="171"/>
      <c r="AF162" s="171"/>
      <c r="AN162" s="171"/>
      <c r="AO162" s="171"/>
      <c r="AP162" s="171"/>
      <c r="AQ162" s="171"/>
      <c r="AR162" s="171"/>
      <c r="AS162" s="171"/>
      <c r="AT162" s="171"/>
      <c r="AU162" s="171"/>
      <c r="AX162" s="171"/>
      <c r="AY162" s="171"/>
      <c r="AZ162" s="171"/>
      <c r="BA162" s="171"/>
      <c r="BB162" s="171"/>
      <c r="BF162" s="171"/>
      <c r="BH162" s="171"/>
    </row>
    <row r="163" spans="1:102" x14ac:dyDescent="0.25">
      <c r="A163" s="182"/>
      <c r="B163" s="182"/>
      <c r="C163" s="171"/>
      <c r="D163" s="171"/>
      <c r="E163" s="160"/>
      <c r="F163" s="171"/>
      <c r="G163" s="171"/>
      <c r="H163" s="171"/>
      <c r="I163" s="171"/>
      <c r="J163"/>
      <c r="K163"/>
      <c r="L163" s="247"/>
      <c r="M163" s="247"/>
      <c r="N163" s="171"/>
      <c r="O163" s="171"/>
      <c r="P163" s="171"/>
      <c r="Q163" s="160"/>
      <c r="R163" s="160"/>
      <c r="S163" s="171"/>
      <c r="T163" s="171"/>
      <c r="Y163" s="171"/>
      <c r="Z163" s="171"/>
      <c r="AA163" s="171"/>
      <c r="AB163" s="171"/>
      <c r="AC163" s="171"/>
      <c r="AD163" s="171"/>
      <c r="AE163" s="171"/>
      <c r="AF163" s="171"/>
      <c r="AN163" s="171"/>
      <c r="AO163" s="171"/>
      <c r="AP163" s="171"/>
      <c r="AQ163" s="171"/>
      <c r="AR163" s="171"/>
      <c r="AS163" s="171"/>
      <c r="AT163" s="171"/>
      <c r="AU163" s="171"/>
      <c r="AX163" s="171"/>
      <c r="AY163" s="171"/>
      <c r="AZ163" s="171"/>
      <c r="BA163" s="171"/>
      <c r="BB163" s="171"/>
      <c r="BF163" s="171"/>
      <c r="BH163" s="171"/>
    </row>
    <row r="164" spans="1:102" x14ac:dyDescent="0.25">
      <c r="A164" s="182"/>
      <c r="B164" s="182"/>
      <c r="C164" s="171"/>
      <c r="D164" s="171"/>
      <c r="E164" s="160"/>
      <c r="F164" s="171"/>
      <c r="G164" s="171"/>
      <c r="H164" s="171"/>
      <c r="I164" s="171"/>
      <c r="J164"/>
      <c r="K164"/>
      <c r="L164" s="247"/>
      <c r="M164" s="247"/>
      <c r="N164" s="171"/>
      <c r="O164" s="171"/>
      <c r="P164" s="171"/>
      <c r="Q164" s="160"/>
      <c r="R164" s="160"/>
      <c r="S164" s="171"/>
      <c r="T164" s="171"/>
      <c r="Y164" s="171"/>
      <c r="Z164" s="171"/>
      <c r="AA164" s="171"/>
      <c r="AB164" s="171"/>
      <c r="AC164" s="171"/>
      <c r="AD164" s="171"/>
      <c r="AE164" s="171"/>
      <c r="AF164" s="171"/>
      <c r="AN164" s="171"/>
      <c r="AO164" s="171"/>
      <c r="AP164" s="171"/>
      <c r="AQ164" s="171"/>
      <c r="AR164" s="171"/>
      <c r="AS164" s="171"/>
      <c r="AT164" s="171"/>
      <c r="AU164" s="171"/>
      <c r="AX164" s="171"/>
      <c r="AY164" s="171"/>
      <c r="AZ164" s="171"/>
      <c r="BA164" s="171"/>
      <c r="BB164" s="171"/>
      <c r="BF164" s="171"/>
      <c r="BH164" s="171"/>
    </row>
    <row r="165" spans="1:102" x14ac:dyDescent="0.25">
      <c r="A165" s="182"/>
      <c r="B165" s="182"/>
      <c r="C165" s="171"/>
      <c r="D165" s="171"/>
      <c r="E165" s="160"/>
      <c r="F165" s="171"/>
      <c r="G165" s="171"/>
      <c r="H165" s="171"/>
      <c r="I165" s="171"/>
      <c r="J165" s="171"/>
      <c r="K165" s="171"/>
      <c r="L165" s="629"/>
      <c r="M165" s="629"/>
      <c r="N165" s="171"/>
      <c r="O165" s="171"/>
      <c r="P165" s="171"/>
      <c r="Q165" s="160"/>
      <c r="R165" s="160"/>
      <c r="S165" s="171"/>
      <c r="T165" s="171"/>
      <c r="Y165" s="171"/>
      <c r="Z165" s="171"/>
      <c r="AA165" s="171"/>
      <c r="AB165" s="171"/>
      <c r="AC165" s="171"/>
      <c r="AD165" s="171"/>
      <c r="AE165" s="171"/>
      <c r="AF165" s="171"/>
      <c r="AN165" s="171"/>
      <c r="AO165" s="171"/>
      <c r="AP165" s="171"/>
      <c r="AQ165" s="171"/>
      <c r="AR165" s="171"/>
      <c r="AS165" s="171"/>
      <c r="AT165" s="171"/>
      <c r="AU165" s="171"/>
      <c r="AX165" s="171"/>
      <c r="AY165" s="171"/>
      <c r="AZ165" s="171"/>
      <c r="BA165" s="171"/>
      <c r="BB165" s="171"/>
      <c r="BC165" s="171"/>
      <c r="BD165" s="171"/>
      <c r="BF165" s="171"/>
      <c r="BH165" s="171"/>
      <c r="BI165" s="168"/>
      <c r="BJ165" s="168"/>
      <c r="BM165" s="168"/>
      <c r="BN165" s="168"/>
      <c r="BO165" s="168"/>
      <c r="BP165" s="168"/>
      <c r="BQ165" s="168"/>
      <c r="BR165" s="168"/>
      <c r="BS165" s="168"/>
      <c r="BT165" s="168"/>
      <c r="BU165" s="168"/>
      <c r="BV165" s="168"/>
      <c r="BW165" s="168"/>
      <c r="BX165" s="168"/>
      <c r="BY165" s="168"/>
      <c r="BZ165" s="168"/>
      <c r="CA165" s="168"/>
      <c r="CB165" s="168"/>
      <c r="CC165" s="168"/>
      <c r="CD165" s="168"/>
      <c r="CE165" s="168"/>
      <c r="CF165" s="168"/>
      <c r="CG165" s="168"/>
      <c r="CH165" s="168"/>
      <c r="CI165" s="168"/>
      <c r="CJ165" s="168"/>
      <c r="CK165" s="168"/>
      <c r="CL165" s="168"/>
      <c r="CM165" s="168"/>
      <c r="CN165" s="168"/>
      <c r="CO165" s="168"/>
      <c r="CP165" s="168"/>
      <c r="CQ165" s="168"/>
      <c r="CR165" s="168"/>
      <c r="CS165" s="168"/>
      <c r="CT165" s="168"/>
      <c r="CU165" s="168"/>
      <c r="CV165" s="168"/>
      <c r="CW165" s="168"/>
      <c r="CX165" s="168"/>
    </row>
    <row r="166" spans="1:102" x14ac:dyDescent="0.25">
      <c r="A166" s="182"/>
      <c r="B166" s="182"/>
      <c r="C166" s="171"/>
      <c r="D166" s="171"/>
      <c r="E166" s="160"/>
      <c r="F166" s="171"/>
      <c r="G166" s="171"/>
      <c r="H166" s="171"/>
      <c r="I166" s="171"/>
      <c r="J166"/>
      <c r="K166"/>
      <c r="L166" s="247"/>
      <c r="M166" s="247"/>
      <c r="N166" s="171"/>
      <c r="O166" s="171"/>
      <c r="P166" s="171"/>
      <c r="Q166" s="160"/>
      <c r="R166" s="160"/>
      <c r="S166" s="171"/>
      <c r="T166" s="171"/>
      <c r="Y166" s="171"/>
      <c r="Z166" s="171"/>
      <c r="AA166" s="171"/>
      <c r="AB166" s="171"/>
      <c r="AC166" s="171"/>
      <c r="AD166" s="171"/>
      <c r="AE166" s="171"/>
      <c r="AF166" s="171"/>
      <c r="AN166" s="171"/>
      <c r="AO166" s="171"/>
      <c r="AP166" s="171"/>
      <c r="AQ166" s="171"/>
      <c r="AR166" s="171"/>
      <c r="AS166" s="171"/>
      <c r="AT166" s="171"/>
      <c r="AU166" s="171"/>
      <c r="AX166" s="171"/>
      <c r="AY166" s="171"/>
      <c r="AZ166" s="171"/>
      <c r="BA166" s="171"/>
      <c r="BB166" s="171"/>
      <c r="BF166" s="171"/>
      <c r="BH166" s="171"/>
    </row>
    <row r="167" spans="1:102" x14ac:dyDescent="0.25">
      <c r="A167" s="182"/>
      <c r="B167" s="182"/>
      <c r="C167" s="171"/>
      <c r="D167" s="171"/>
      <c r="E167" s="160"/>
      <c r="F167" s="171"/>
      <c r="G167" s="171"/>
      <c r="H167" s="171"/>
      <c r="I167" s="171"/>
      <c r="J167"/>
      <c r="K167"/>
      <c r="L167" s="247"/>
      <c r="M167" s="247"/>
      <c r="N167" s="171"/>
      <c r="O167" s="171"/>
      <c r="P167" s="171"/>
      <c r="Q167" s="160"/>
      <c r="R167" s="160"/>
      <c r="S167" s="171"/>
      <c r="T167" s="171"/>
      <c r="Y167" s="171"/>
      <c r="Z167" s="171"/>
      <c r="AA167" s="171"/>
      <c r="AB167" s="171"/>
      <c r="AC167" s="171"/>
      <c r="AD167" s="171"/>
      <c r="AE167" s="171"/>
      <c r="AF167" s="171"/>
      <c r="AN167" s="171"/>
      <c r="AO167" s="171"/>
      <c r="AP167" s="171"/>
      <c r="AQ167" s="171"/>
      <c r="AR167" s="171"/>
      <c r="AS167" s="171"/>
      <c r="AT167" s="171"/>
      <c r="AU167" s="171"/>
      <c r="AX167" s="171"/>
      <c r="AY167" s="171"/>
      <c r="AZ167" s="171"/>
      <c r="BA167" s="171"/>
      <c r="BB167" s="171"/>
      <c r="BF167" s="171"/>
      <c r="BH167" s="171"/>
    </row>
    <row r="168" spans="1:102" x14ac:dyDescent="0.25">
      <c r="A168" s="182"/>
      <c r="B168" s="182"/>
      <c r="C168" s="171"/>
      <c r="D168" s="171"/>
      <c r="E168" s="160"/>
      <c r="F168" s="171"/>
      <c r="G168" s="171"/>
      <c r="H168" s="171"/>
      <c r="I168" s="171"/>
      <c r="J168"/>
      <c r="K168"/>
      <c r="L168" s="247"/>
      <c r="M168" s="247"/>
      <c r="N168" s="171"/>
      <c r="O168" s="171"/>
      <c r="P168" s="171"/>
      <c r="Q168" s="160"/>
      <c r="R168" s="160"/>
      <c r="S168" s="171"/>
      <c r="T168" s="171"/>
      <c r="Y168" s="171"/>
      <c r="Z168" s="171"/>
      <c r="AA168" s="171"/>
      <c r="AB168" s="171"/>
      <c r="AC168" s="171"/>
      <c r="AD168" s="171"/>
      <c r="AE168" s="171"/>
      <c r="AF168" s="171"/>
      <c r="AN168" s="171"/>
      <c r="AO168" s="171"/>
      <c r="AP168" s="171"/>
      <c r="AQ168" s="171"/>
      <c r="AR168" s="171"/>
      <c r="AS168" s="171"/>
      <c r="AT168" s="171"/>
      <c r="AU168" s="171"/>
      <c r="AX168" s="171"/>
      <c r="AY168" s="171"/>
      <c r="AZ168" s="171"/>
      <c r="BA168" s="171"/>
      <c r="BB168" s="171"/>
      <c r="BF168" s="171"/>
      <c r="BH168" s="171"/>
    </row>
    <row r="169" spans="1:102" x14ac:dyDescent="0.25">
      <c r="A169" s="182"/>
      <c r="B169" s="182"/>
      <c r="C169" s="171"/>
      <c r="D169" s="171"/>
      <c r="E169" s="160"/>
      <c r="F169" s="171"/>
      <c r="G169" s="171"/>
      <c r="H169" s="171"/>
      <c r="I169" s="171"/>
      <c r="J169"/>
      <c r="K169"/>
      <c r="L169" s="247"/>
      <c r="M169" s="247"/>
      <c r="N169" s="171"/>
      <c r="O169" s="171"/>
      <c r="P169" s="171"/>
      <c r="Q169" s="160"/>
      <c r="R169" s="160"/>
      <c r="S169" s="171"/>
      <c r="T169" s="171"/>
      <c r="Y169" s="171"/>
      <c r="Z169" s="171"/>
      <c r="AA169" s="171"/>
      <c r="AB169" s="171"/>
      <c r="AC169" s="171"/>
      <c r="AD169" s="171"/>
      <c r="AE169" s="171"/>
      <c r="AF169" s="171"/>
      <c r="AN169" s="171"/>
      <c r="AO169" s="171"/>
      <c r="AP169" s="171"/>
      <c r="AQ169" s="171"/>
      <c r="AR169" s="171"/>
      <c r="AS169" s="171"/>
      <c r="AT169" s="171"/>
      <c r="AU169" s="171"/>
      <c r="AX169" s="171"/>
      <c r="AY169" s="171"/>
      <c r="AZ169" s="171"/>
      <c r="BA169" s="171"/>
      <c r="BB169" s="171"/>
      <c r="BF169" s="171"/>
      <c r="BH169" s="171"/>
    </row>
    <row r="170" spans="1:102" x14ac:dyDescent="0.25">
      <c r="A170" s="182"/>
      <c r="B170" s="182"/>
      <c r="C170" s="171"/>
      <c r="D170" s="171"/>
      <c r="E170" s="160"/>
      <c r="F170" s="171"/>
      <c r="G170" s="171"/>
      <c r="H170" s="171"/>
      <c r="I170" s="171"/>
      <c r="J170" s="171"/>
      <c r="K170" s="171"/>
      <c r="L170" s="629"/>
      <c r="M170" s="629"/>
      <c r="N170" s="171"/>
      <c r="O170" s="171"/>
      <c r="P170" s="171"/>
      <c r="Q170" s="160"/>
      <c r="R170" s="160"/>
      <c r="S170" s="171"/>
      <c r="T170" s="171"/>
      <c r="Y170" s="171"/>
      <c r="Z170" s="171"/>
      <c r="AA170" s="171"/>
      <c r="AB170" s="171"/>
      <c r="AC170" s="171"/>
      <c r="AD170" s="171"/>
      <c r="AE170" s="171"/>
      <c r="AF170" s="171"/>
      <c r="AN170" s="171"/>
      <c r="AO170" s="171"/>
      <c r="AP170" s="171"/>
      <c r="AQ170" s="171"/>
      <c r="AR170" s="171"/>
      <c r="AS170" s="171"/>
      <c r="AT170" s="171"/>
      <c r="AU170" s="171"/>
      <c r="AX170" s="171"/>
      <c r="AY170" s="171"/>
      <c r="AZ170" s="171"/>
      <c r="BA170" s="171"/>
      <c r="BB170" s="171"/>
      <c r="BC170" s="171"/>
      <c r="BD170" s="171"/>
      <c r="BF170" s="171"/>
      <c r="BH170" s="171"/>
      <c r="BI170" s="168"/>
      <c r="BM170" s="168"/>
      <c r="BN170" s="168"/>
      <c r="BO170" s="168"/>
      <c r="BP170" s="168"/>
      <c r="BQ170" s="168"/>
      <c r="BR170" s="168"/>
      <c r="BS170" s="168"/>
      <c r="BT170" s="168"/>
      <c r="BU170" s="168"/>
      <c r="BV170" s="168"/>
      <c r="BW170" s="168"/>
      <c r="BX170" s="168"/>
      <c r="BY170" s="168"/>
      <c r="BZ170" s="168"/>
      <c r="CA170" s="168"/>
      <c r="CB170" s="168"/>
      <c r="CC170" s="168"/>
      <c r="CD170" s="168"/>
      <c r="CE170" s="168"/>
      <c r="CF170" s="168"/>
      <c r="CG170" s="168"/>
      <c r="CH170" s="168"/>
      <c r="CI170" s="168"/>
      <c r="CJ170" s="168"/>
      <c r="CK170" s="168"/>
      <c r="CL170" s="168"/>
      <c r="CM170" s="168"/>
      <c r="CN170" s="168"/>
      <c r="CO170" s="168"/>
      <c r="CP170" s="168"/>
      <c r="CQ170" s="168"/>
      <c r="CR170" s="168"/>
      <c r="CS170" s="168"/>
      <c r="CT170" s="168"/>
      <c r="CU170" s="168"/>
      <c r="CV170" s="168"/>
      <c r="CW170" s="168"/>
      <c r="CX170" s="168"/>
    </row>
    <row r="171" spans="1:102" x14ac:dyDescent="0.25">
      <c r="A171" s="182"/>
      <c r="B171" s="182"/>
      <c r="C171" s="171"/>
      <c r="D171" s="171"/>
      <c r="E171" s="160"/>
      <c r="F171" s="171"/>
      <c r="G171" s="171"/>
      <c r="H171" s="171"/>
      <c r="I171" s="171"/>
      <c r="J171"/>
      <c r="K171"/>
      <c r="L171" s="247"/>
      <c r="M171" s="247"/>
      <c r="N171" s="171"/>
      <c r="O171" s="171"/>
      <c r="P171" s="171"/>
      <c r="Q171" s="160"/>
      <c r="R171" s="160"/>
      <c r="S171" s="171"/>
      <c r="T171" s="171"/>
      <c r="Y171" s="171"/>
      <c r="Z171" s="171"/>
      <c r="AA171" s="171"/>
      <c r="AB171" s="171"/>
      <c r="AC171" s="171"/>
      <c r="AD171" s="171"/>
      <c r="AE171" s="171"/>
      <c r="AF171" s="171"/>
      <c r="AN171" s="171"/>
      <c r="AO171" s="171"/>
      <c r="AP171" s="171"/>
      <c r="AQ171" s="171"/>
      <c r="AR171" s="171"/>
      <c r="AS171" s="171"/>
      <c r="AT171" s="171"/>
      <c r="AU171" s="171"/>
      <c r="AX171" s="171"/>
      <c r="AY171" s="171"/>
      <c r="AZ171" s="171"/>
      <c r="BA171" s="171"/>
      <c r="BB171" s="171"/>
      <c r="BF171" s="171"/>
      <c r="BH171" s="171"/>
    </row>
    <row r="172" spans="1:102" x14ac:dyDescent="0.25">
      <c r="A172" s="182"/>
      <c r="B172" s="182"/>
      <c r="C172" s="171"/>
      <c r="D172" s="171"/>
      <c r="E172" s="160"/>
      <c r="F172" s="171"/>
      <c r="G172" s="171"/>
      <c r="H172" s="171"/>
      <c r="I172" s="171"/>
      <c r="J172"/>
      <c r="K172"/>
      <c r="L172" s="247"/>
      <c r="M172" s="247"/>
      <c r="N172" s="171"/>
      <c r="O172" s="171"/>
      <c r="P172" s="171"/>
      <c r="Q172" s="160"/>
      <c r="R172" s="160"/>
      <c r="S172" s="171"/>
      <c r="T172" s="171"/>
      <c r="Y172" s="171"/>
      <c r="Z172" s="171"/>
      <c r="AA172" s="171"/>
      <c r="AB172" s="171"/>
      <c r="AC172" s="171"/>
      <c r="AD172" s="171"/>
      <c r="AE172" s="171"/>
      <c r="AF172" s="171"/>
      <c r="AN172" s="171"/>
      <c r="AO172" s="171"/>
      <c r="AP172" s="171"/>
      <c r="AQ172" s="171"/>
      <c r="AR172" s="171"/>
      <c r="AS172" s="171"/>
      <c r="AT172" s="171"/>
      <c r="AU172" s="171"/>
      <c r="AX172" s="171"/>
      <c r="AY172" s="171"/>
      <c r="AZ172" s="171"/>
      <c r="BA172" s="171"/>
      <c r="BB172" s="171"/>
      <c r="BF172" s="171"/>
      <c r="BH172" s="171"/>
    </row>
    <row r="173" spans="1:102" x14ac:dyDescent="0.25">
      <c r="A173" s="182"/>
      <c r="B173" s="182"/>
      <c r="C173" s="171"/>
      <c r="D173" s="171"/>
      <c r="E173" s="160"/>
      <c r="F173" s="171"/>
      <c r="G173" s="171"/>
      <c r="H173" s="171"/>
      <c r="I173" s="171"/>
      <c r="J173"/>
      <c r="K173"/>
      <c r="L173" s="247"/>
      <c r="M173" s="247"/>
      <c r="N173" s="171"/>
      <c r="O173" s="171"/>
      <c r="P173" s="171"/>
      <c r="Q173" s="160"/>
      <c r="R173" s="160"/>
      <c r="S173" s="171"/>
      <c r="T173" s="171"/>
      <c r="Y173" s="171"/>
      <c r="Z173" s="171"/>
      <c r="AA173" s="171"/>
      <c r="AB173" s="171"/>
      <c r="AC173" s="171"/>
      <c r="AD173" s="171"/>
      <c r="AE173" s="171"/>
      <c r="AF173" s="171"/>
      <c r="AN173" s="171"/>
      <c r="AO173" s="171"/>
      <c r="AP173" s="171"/>
      <c r="AQ173" s="171"/>
      <c r="AR173" s="171"/>
      <c r="AS173" s="171"/>
      <c r="AT173" s="171"/>
      <c r="AU173" s="171"/>
      <c r="AX173" s="171"/>
      <c r="AY173" s="171"/>
      <c r="AZ173" s="171"/>
      <c r="BA173" s="171"/>
      <c r="BB173" s="171"/>
      <c r="BF173" s="171"/>
      <c r="BH173" s="171"/>
    </row>
    <row r="174" spans="1:102" x14ac:dyDescent="0.25">
      <c r="A174" s="182"/>
      <c r="B174" s="182"/>
      <c r="C174" s="171"/>
      <c r="D174" s="171"/>
      <c r="E174" s="160"/>
      <c r="F174" s="171"/>
      <c r="G174" s="171"/>
      <c r="H174" s="171"/>
      <c r="I174" s="171"/>
      <c r="J174"/>
      <c r="K174"/>
      <c r="L174" s="247"/>
      <c r="M174" s="247"/>
      <c r="N174" s="171"/>
      <c r="O174" s="171"/>
      <c r="P174" s="171"/>
      <c r="Q174" s="160"/>
      <c r="R174" s="160"/>
      <c r="S174" s="171"/>
      <c r="T174" s="171"/>
      <c r="Y174" s="171"/>
      <c r="Z174" s="171"/>
      <c r="AA174" s="171"/>
      <c r="AB174" s="171"/>
      <c r="AC174" s="171"/>
      <c r="AD174" s="171"/>
      <c r="AE174" s="171"/>
      <c r="AF174" s="171"/>
      <c r="AN174" s="171"/>
      <c r="AO174" s="171"/>
      <c r="AP174" s="171"/>
      <c r="AQ174" s="171"/>
      <c r="AR174" s="171"/>
      <c r="AS174" s="171"/>
      <c r="AT174" s="171"/>
      <c r="AU174" s="171"/>
      <c r="AX174" s="171"/>
      <c r="AY174" s="171"/>
      <c r="AZ174" s="171"/>
      <c r="BA174" s="171"/>
      <c r="BB174" s="171"/>
      <c r="BF174" s="171"/>
      <c r="BH174" s="171"/>
    </row>
    <row r="175" spans="1:102" x14ac:dyDescent="0.25">
      <c r="A175" s="182"/>
      <c r="B175" s="182"/>
      <c r="C175" s="171"/>
      <c r="D175" s="171"/>
      <c r="E175" s="160"/>
      <c r="F175" s="171"/>
      <c r="G175" s="171"/>
      <c r="H175" s="171"/>
      <c r="I175" s="171"/>
      <c r="J175"/>
      <c r="K175"/>
      <c r="L175" s="247"/>
      <c r="M175" s="247"/>
      <c r="N175" s="171"/>
      <c r="O175" s="171"/>
      <c r="P175" s="171"/>
      <c r="Q175" s="160"/>
      <c r="R175" s="160"/>
      <c r="S175" s="171"/>
      <c r="T175" s="171"/>
      <c r="Y175" s="171"/>
      <c r="Z175" s="171"/>
      <c r="AA175" s="171"/>
      <c r="AB175" s="171"/>
      <c r="AC175" s="171"/>
      <c r="AD175" s="171"/>
      <c r="AE175" s="171"/>
      <c r="AF175" s="171"/>
      <c r="AN175" s="171"/>
      <c r="AO175" s="171"/>
      <c r="AP175" s="171"/>
      <c r="AQ175" s="171"/>
      <c r="AR175" s="171"/>
      <c r="AS175" s="171"/>
      <c r="AT175" s="171"/>
      <c r="AU175" s="171"/>
      <c r="AX175" s="171"/>
      <c r="AY175" s="171"/>
      <c r="AZ175" s="171"/>
      <c r="BA175" s="171"/>
      <c r="BB175" s="171"/>
      <c r="BF175" s="171"/>
      <c r="BH175" s="171"/>
    </row>
    <row r="176" spans="1:102" x14ac:dyDescent="0.25">
      <c r="A176" s="182"/>
      <c r="B176" s="182"/>
      <c r="C176" s="171"/>
      <c r="D176" s="171"/>
      <c r="E176" s="160"/>
      <c r="F176" s="171"/>
      <c r="G176" s="171"/>
      <c r="H176" s="171"/>
      <c r="I176" s="171"/>
      <c r="J176" s="171"/>
      <c r="K176" s="171"/>
      <c r="L176" s="629"/>
      <c r="M176" s="629"/>
      <c r="N176" s="171"/>
      <c r="O176" s="171"/>
      <c r="P176" s="171"/>
      <c r="Q176" s="160"/>
      <c r="R176" s="160"/>
      <c r="S176" s="171"/>
      <c r="T176" s="171"/>
      <c r="Y176" s="171"/>
      <c r="Z176" s="171"/>
      <c r="AA176" s="171"/>
      <c r="AB176" s="171"/>
      <c r="AC176" s="171"/>
      <c r="AD176" s="171"/>
      <c r="AE176" s="171"/>
      <c r="AF176" s="171"/>
      <c r="AN176" s="171"/>
      <c r="AO176" s="171"/>
      <c r="AP176" s="171"/>
      <c r="AQ176" s="171"/>
      <c r="AR176" s="171"/>
      <c r="AS176" s="171"/>
      <c r="AT176" s="171"/>
      <c r="AU176" s="171"/>
      <c r="AX176" s="171"/>
      <c r="AY176" s="171"/>
      <c r="AZ176" s="171"/>
      <c r="BA176" s="171"/>
      <c r="BB176" s="171"/>
      <c r="BC176" s="171"/>
      <c r="BD176" s="171"/>
      <c r="BF176" s="171"/>
      <c r="BH176" s="171"/>
      <c r="BI176" s="168"/>
      <c r="BM176" s="168"/>
      <c r="BN176" s="168"/>
      <c r="BO176" s="168"/>
      <c r="BP176" s="168"/>
      <c r="BQ176" s="168"/>
      <c r="BR176" s="168"/>
      <c r="BS176" s="168"/>
      <c r="BT176" s="168"/>
      <c r="BU176" s="168"/>
      <c r="BV176" s="168"/>
      <c r="BW176" s="168"/>
      <c r="BX176" s="168"/>
      <c r="BY176" s="168"/>
      <c r="BZ176" s="168"/>
      <c r="CA176" s="168"/>
      <c r="CB176" s="168"/>
      <c r="CC176" s="168"/>
      <c r="CD176" s="168"/>
      <c r="CE176" s="168"/>
      <c r="CF176" s="168"/>
      <c r="CG176" s="168"/>
      <c r="CH176" s="168"/>
      <c r="CI176" s="168"/>
      <c r="CJ176" s="168"/>
      <c r="CK176" s="168"/>
      <c r="CL176" s="168"/>
      <c r="CM176" s="168"/>
      <c r="CN176" s="168"/>
      <c r="CO176" s="168"/>
      <c r="CP176" s="168"/>
      <c r="CQ176" s="168"/>
      <c r="CR176" s="168"/>
      <c r="CS176" s="168"/>
      <c r="CT176" s="168"/>
      <c r="CU176" s="168"/>
      <c r="CV176" s="168"/>
      <c r="CW176" s="168"/>
      <c r="CX176" s="168"/>
    </row>
    <row r="177" spans="1:102" x14ac:dyDescent="0.25">
      <c r="A177" s="182"/>
      <c r="B177" s="182"/>
      <c r="C177" s="171"/>
      <c r="D177" s="171"/>
      <c r="E177" s="160"/>
      <c r="F177" s="171"/>
      <c r="G177" s="171"/>
      <c r="H177" s="171"/>
      <c r="I177" s="171"/>
      <c r="J177"/>
      <c r="K177"/>
      <c r="L177" s="247"/>
      <c r="M177" s="247"/>
      <c r="N177" s="171"/>
      <c r="O177" s="171"/>
      <c r="P177" s="171"/>
      <c r="Q177" s="160"/>
      <c r="R177" s="160"/>
      <c r="S177" s="171"/>
      <c r="T177" s="171"/>
      <c r="Y177" s="171"/>
      <c r="Z177" s="171"/>
      <c r="AA177" s="171"/>
      <c r="AB177" s="171"/>
      <c r="AC177" s="171"/>
      <c r="AD177" s="171"/>
      <c r="AE177" s="171"/>
      <c r="AF177" s="171"/>
      <c r="AN177" s="171"/>
      <c r="AO177" s="171"/>
      <c r="AP177" s="171"/>
      <c r="AQ177" s="171"/>
      <c r="AR177" s="171"/>
      <c r="AS177" s="171"/>
      <c r="AT177" s="171"/>
      <c r="AU177" s="171"/>
      <c r="AX177" s="171"/>
      <c r="AY177" s="171"/>
      <c r="AZ177" s="171"/>
      <c r="BA177" s="171"/>
      <c r="BB177" s="171"/>
      <c r="BF177" s="171"/>
      <c r="BH177" s="171"/>
    </row>
    <row r="178" spans="1:102" x14ac:dyDescent="0.25">
      <c r="A178" s="182"/>
      <c r="B178" s="182"/>
      <c r="C178" s="171"/>
      <c r="D178" s="171"/>
      <c r="E178" s="160"/>
      <c r="F178" s="171"/>
      <c r="G178" s="171"/>
      <c r="H178" s="171"/>
      <c r="I178" s="171"/>
      <c r="J178" s="171"/>
      <c r="K178" s="171"/>
      <c r="L178" s="629"/>
      <c r="M178" s="629"/>
      <c r="N178" s="171"/>
      <c r="O178" s="171"/>
      <c r="P178" s="171"/>
      <c r="Q178" s="160"/>
      <c r="R178" s="160"/>
      <c r="S178" s="171"/>
      <c r="T178" s="171"/>
      <c r="Y178" s="171"/>
      <c r="Z178" s="171"/>
      <c r="AA178" s="171"/>
      <c r="AB178" s="171"/>
      <c r="AC178" s="171"/>
      <c r="AD178" s="171"/>
      <c r="AE178" s="171"/>
      <c r="AF178" s="171"/>
      <c r="AN178" s="171"/>
      <c r="AO178" s="171"/>
      <c r="AP178" s="171"/>
      <c r="AQ178" s="171"/>
      <c r="AR178" s="171"/>
      <c r="AS178" s="171"/>
      <c r="AT178" s="171"/>
      <c r="AU178" s="171"/>
      <c r="AX178" s="171"/>
      <c r="AY178" s="171"/>
      <c r="AZ178" s="171"/>
      <c r="BA178" s="171"/>
      <c r="BB178" s="171"/>
      <c r="BC178" s="171"/>
      <c r="BD178" s="171"/>
      <c r="BF178" s="171"/>
      <c r="BH178" s="171"/>
      <c r="BI178" s="168"/>
      <c r="BM178" s="168"/>
      <c r="BN178" s="168"/>
      <c r="BO178" s="168"/>
      <c r="BP178" s="168"/>
      <c r="BQ178" s="168"/>
      <c r="BR178" s="168"/>
      <c r="BS178" s="168"/>
      <c r="BT178" s="168"/>
      <c r="BU178" s="168"/>
      <c r="BV178" s="168"/>
      <c r="BW178" s="168"/>
      <c r="BX178" s="168"/>
      <c r="BY178" s="168"/>
      <c r="BZ178" s="168"/>
      <c r="CA178" s="168"/>
      <c r="CB178" s="168"/>
      <c r="CC178" s="168"/>
      <c r="CD178" s="168"/>
      <c r="CE178" s="168"/>
      <c r="CF178" s="168"/>
      <c r="CG178" s="168"/>
      <c r="CH178" s="168"/>
      <c r="CI178" s="168"/>
      <c r="CJ178" s="168"/>
      <c r="CK178" s="168"/>
      <c r="CL178" s="168"/>
      <c r="CM178" s="168"/>
      <c r="CN178" s="168"/>
      <c r="CO178" s="168"/>
      <c r="CP178" s="168"/>
      <c r="CQ178" s="168"/>
      <c r="CR178" s="168"/>
      <c r="CS178" s="168"/>
      <c r="CT178" s="168"/>
      <c r="CU178" s="168"/>
      <c r="CV178" s="168"/>
      <c r="CW178" s="168"/>
      <c r="CX178" s="168"/>
    </row>
    <row r="179" spans="1:102" x14ac:dyDescent="0.25">
      <c r="A179" s="182"/>
      <c r="B179" s="182"/>
      <c r="C179" s="171"/>
      <c r="D179" s="171"/>
      <c r="E179" s="160"/>
      <c r="F179" s="171"/>
      <c r="G179" s="171"/>
      <c r="H179" s="171"/>
      <c r="I179" s="171"/>
      <c r="J179"/>
      <c r="K179"/>
      <c r="L179" s="247"/>
      <c r="M179" s="247"/>
      <c r="N179" s="171"/>
      <c r="O179" s="171"/>
      <c r="P179" s="171"/>
      <c r="Q179" s="160"/>
      <c r="R179" s="160"/>
      <c r="S179" s="171"/>
      <c r="T179" s="171"/>
      <c r="Y179" s="171"/>
      <c r="Z179" s="171"/>
      <c r="AA179" s="171"/>
      <c r="AB179" s="171"/>
      <c r="AC179" s="171"/>
      <c r="AD179" s="171"/>
      <c r="AE179" s="171"/>
      <c r="AF179" s="171"/>
      <c r="AN179" s="171"/>
      <c r="AO179" s="171"/>
      <c r="AP179" s="171"/>
      <c r="AQ179" s="171"/>
      <c r="AR179" s="171"/>
      <c r="AS179" s="171"/>
      <c r="AT179" s="171"/>
      <c r="AU179" s="171"/>
      <c r="AX179" s="171"/>
      <c r="AY179" s="171"/>
      <c r="AZ179" s="171"/>
      <c r="BA179" s="171"/>
      <c r="BB179" s="171"/>
      <c r="BF179" s="171"/>
      <c r="BH179" s="171"/>
    </row>
    <row r="180" spans="1:102" x14ac:dyDescent="0.25">
      <c r="A180" s="182"/>
      <c r="B180" s="182"/>
      <c r="C180" s="171"/>
      <c r="D180" s="171"/>
      <c r="E180" s="160"/>
      <c r="F180" s="171"/>
      <c r="G180" s="171"/>
      <c r="H180" s="171"/>
      <c r="I180" s="171"/>
      <c r="J180"/>
      <c r="K180"/>
      <c r="L180" s="247"/>
      <c r="M180" s="247"/>
      <c r="N180" s="171"/>
      <c r="O180" s="171"/>
      <c r="P180" s="171"/>
      <c r="Q180" s="160"/>
      <c r="R180" s="160"/>
      <c r="S180" s="171"/>
      <c r="T180" s="171"/>
      <c r="Y180" s="171"/>
      <c r="Z180" s="171"/>
      <c r="AA180" s="171"/>
      <c r="AB180" s="171"/>
      <c r="AC180" s="171"/>
      <c r="AD180" s="171"/>
      <c r="AE180" s="171"/>
      <c r="AF180" s="171"/>
      <c r="AN180" s="171"/>
      <c r="AO180" s="171"/>
      <c r="AP180" s="171"/>
      <c r="AQ180" s="171"/>
      <c r="AR180" s="171"/>
      <c r="AS180" s="171"/>
      <c r="AT180" s="171"/>
      <c r="AU180" s="171"/>
      <c r="AX180" s="171"/>
      <c r="AY180" s="171"/>
      <c r="AZ180" s="171"/>
      <c r="BA180" s="171"/>
      <c r="BB180" s="171"/>
      <c r="BF180" s="171"/>
      <c r="BH180" s="171"/>
    </row>
    <row r="181" spans="1:102" x14ac:dyDescent="0.25">
      <c r="A181" s="182"/>
      <c r="B181" s="182"/>
      <c r="C181" s="171"/>
      <c r="D181" s="171"/>
      <c r="E181" s="160"/>
      <c r="F181" s="171"/>
      <c r="G181" s="171"/>
      <c r="H181" s="171"/>
      <c r="I181" s="171"/>
      <c r="J181" s="171"/>
      <c r="K181" s="171"/>
      <c r="L181" s="629"/>
      <c r="M181" s="629"/>
      <c r="N181" s="171"/>
      <c r="O181" s="171"/>
      <c r="P181" s="171"/>
      <c r="Q181" s="160"/>
      <c r="R181" s="160"/>
      <c r="S181" s="171"/>
      <c r="T181" s="171"/>
      <c r="Y181" s="171"/>
      <c r="Z181" s="171"/>
      <c r="AA181" s="171"/>
      <c r="AB181" s="171"/>
      <c r="AC181" s="171"/>
      <c r="AD181" s="171"/>
      <c r="AE181" s="171"/>
      <c r="AF181" s="171"/>
      <c r="AN181" s="171"/>
      <c r="AO181" s="171"/>
      <c r="AP181" s="171"/>
      <c r="AQ181" s="171"/>
      <c r="AR181" s="171"/>
      <c r="AS181" s="171"/>
      <c r="AT181" s="171"/>
      <c r="AU181" s="171"/>
      <c r="AX181" s="171"/>
      <c r="AY181" s="171"/>
      <c r="AZ181" s="171"/>
      <c r="BA181" s="171"/>
      <c r="BB181" s="171"/>
      <c r="BC181" s="171"/>
      <c r="BD181" s="171"/>
      <c r="BF181" s="171"/>
      <c r="BH181" s="171"/>
      <c r="BI181" s="168"/>
      <c r="BL181" s="168"/>
      <c r="BM181" s="168"/>
      <c r="BN181" s="168"/>
      <c r="BO181" s="168"/>
      <c r="BP181" s="168"/>
      <c r="BQ181" s="168"/>
      <c r="BR181" s="168"/>
      <c r="BS181" s="168"/>
      <c r="BT181" s="168"/>
      <c r="BU181" s="168"/>
      <c r="BV181" s="168"/>
      <c r="BW181" s="168"/>
      <c r="BX181" s="168"/>
      <c r="BY181" s="168"/>
      <c r="BZ181" s="168"/>
      <c r="CA181" s="168"/>
      <c r="CB181" s="168"/>
      <c r="CC181" s="168"/>
      <c r="CD181" s="168"/>
      <c r="CE181" s="168"/>
      <c r="CF181" s="168"/>
      <c r="CG181" s="168"/>
      <c r="CH181" s="168"/>
      <c r="CI181" s="168"/>
      <c r="CJ181" s="168"/>
      <c r="CK181" s="168"/>
      <c r="CL181" s="168"/>
      <c r="CM181" s="168"/>
      <c r="CN181" s="168"/>
      <c r="CO181" s="168"/>
      <c r="CP181" s="168"/>
      <c r="CQ181" s="168"/>
      <c r="CR181" s="168"/>
      <c r="CS181" s="168"/>
      <c r="CT181" s="168"/>
      <c r="CU181" s="168"/>
      <c r="CV181" s="168"/>
      <c r="CW181" s="168"/>
      <c r="CX181" s="168"/>
    </row>
    <row r="182" spans="1:102" x14ac:dyDescent="0.25">
      <c r="A182" s="182"/>
      <c r="B182" s="182"/>
      <c r="C182" s="171"/>
      <c r="D182" s="171"/>
      <c r="E182" s="160"/>
      <c r="F182" s="171"/>
      <c r="G182" s="171"/>
      <c r="H182" s="171"/>
      <c r="I182" s="171"/>
      <c r="J182" s="171"/>
      <c r="K182" s="171"/>
      <c r="L182" s="629"/>
      <c r="M182" s="629"/>
      <c r="N182" s="171"/>
      <c r="O182" s="171"/>
      <c r="P182" s="171"/>
      <c r="Q182" s="160"/>
      <c r="R182" s="160"/>
      <c r="S182" s="171"/>
      <c r="T182" s="171"/>
      <c r="Y182" s="171"/>
      <c r="Z182" s="171"/>
      <c r="AA182" s="171"/>
      <c r="AB182" s="171"/>
      <c r="AC182" s="171"/>
      <c r="AD182" s="171"/>
      <c r="AE182" s="171"/>
      <c r="AF182" s="171"/>
      <c r="AN182" s="171"/>
      <c r="AO182" s="171"/>
      <c r="AP182" s="171"/>
      <c r="AQ182" s="171"/>
      <c r="AR182" s="171"/>
      <c r="AS182" s="171"/>
      <c r="AT182" s="171"/>
      <c r="AU182" s="171"/>
      <c r="AX182" s="171"/>
      <c r="AY182" s="171"/>
      <c r="AZ182" s="171"/>
      <c r="BA182" s="171"/>
      <c r="BB182" s="171"/>
      <c r="BC182" s="171"/>
      <c r="BD182" s="171"/>
      <c r="BF182" s="171"/>
      <c r="BH182" s="171"/>
      <c r="BI182" s="168"/>
      <c r="BL182" s="168"/>
      <c r="BM182" s="168"/>
      <c r="BN182" s="168"/>
      <c r="BO182" s="168"/>
      <c r="BP182" s="168"/>
      <c r="BQ182" s="168"/>
      <c r="BR182" s="168"/>
      <c r="BS182" s="168"/>
      <c r="BT182" s="168"/>
      <c r="BU182" s="168"/>
      <c r="BV182" s="168"/>
      <c r="BW182" s="168"/>
      <c r="BX182" s="168"/>
      <c r="BY182" s="168"/>
      <c r="BZ182" s="168"/>
      <c r="CA182" s="168"/>
      <c r="CB182" s="168"/>
      <c r="CC182" s="168"/>
      <c r="CD182" s="168"/>
      <c r="CE182" s="168"/>
      <c r="CF182" s="168"/>
      <c r="CG182" s="168"/>
      <c r="CH182" s="168"/>
      <c r="CI182" s="168"/>
      <c r="CJ182" s="168"/>
      <c r="CK182" s="168"/>
      <c r="CL182" s="168"/>
      <c r="CM182" s="168"/>
      <c r="CN182" s="168"/>
      <c r="CO182" s="168"/>
      <c r="CP182" s="168"/>
      <c r="CQ182" s="168"/>
      <c r="CR182" s="168"/>
      <c r="CS182" s="168"/>
      <c r="CT182" s="168"/>
      <c r="CU182" s="168"/>
      <c r="CV182" s="168"/>
      <c r="CW182" s="168"/>
      <c r="CX182" s="168"/>
    </row>
    <row r="183" spans="1:102" x14ac:dyDescent="0.25">
      <c r="A183" s="182"/>
      <c r="B183" s="182"/>
      <c r="C183" s="171"/>
      <c r="D183" s="171"/>
      <c r="E183" s="160"/>
      <c r="F183" s="171"/>
      <c r="G183" s="171"/>
      <c r="H183" s="171"/>
      <c r="I183" s="171"/>
      <c r="J183"/>
      <c r="K183"/>
      <c r="L183" s="247"/>
      <c r="M183" s="247"/>
      <c r="N183" s="171"/>
      <c r="O183" s="171"/>
      <c r="P183" s="171"/>
      <c r="Q183" s="160"/>
      <c r="R183" s="160"/>
      <c r="S183" s="171"/>
      <c r="T183" s="171"/>
      <c r="Y183" s="171"/>
      <c r="Z183" s="171"/>
      <c r="AA183" s="171"/>
      <c r="AB183" s="171"/>
      <c r="AC183" s="171"/>
      <c r="AD183" s="171"/>
      <c r="AE183" s="171"/>
      <c r="AF183" s="171"/>
      <c r="AN183" s="171"/>
      <c r="AO183" s="171"/>
      <c r="AP183" s="171"/>
      <c r="AQ183" s="171"/>
      <c r="AR183" s="171"/>
      <c r="AS183" s="171"/>
      <c r="AT183" s="171"/>
      <c r="AU183" s="171"/>
      <c r="AX183" s="171"/>
      <c r="AY183" s="171"/>
      <c r="AZ183" s="171"/>
      <c r="BA183" s="171"/>
      <c r="BB183" s="171"/>
      <c r="BF183" s="171"/>
      <c r="BH183" s="171"/>
    </row>
    <row r="184" spans="1:102" x14ac:dyDescent="0.25">
      <c r="A184" s="182"/>
      <c r="B184" s="182"/>
      <c r="C184" s="171"/>
      <c r="D184" s="171"/>
      <c r="E184" s="160"/>
      <c r="F184" s="171"/>
      <c r="G184" s="171"/>
      <c r="H184" s="171"/>
      <c r="I184" s="171"/>
      <c r="J184" s="171"/>
      <c r="K184" s="171"/>
      <c r="L184" s="629"/>
      <c r="M184" s="629"/>
      <c r="N184" s="171"/>
      <c r="O184" s="171"/>
      <c r="P184" s="171"/>
      <c r="Q184" s="160"/>
      <c r="R184" s="160"/>
      <c r="S184" s="171"/>
      <c r="T184" s="171"/>
      <c r="Y184" s="171"/>
      <c r="Z184" s="171"/>
      <c r="AA184" s="171"/>
      <c r="AB184" s="171"/>
      <c r="AC184" s="171"/>
      <c r="AD184" s="171"/>
      <c r="AE184" s="171"/>
      <c r="AF184" s="171"/>
      <c r="AN184" s="171"/>
      <c r="AO184" s="171"/>
      <c r="AP184" s="171"/>
      <c r="AQ184" s="171"/>
      <c r="AR184" s="171"/>
      <c r="AS184" s="171"/>
      <c r="AT184" s="171"/>
      <c r="AU184" s="171"/>
      <c r="AX184" s="171"/>
      <c r="AY184" s="171"/>
      <c r="AZ184" s="171"/>
      <c r="BA184" s="171"/>
      <c r="BB184" s="171"/>
      <c r="BC184" s="171"/>
      <c r="BD184" s="171"/>
      <c r="BF184" s="171"/>
      <c r="BH184" s="171"/>
      <c r="BI184" s="168"/>
      <c r="BL184" s="168"/>
      <c r="BM184" s="168"/>
      <c r="BN184" s="168"/>
      <c r="BO184" s="168"/>
      <c r="BP184" s="168"/>
      <c r="BQ184" s="168"/>
      <c r="BR184" s="168"/>
      <c r="BS184" s="168"/>
      <c r="BT184" s="168"/>
      <c r="BU184" s="168"/>
      <c r="BV184" s="168"/>
      <c r="BW184" s="168"/>
      <c r="BX184" s="168"/>
      <c r="BY184" s="168"/>
      <c r="BZ184" s="168"/>
      <c r="CA184" s="168"/>
      <c r="CB184" s="168"/>
      <c r="CC184" s="168"/>
      <c r="CD184" s="168"/>
      <c r="CE184" s="168"/>
      <c r="CF184" s="168"/>
      <c r="CG184" s="168"/>
      <c r="CH184" s="168"/>
      <c r="CI184" s="168"/>
      <c r="CJ184" s="168"/>
      <c r="CK184" s="168"/>
      <c r="CL184" s="168"/>
      <c r="CM184" s="168"/>
      <c r="CN184" s="168"/>
      <c r="CO184" s="168"/>
      <c r="CP184" s="168"/>
      <c r="CQ184" s="168"/>
      <c r="CR184" s="168"/>
      <c r="CS184" s="168"/>
      <c r="CT184" s="168"/>
      <c r="CU184" s="168"/>
      <c r="CV184" s="168"/>
      <c r="CW184" s="168"/>
      <c r="CX184" s="168"/>
    </row>
    <row r="185" spans="1:102" x14ac:dyDescent="0.25">
      <c r="A185" s="182"/>
      <c r="B185" s="182"/>
      <c r="C185" s="171"/>
      <c r="D185" s="171"/>
      <c r="E185" s="160"/>
      <c r="F185" s="171"/>
      <c r="G185" s="171"/>
      <c r="H185" s="171"/>
      <c r="I185" s="171"/>
      <c r="J185"/>
      <c r="K185"/>
      <c r="L185" s="247"/>
      <c r="M185" s="247"/>
      <c r="N185" s="171"/>
      <c r="O185" s="171"/>
      <c r="P185" s="171"/>
      <c r="Q185" s="160"/>
      <c r="R185" s="160"/>
      <c r="S185" s="171"/>
      <c r="T185" s="171"/>
      <c r="Y185" s="171"/>
      <c r="Z185" s="171"/>
      <c r="AA185" s="171"/>
      <c r="AB185" s="171"/>
      <c r="AC185" s="171"/>
      <c r="AD185" s="171"/>
      <c r="AE185" s="171"/>
      <c r="AF185" s="171"/>
      <c r="AN185" s="171"/>
      <c r="AO185" s="171"/>
      <c r="AP185" s="171"/>
      <c r="AQ185" s="171"/>
      <c r="AR185" s="171"/>
      <c r="AS185" s="171"/>
      <c r="AT185" s="171"/>
      <c r="AU185" s="171"/>
      <c r="AX185" s="171"/>
      <c r="AY185" s="171"/>
      <c r="AZ185" s="171"/>
      <c r="BA185" s="171"/>
      <c r="BB185" s="171"/>
      <c r="BF185" s="171"/>
      <c r="BH185" s="171"/>
    </row>
    <row r="186" spans="1:102" x14ac:dyDescent="0.25">
      <c r="A186" s="182"/>
      <c r="B186" s="182"/>
      <c r="C186" s="171"/>
      <c r="D186" s="171"/>
      <c r="E186" s="160"/>
      <c r="F186" s="171"/>
      <c r="G186" s="171"/>
      <c r="H186" s="171"/>
      <c r="I186" s="171"/>
      <c r="J186"/>
      <c r="K186"/>
      <c r="L186" s="247"/>
      <c r="M186" s="247"/>
      <c r="N186" s="171"/>
      <c r="O186" s="171"/>
      <c r="P186" s="171"/>
      <c r="Q186" s="160"/>
      <c r="R186" s="160"/>
      <c r="S186" s="171"/>
      <c r="T186" s="171"/>
      <c r="Y186" s="171"/>
      <c r="Z186" s="171"/>
      <c r="AA186" s="171"/>
      <c r="AB186" s="171"/>
      <c r="AC186" s="171"/>
      <c r="AD186" s="171"/>
      <c r="AE186" s="171"/>
      <c r="AF186" s="171"/>
      <c r="AN186" s="171"/>
      <c r="AO186" s="171"/>
      <c r="AP186" s="171"/>
      <c r="AQ186" s="171"/>
      <c r="AR186" s="171"/>
      <c r="AS186" s="171"/>
      <c r="AT186" s="171"/>
      <c r="AU186" s="171"/>
      <c r="AX186" s="171"/>
      <c r="AY186" s="171"/>
      <c r="AZ186" s="171"/>
      <c r="BA186" s="171"/>
      <c r="BB186" s="171"/>
      <c r="BF186" s="171"/>
      <c r="BH186" s="171"/>
    </row>
    <row r="187" spans="1:102" x14ac:dyDescent="0.25">
      <c r="A187" s="182"/>
      <c r="B187" s="182"/>
      <c r="C187" s="171"/>
      <c r="D187" s="171"/>
      <c r="E187" s="160"/>
      <c r="F187" s="171"/>
      <c r="G187" s="171"/>
      <c r="H187" s="171"/>
      <c r="I187" s="171"/>
      <c r="J187"/>
      <c r="K187"/>
      <c r="L187" s="247"/>
      <c r="M187" s="247"/>
      <c r="N187" s="171"/>
      <c r="O187" s="171"/>
      <c r="P187" s="171"/>
      <c r="Q187" s="160"/>
      <c r="R187" s="160"/>
      <c r="S187" s="171"/>
      <c r="T187" s="171"/>
      <c r="Y187" s="171"/>
      <c r="Z187" s="171"/>
      <c r="AA187" s="171"/>
      <c r="AB187" s="171"/>
      <c r="AC187" s="171"/>
      <c r="AD187" s="171"/>
      <c r="AE187" s="171"/>
      <c r="AF187" s="171"/>
      <c r="AN187" s="171"/>
      <c r="AO187" s="171"/>
      <c r="AP187" s="171"/>
      <c r="AQ187" s="171"/>
      <c r="AR187" s="171"/>
      <c r="AS187" s="171"/>
      <c r="AT187" s="171"/>
      <c r="AU187" s="171"/>
      <c r="AX187" s="171"/>
      <c r="AY187" s="171"/>
      <c r="AZ187" s="171"/>
      <c r="BA187" s="171"/>
      <c r="BB187" s="171"/>
      <c r="BF187" s="171"/>
      <c r="BH187" s="171"/>
    </row>
    <row r="188" spans="1:102" x14ac:dyDescent="0.25">
      <c r="A188" s="182"/>
      <c r="B188" s="182"/>
      <c r="C188" s="171"/>
      <c r="D188" s="171"/>
      <c r="E188" s="160"/>
      <c r="F188" s="171"/>
      <c r="G188" s="171"/>
      <c r="H188" s="171"/>
      <c r="I188" s="171"/>
      <c r="J188"/>
      <c r="K188"/>
      <c r="L188" s="247"/>
      <c r="M188" s="247"/>
      <c r="N188" s="171"/>
      <c r="O188" s="171"/>
      <c r="P188" s="171"/>
      <c r="Q188" s="160"/>
      <c r="R188" s="160"/>
      <c r="S188" s="171"/>
      <c r="T188" s="171"/>
      <c r="Y188" s="171"/>
      <c r="Z188" s="171"/>
      <c r="AA188" s="171"/>
      <c r="AB188" s="171"/>
      <c r="AC188" s="171"/>
      <c r="AD188" s="171"/>
      <c r="AE188" s="171"/>
      <c r="AF188" s="171"/>
      <c r="AN188" s="171"/>
      <c r="AO188" s="171"/>
      <c r="AP188" s="171"/>
      <c r="AQ188" s="171"/>
      <c r="AR188" s="171"/>
      <c r="AS188" s="171"/>
      <c r="AT188" s="171"/>
      <c r="AU188" s="171"/>
      <c r="AX188" s="171"/>
      <c r="AY188" s="171"/>
      <c r="AZ188" s="171"/>
      <c r="BA188" s="171"/>
      <c r="BB188" s="171"/>
      <c r="BF188" s="171"/>
      <c r="BH188" s="171"/>
    </row>
    <row r="189" spans="1:102" x14ac:dyDescent="0.25">
      <c r="A189" s="182"/>
      <c r="B189" s="182"/>
      <c r="C189" s="171"/>
      <c r="D189" s="171"/>
      <c r="E189" s="160"/>
      <c r="F189" s="171"/>
      <c r="G189" s="171"/>
      <c r="H189" s="171"/>
      <c r="I189" s="171"/>
      <c r="J189"/>
      <c r="K189"/>
      <c r="L189" s="247"/>
      <c r="M189" s="247"/>
      <c r="N189" s="171"/>
      <c r="O189" s="171"/>
      <c r="P189" s="171"/>
      <c r="Q189" s="160"/>
      <c r="R189" s="160"/>
      <c r="S189" s="171"/>
      <c r="T189" s="171"/>
      <c r="Y189" s="171"/>
      <c r="Z189" s="171"/>
      <c r="AA189" s="171"/>
      <c r="AB189" s="171"/>
      <c r="AC189" s="171"/>
      <c r="AD189" s="171"/>
      <c r="AE189" s="171"/>
      <c r="AF189" s="171"/>
      <c r="AN189" s="171"/>
      <c r="AO189" s="171"/>
      <c r="AP189" s="171"/>
      <c r="AQ189" s="171"/>
      <c r="AR189" s="171"/>
      <c r="AS189" s="171"/>
      <c r="AT189" s="171"/>
      <c r="AU189" s="171"/>
      <c r="AX189" s="171"/>
      <c r="AY189" s="171"/>
      <c r="AZ189" s="171"/>
      <c r="BA189" s="171"/>
      <c r="BB189" s="171"/>
      <c r="BF189" s="171"/>
      <c r="BH189" s="171"/>
    </row>
    <row r="190" spans="1:102" x14ac:dyDescent="0.25">
      <c r="A190" s="182"/>
      <c r="B190" s="182"/>
      <c r="C190" s="171"/>
      <c r="D190" s="171"/>
      <c r="E190" s="160"/>
      <c r="F190" s="171"/>
      <c r="G190" s="171"/>
      <c r="H190" s="171"/>
      <c r="I190" s="171"/>
      <c r="J190"/>
      <c r="K190"/>
      <c r="L190" s="247"/>
      <c r="M190" s="247"/>
      <c r="N190" s="171"/>
      <c r="O190" s="171"/>
      <c r="P190" s="171"/>
      <c r="Q190" s="160"/>
      <c r="R190" s="160"/>
      <c r="S190" s="171"/>
      <c r="T190" s="171"/>
      <c r="Y190" s="171"/>
      <c r="Z190" s="171"/>
      <c r="AA190" s="171"/>
      <c r="AB190" s="171"/>
      <c r="AC190" s="171"/>
      <c r="AD190" s="171"/>
      <c r="AE190" s="171"/>
      <c r="AF190" s="171"/>
      <c r="AN190" s="171"/>
      <c r="AO190" s="171"/>
      <c r="AP190" s="171"/>
      <c r="AQ190" s="171"/>
      <c r="AR190" s="171"/>
      <c r="AS190" s="171"/>
      <c r="AT190" s="171"/>
      <c r="AU190" s="171"/>
      <c r="AX190" s="171"/>
      <c r="AY190" s="171"/>
      <c r="AZ190" s="171"/>
      <c r="BA190" s="171"/>
      <c r="BB190" s="171"/>
      <c r="BF190" s="171"/>
      <c r="BH190" s="171"/>
    </row>
    <row r="191" spans="1:102" x14ac:dyDescent="0.25">
      <c r="A191" s="182"/>
      <c r="B191" s="182"/>
      <c r="C191" s="171"/>
      <c r="D191" s="171"/>
      <c r="E191" s="160"/>
      <c r="F191" s="171"/>
      <c r="G191" s="171"/>
      <c r="H191" s="171"/>
      <c r="I191" s="171"/>
      <c r="J191"/>
      <c r="K191"/>
      <c r="L191" s="247"/>
      <c r="M191" s="247"/>
      <c r="N191" s="171"/>
      <c r="O191" s="171"/>
      <c r="P191" s="171"/>
      <c r="Q191" s="160"/>
      <c r="R191" s="160"/>
      <c r="S191" s="171"/>
      <c r="T191" s="171"/>
      <c r="Y191" s="171"/>
      <c r="Z191" s="171"/>
      <c r="AA191" s="171"/>
      <c r="AB191" s="171"/>
      <c r="AC191" s="171"/>
      <c r="AD191" s="171"/>
      <c r="AE191" s="171"/>
      <c r="AF191" s="171"/>
      <c r="AN191" s="171"/>
      <c r="AO191" s="171"/>
      <c r="AP191" s="171"/>
      <c r="AQ191" s="171"/>
      <c r="AR191" s="171"/>
      <c r="AS191" s="171"/>
      <c r="AT191" s="171"/>
      <c r="AU191" s="171"/>
      <c r="AX191" s="171"/>
      <c r="AY191" s="171"/>
      <c r="AZ191" s="171"/>
      <c r="BA191" s="171"/>
      <c r="BB191" s="171"/>
      <c r="BF191" s="171"/>
      <c r="BH191" s="171"/>
    </row>
    <row r="192" spans="1:102" x14ac:dyDescent="0.25">
      <c r="A192" s="182"/>
      <c r="B192" s="182"/>
      <c r="C192" s="171"/>
      <c r="D192" s="171"/>
      <c r="E192" s="160"/>
      <c r="F192" s="171"/>
      <c r="G192" s="171"/>
      <c r="H192" s="171"/>
      <c r="I192" s="171"/>
      <c r="J192"/>
      <c r="K192"/>
      <c r="L192" s="247"/>
      <c r="M192" s="247"/>
      <c r="N192" s="171"/>
      <c r="O192" s="171"/>
      <c r="P192" s="171"/>
      <c r="Q192" s="160"/>
      <c r="R192" s="160"/>
      <c r="S192" s="171"/>
      <c r="T192" s="171"/>
      <c r="Y192" s="171"/>
      <c r="Z192" s="171"/>
      <c r="AA192" s="171"/>
      <c r="AB192" s="171"/>
      <c r="AC192" s="171"/>
      <c r="AD192" s="171"/>
      <c r="AE192" s="171"/>
      <c r="AF192" s="171"/>
      <c r="AN192" s="171"/>
      <c r="AO192" s="171"/>
      <c r="AP192" s="171"/>
      <c r="AQ192" s="171"/>
      <c r="AR192" s="171"/>
      <c r="AS192" s="171"/>
      <c r="AT192" s="171"/>
      <c r="AU192" s="171"/>
      <c r="AX192" s="171"/>
      <c r="AY192" s="171"/>
      <c r="AZ192" s="171"/>
      <c r="BA192" s="171"/>
      <c r="BB192" s="171"/>
      <c r="BF192" s="171"/>
      <c r="BH192" s="171"/>
    </row>
    <row r="193" spans="1:102" x14ac:dyDescent="0.25">
      <c r="A193" s="182"/>
      <c r="B193" s="182"/>
      <c r="C193" s="171"/>
      <c r="D193" s="171"/>
      <c r="E193" s="160"/>
      <c r="F193" s="171"/>
      <c r="G193" s="171"/>
      <c r="H193" s="171"/>
      <c r="I193" s="171"/>
      <c r="J193"/>
      <c r="K193"/>
      <c r="L193" s="247"/>
      <c r="M193" s="247"/>
      <c r="N193" s="171"/>
      <c r="O193" s="171"/>
      <c r="P193" s="171"/>
      <c r="Q193" s="160"/>
      <c r="R193" s="160"/>
      <c r="S193" s="171"/>
      <c r="T193" s="171"/>
      <c r="Y193" s="171"/>
      <c r="Z193" s="171"/>
      <c r="AA193" s="171"/>
      <c r="AB193" s="171"/>
      <c r="AC193" s="171"/>
      <c r="AD193" s="171"/>
      <c r="AE193" s="171"/>
      <c r="AF193" s="171"/>
      <c r="AN193" s="171"/>
      <c r="AO193" s="171"/>
      <c r="AP193" s="171"/>
      <c r="AQ193" s="171"/>
      <c r="AR193" s="171"/>
      <c r="AS193" s="171"/>
      <c r="AT193" s="171"/>
      <c r="AU193" s="171"/>
      <c r="AX193" s="171"/>
      <c r="AY193" s="171"/>
      <c r="AZ193" s="171"/>
      <c r="BA193" s="171"/>
      <c r="BB193" s="171"/>
      <c r="BF193" s="171"/>
      <c r="BH193" s="171"/>
    </row>
    <row r="194" spans="1:102" x14ac:dyDescent="0.25">
      <c r="A194" s="182"/>
      <c r="B194" s="182"/>
      <c r="C194" s="171"/>
      <c r="D194" s="171"/>
      <c r="E194" s="160"/>
      <c r="F194" s="171"/>
      <c r="G194" s="171"/>
      <c r="H194" s="171"/>
      <c r="I194" s="171"/>
      <c r="J194"/>
      <c r="K194"/>
      <c r="L194" s="247"/>
      <c r="M194" s="247"/>
      <c r="N194" s="171"/>
      <c r="O194" s="171"/>
      <c r="P194" s="171"/>
      <c r="Q194" s="160"/>
      <c r="R194" s="160"/>
      <c r="S194" s="171"/>
      <c r="T194" s="171"/>
      <c r="Y194" s="171"/>
      <c r="Z194" s="171"/>
      <c r="AA194" s="171"/>
      <c r="AB194" s="171"/>
      <c r="AC194" s="171"/>
      <c r="AD194" s="171"/>
      <c r="AE194" s="171"/>
      <c r="AF194" s="171"/>
      <c r="AN194" s="171"/>
      <c r="AO194" s="171"/>
      <c r="AP194" s="171"/>
      <c r="AQ194" s="171"/>
      <c r="AR194" s="171"/>
      <c r="AS194" s="171"/>
      <c r="AT194" s="171"/>
      <c r="AU194" s="171"/>
      <c r="AX194" s="171"/>
      <c r="AY194" s="171"/>
      <c r="AZ194" s="171"/>
      <c r="BA194" s="171"/>
      <c r="BB194" s="171"/>
      <c r="BF194" s="171"/>
      <c r="BH194" s="171"/>
    </row>
    <row r="195" spans="1:102" x14ac:dyDescent="0.25">
      <c r="A195" s="182"/>
      <c r="B195" s="182"/>
      <c r="C195" s="171"/>
      <c r="D195" s="171"/>
      <c r="E195" s="160"/>
      <c r="F195" s="171"/>
      <c r="G195" s="171"/>
      <c r="H195" s="171"/>
      <c r="I195" s="171"/>
      <c r="J195"/>
      <c r="K195"/>
      <c r="L195" s="247"/>
      <c r="M195" s="247"/>
      <c r="N195" s="171"/>
      <c r="O195" s="171"/>
      <c r="P195" s="171"/>
      <c r="Q195" s="160"/>
      <c r="R195" s="160"/>
      <c r="S195" s="171"/>
      <c r="T195" s="171"/>
      <c r="Y195" s="171"/>
      <c r="Z195" s="171"/>
      <c r="AA195" s="171"/>
      <c r="AB195" s="171"/>
      <c r="AC195" s="171"/>
      <c r="AD195" s="171"/>
      <c r="AE195" s="171"/>
      <c r="AF195" s="171"/>
      <c r="AN195" s="171"/>
      <c r="AO195" s="171"/>
      <c r="AP195" s="171"/>
      <c r="AQ195" s="171"/>
      <c r="AR195" s="171"/>
      <c r="AS195" s="171"/>
      <c r="AT195" s="171"/>
      <c r="AU195" s="171"/>
      <c r="AX195" s="171"/>
      <c r="AY195" s="171"/>
      <c r="AZ195" s="171"/>
      <c r="BA195" s="171"/>
      <c r="BB195" s="171"/>
      <c r="BF195" s="171"/>
      <c r="BH195" s="171"/>
    </row>
    <row r="196" spans="1:102" x14ac:dyDescent="0.25">
      <c r="A196" s="182"/>
      <c r="B196" s="182"/>
      <c r="C196" s="171"/>
      <c r="D196" s="171"/>
      <c r="E196" s="160"/>
      <c r="F196" s="171"/>
      <c r="G196" s="171"/>
      <c r="H196" s="171"/>
      <c r="I196" s="171"/>
      <c r="J196"/>
      <c r="K196"/>
      <c r="L196" s="247"/>
      <c r="M196" s="247"/>
      <c r="N196" s="171"/>
      <c r="O196" s="171"/>
      <c r="P196" s="171"/>
      <c r="Q196" s="160"/>
      <c r="R196" s="160"/>
      <c r="S196" s="171"/>
      <c r="T196" s="171"/>
      <c r="Y196" s="171"/>
      <c r="Z196" s="171"/>
      <c r="AA196" s="171"/>
      <c r="AB196" s="171"/>
      <c r="AC196" s="171"/>
      <c r="AD196" s="171"/>
      <c r="AE196" s="171"/>
      <c r="AF196" s="171"/>
      <c r="AN196" s="171"/>
      <c r="AO196" s="171"/>
      <c r="AP196" s="171"/>
      <c r="AQ196" s="171"/>
      <c r="AR196" s="171"/>
      <c r="AS196" s="171"/>
      <c r="AT196" s="171"/>
      <c r="AU196" s="171"/>
      <c r="AX196" s="171"/>
      <c r="AY196" s="171"/>
      <c r="AZ196" s="171"/>
      <c r="BA196" s="171"/>
      <c r="BB196" s="171"/>
      <c r="BF196" s="171"/>
      <c r="BH196" s="171"/>
    </row>
    <row r="197" spans="1:102" x14ac:dyDescent="0.25">
      <c r="A197" s="182"/>
      <c r="B197" s="182"/>
      <c r="C197" s="171"/>
      <c r="D197" s="171"/>
      <c r="E197" s="160"/>
      <c r="F197" s="171"/>
      <c r="G197" s="171"/>
      <c r="H197" s="171"/>
      <c r="I197" s="171"/>
      <c r="J197" s="171"/>
      <c r="K197" s="171"/>
      <c r="L197" s="629"/>
      <c r="M197" s="629"/>
      <c r="N197" s="171"/>
      <c r="O197" s="171"/>
      <c r="P197" s="171"/>
      <c r="Q197" s="160"/>
      <c r="R197" s="160"/>
      <c r="S197" s="171"/>
      <c r="T197" s="171"/>
      <c r="Y197" s="171"/>
      <c r="Z197" s="171"/>
      <c r="AA197" s="171"/>
      <c r="AB197" s="171"/>
      <c r="AC197" s="171"/>
      <c r="AD197" s="171"/>
      <c r="AE197" s="171"/>
      <c r="AF197" s="171"/>
      <c r="AN197" s="171"/>
      <c r="AO197" s="171"/>
      <c r="AP197" s="171"/>
      <c r="AQ197" s="171"/>
      <c r="AR197" s="171"/>
      <c r="AS197" s="171"/>
      <c r="AT197" s="171"/>
      <c r="AU197" s="171"/>
      <c r="AX197" s="171"/>
      <c r="AY197" s="171"/>
      <c r="AZ197" s="171"/>
      <c r="BA197" s="171"/>
      <c r="BB197" s="171"/>
      <c r="BC197" s="171"/>
      <c r="BD197" s="171"/>
      <c r="BF197" s="171"/>
      <c r="BH197" s="171"/>
      <c r="BI197" s="168"/>
      <c r="BJ197" s="168"/>
      <c r="BL197" s="168"/>
      <c r="BM197" s="168"/>
      <c r="BN197" s="168"/>
      <c r="BO197" s="168"/>
      <c r="BP197" s="168"/>
      <c r="BQ197" s="168"/>
      <c r="BR197" s="168"/>
      <c r="BS197" s="168"/>
      <c r="BT197" s="168"/>
      <c r="BU197" s="168"/>
      <c r="BV197" s="168"/>
      <c r="BW197" s="168"/>
      <c r="BX197" s="168"/>
      <c r="BY197" s="168"/>
      <c r="BZ197" s="168"/>
      <c r="CA197" s="168"/>
      <c r="CB197" s="168"/>
      <c r="CC197" s="168"/>
      <c r="CD197" s="168"/>
      <c r="CE197" s="168"/>
      <c r="CF197" s="168"/>
      <c r="CG197" s="168"/>
      <c r="CH197" s="168"/>
      <c r="CI197" s="168"/>
      <c r="CJ197" s="168"/>
      <c r="CK197" s="168"/>
      <c r="CL197" s="168"/>
      <c r="CM197" s="168"/>
      <c r="CN197" s="168"/>
      <c r="CO197" s="168"/>
      <c r="CP197" s="168"/>
      <c r="CQ197" s="168"/>
      <c r="CR197" s="168"/>
      <c r="CS197" s="168"/>
      <c r="CT197" s="168"/>
      <c r="CU197" s="168"/>
      <c r="CV197" s="168"/>
      <c r="CW197" s="168"/>
      <c r="CX197" s="168"/>
    </row>
    <row r="198" spans="1:102" x14ac:dyDescent="0.25">
      <c r="A198" s="182"/>
      <c r="B198" s="182"/>
      <c r="C198" s="171"/>
      <c r="D198" s="171"/>
      <c r="E198" s="160"/>
      <c r="F198" s="171"/>
      <c r="G198" s="171"/>
      <c r="H198" s="171"/>
      <c r="I198" s="171"/>
      <c r="J198"/>
      <c r="K198"/>
      <c r="L198" s="247"/>
      <c r="M198" s="247"/>
      <c r="N198" s="171"/>
      <c r="O198" s="171"/>
      <c r="P198" s="171"/>
      <c r="Q198" s="160"/>
      <c r="R198" s="160"/>
      <c r="S198" s="171"/>
      <c r="T198" s="171"/>
      <c r="Y198" s="171"/>
      <c r="Z198" s="171"/>
      <c r="AA198" s="171"/>
      <c r="AB198" s="171"/>
      <c r="AC198" s="171"/>
      <c r="AD198" s="171"/>
      <c r="AE198" s="171"/>
      <c r="AF198" s="171"/>
      <c r="AN198" s="171"/>
      <c r="AO198" s="171"/>
      <c r="AP198" s="171"/>
      <c r="AQ198" s="171"/>
      <c r="AR198" s="171"/>
      <c r="AS198" s="171"/>
      <c r="AT198" s="171"/>
      <c r="AU198" s="171"/>
      <c r="AX198" s="171"/>
      <c r="AY198" s="171"/>
      <c r="AZ198" s="171"/>
      <c r="BA198" s="171"/>
      <c r="BB198" s="171"/>
      <c r="BF198" s="171"/>
      <c r="BH198" s="171"/>
    </row>
    <row r="199" spans="1:102" x14ac:dyDescent="0.25">
      <c r="A199" s="182"/>
      <c r="B199" s="182"/>
      <c r="C199" s="171"/>
      <c r="D199" s="171"/>
      <c r="E199" s="160"/>
      <c r="F199" s="171"/>
      <c r="G199" s="171"/>
      <c r="H199" s="171"/>
      <c r="I199" s="171"/>
      <c r="J199"/>
      <c r="K199"/>
      <c r="L199" s="247"/>
      <c r="M199" s="247"/>
      <c r="N199" s="171"/>
      <c r="O199" s="171"/>
      <c r="P199" s="171"/>
      <c r="Q199" s="160"/>
      <c r="R199" s="160"/>
      <c r="S199" s="171"/>
      <c r="T199" s="171"/>
      <c r="Y199" s="171"/>
      <c r="Z199" s="171"/>
      <c r="AA199" s="171"/>
      <c r="AB199" s="171"/>
      <c r="AC199" s="171"/>
      <c r="AD199" s="171"/>
      <c r="AE199" s="171"/>
      <c r="AF199" s="171"/>
      <c r="AN199" s="171"/>
      <c r="AO199" s="171"/>
      <c r="AP199" s="171"/>
      <c r="AQ199" s="171"/>
      <c r="AR199" s="171"/>
      <c r="AS199" s="171"/>
      <c r="AT199" s="171"/>
      <c r="AU199" s="171"/>
      <c r="AX199" s="171"/>
      <c r="AY199" s="171"/>
      <c r="AZ199" s="171"/>
      <c r="BA199" s="171"/>
      <c r="BB199" s="171"/>
      <c r="BF199" s="171"/>
      <c r="BH199" s="171"/>
    </row>
    <row r="200" spans="1:102" x14ac:dyDescent="0.25">
      <c r="A200" s="182"/>
      <c r="B200" s="182"/>
      <c r="C200" s="171"/>
      <c r="D200" s="171"/>
      <c r="E200" s="160"/>
      <c r="F200" s="171"/>
      <c r="G200" s="171"/>
      <c r="H200" s="171"/>
      <c r="I200" s="171"/>
      <c r="J200"/>
      <c r="K200"/>
      <c r="L200" s="247"/>
      <c r="M200" s="247"/>
      <c r="N200" s="171"/>
      <c r="O200" s="171"/>
      <c r="P200" s="171"/>
      <c r="Q200" s="160"/>
      <c r="R200" s="160"/>
      <c r="S200" s="171"/>
      <c r="T200" s="171"/>
      <c r="Y200" s="171"/>
      <c r="Z200" s="171"/>
      <c r="AA200" s="171"/>
      <c r="AB200" s="171"/>
      <c r="AC200" s="171"/>
      <c r="AD200" s="171"/>
      <c r="AE200" s="171"/>
      <c r="AF200" s="171"/>
      <c r="AN200" s="171"/>
      <c r="AO200" s="171"/>
      <c r="AP200" s="171"/>
      <c r="AQ200" s="171"/>
      <c r="AR200" s="171"/>
      <c r="AS200" s="171"/>
      <c r="AT200" s="171"/>
      <c r="AU200" s="171"/>
      <c r="AX200" s="171"/>
      <c r="AY200" s="171"/>
      <c r="AZ200" s="171"/>
      <c r="BA200" s="171"/>
      <c r="BB200" s="171"/>
      <c r="BF200" s="171"/>
      <c r="BH200" s="171"/>
    </row>
    <row r="201" spans="1:102" x14ac:dyDescent="0.25">
      <c r="A201" s="182"/>
      <c r="B201" s="182"/>
      <c r="C201" s="171"/>
      <c r="D201" s="171"/>
      <c r="E201" s="160"/>
      <c r="F201" s="171"/>
      <c r="G201" s="171"/>
      <c r="H201" s="171"/>
      <c r="I201" s="171"/>
      <c r="J201"/>
      <c r="K201"/>
      <c r="L201" s="247"/>
      <c r="M201" s="247"/>
      <c r="N201" s="171"/>
      <c r="O201" s="171"/>
      <c r="P201" s="171"/>
      <c r="Q201" s="160"/>
      <c r="R201" s="160"/>
      <c r="S201" s="171"/>
      <c r="T201" s="171"/>
      <c r="Y201" s="171"/>
      <c r="Z201" s="171"/>
      <c r="AA201" s="171"/>
      <c r="AB201" s="171"/>
      <c r="AC201" s="171"/>
      <c r="AD201" s="171"/>
      <c r="AE201" s="171"/>
      <c r="AF201" s="171"/>
      <c r="AN201" s="171"/>
      <c r="AO201" s="171"/>
      <c r="AP201" s="171"/>
      <c r="AQ201" s="171"/>
      <c r="AR201" s="171"/>
      <c r="AS201" s="171"/>
      <c r="AT201" s="171"/>
      <c r="AU201" s="171"/>
      <c r="AX201" s="171"/>
      <c r="AY201" s="171"/>
      <c r="AZ201" s="171"/>
      <c r="BA201" s="171"/>
      <c r="BB201" s="171"/>
      <c r="BF201" s="171"/>
      <c r="BH201" s="171"/>
    </row>
    <row r="202" spans="1:102" x14ac:dyDescent="0.25">
      <c r="A202" s="182"/>
      <c r="B202" s="182"/>
      <c r="C202" s="171"/>
      <c r="D202" s="171"/>
      <c r="E202" s="160"/>
      <c r="F202" s="171"/>
      <c r="G202" s="171"/>
      <c r="H202" s="171"/>
      <c r="I202" s="171"/>
      <c r="J202"/>
      <c r="K202"/>
      <c r="L202" s="247"/>
      <c r="M202" s="247"/>
      <c r="N202" s="171"/>
      <c r="O202" s="171"/>
      <c r="P202" s="171"/>
      <c r="Q202" s="160"/>
      <c r="R202" s="160"/>
      <c r="S202" s="171"/>
      <c r="T202" s="171"/>
      <c r="Y202" s="171"/>
      <c r="Z202" s="171"/>
      <c r="AA202" s="171"/>
      <c r="AB202" s="171"/>
      <c r="AC202" s="171"/>
      <c r="AD202" s="171"/>
      <c r="AE202" s="171"/>
      <c r="AF202" s="171"/>
      <c r="AN202" s="171"/>
      <c r="AO202" s="171"/>
      <c r="AP202" s="171"/>
      <c r="AQ202" s="171"/>
      <c r="AR202" s="171"/>
      <c r="AS202" s="171"/>
      <c r="AT202" s="171"/>
      <c r="AU202" s="171"/>
      <c r="AX202" s="171"/>
      <c r="AY202" s="171"/>
      <c r="AZ202" s="171"/>
      <c r="BA202" s="171"/>
      <c r="BB202" s="171"/>
      <c r="BF202" s="171"/>
      <c r="BH202" s="171"/>
    </row>
    <row r="203" spans="1:102" x14ac:dyDescent="0.25">
      <c r="A203" s="182"/>
      <c r="B203" s="182"/>
      <c r="C203" s="171"/>
      <c r="D203" s="171"/>
      <c r="E203" s="160"/>
      <c r="F203" s="171"/>
      <c r="G203" s="171"/>
      <c r="H203" s="171"/>
      <c r="I203" s="171"/>
      <c r="J203"/>
      <c r="K203"/>
      <c r="L203" s="247"/>
      <c r="M203" s="247"/>
      <c r="N203" s="171"/>
      <c r="O203" s="171"/>
      <c r="P203" s="171"/>
      <c r="Q203" s="160"/>
      <c r="R203" s="160"/>
      <c r="S203" s="171"/>
      <c r="T203" s="171"/>
      <c r="Y203" s="171"/>
      <c r="Z203" s="171"/>
      <c r="AA203" s="171"/>
      <c r="AB203" s="171"/>
      <c r="AC203" s="171"/>
      <c r="AD203" s="171"/>
      <c r="AE203" s="171"/>
      <c r="AF203" s="171"/>
      <c r="AN203" s="171"/>
      <c r="AO203" s="171"/>
      <c r="AP203" s="171"/>
      <c r="AQ203" s="171"/>
      <c r="AR203" s="171"/>
      <c r="AS203" s="171"/>
      <c r="AT203" s="171"/>
      <c r="AU203" s="171"/>
      <c r="AX203" s="171"/>
      <c r="AY203" s="171"/>
      <c r="AZ203" s="171"/>
      <c r="BA203" s="171"/>
      <c r="BB203" s="171"/>
      <c r="BF203" s="171"/>
      <c r="BH203" s="171"/>
    </row>
    <row r="204" spans="1:102" x14ac:dyDescent="0.25">
      <c r="A204" s="182"/>
      <c r="B204" s="182"/>
      <c r="C204" s="171"/>
      <c r="D204" s="171"/>
      <c r="E204" s="160"/>
      <c r="F204" s="171"/>
      <c r="G204" s="171"/>
      <c r="H204" s="171"/>
      <c r="I204" s="171"/>
      <c r="J204"/>
      <c r="K204"/>
      <c r="L204" s="247"/>
      <c r="M204" s="247"/>
      <c r="N204" s="171"/>
      <c r="O204" s="171"/>
      <c r="P204" s="171"/>
      <c r="Q204" s="160"/>
      <c r="R204" s="160"/>
      <c r="S204" s="171"/>
      <c r="T204" s="171"/>
      <c r="Y204" s="171"/>
      <c r="Z204" s="171"/>
      <c r="AA204" s="171"/>
      <c r="AB204" s="171"/>
      <c r="AC204" s="171"/>
      <c r="AD204" s="171"/>
      <c r="AE204" s="171"/>
      <c r="AF204" s="171"/>
      <c r="AN204" s="171"/>
      <c r="AO204" s="171"/>
      <c r="AP204" s="171"/>
      <c r="AQ204" s="171"/>
      <c r="AR204" s="171"/>
      <c r="AS204" s="171"/>
      <c r="AT204" s="171"/>
      <c r="AU204" s="171"/>
      <c r="AX204" s="171"/>
      <c r="AY204" s="171"/>
      <c r="AZ204" s="171"/>
      <c r="BA204" s="171"/>
      <c r="BB204" s="171"/>
      <c r="BF204" s="171"/>
      <c r="BH204" s="171"/>
    </row>
    <row r="205" spans="1:102" x14ac:dyDescent="0.25">
      <c r="A205" s="182"/>
      <c r="B205" s="182"/>
      <c r="C205" s="171"/>
      <c r="D205" s="171"/>
      <c r="E205" s="160"/>
      <c r="F205" s="171"/>
      <c r="G205" s="171"/>
      <c r="H205" s="171"/>
      <c r="I205" s="171"/>
      <c r="J205"/>
      <c r="K205"/>
      <c r="L205" s="247"/>
      <c r="M205" s="247"/>
      <c r="N205" s="171"/>
      <c r="O205" s="171"/>
      <c r="P205" s="171"/>
      <c r="Q205" s="160"/>
      <c r="R205" s="160"/>
      <c r="S205" s="171"/>
      <c r="T205" s="171"/>
      <c r="Y205" s="171"/>
      <c r="Z205" s="171"/>
      <c r="AA205" s="171"/>
      <c r="AB205" s="171"/>
      <c r="AC205" s="171"/>
      <c r="AD205" s="171"/>
      <c r="AE205" s="171"/>
      <c r="AF205" s="171"/>
      <c r="AN205" s="171"/>
      <c r="AO205" s="171"/>
      <c r="AP205" s="171"/>
      <c r="AQ205" s="171"/>
      <c r="AR205" s="171"/>
      <c r="AS205" s="171"/>
      <c r="AT205" s="171"/>
      <c r="AU205" s="171"/>
      <c r="AX205" s="171"/>
      <c r="AY205" s="171"/>
      <c r="AZ205" s="171"/>
      <c r="BA205" s="171"/>
      <c r="BB205" s="171"/>
      <c r="BF205" s="171"/>
      <c r="BH205" s="171"/>
    </row>
    <row r="206" spans="1:102" x14ac:dyDescent="0.25">
      <c r="A206" s="182"/>
      <c r="B206" s="182"/>
      <c r="C206" s="171"/>
      <c r="D206" s="171"/>
      <c r="E206" s="160"/>
      <c r="F206" s="171"/>
      <c r="G206" s="171"/>
      <c r="H206" s="171"/>
      <c r="I206" s="171"/>
      <c r="J206"/>
      <c r="K206"/>
      <c r="L206" s="247"/>
      <c r="M206" s="247"/>
      <c r="N206" s="171"/>
      <c r="O206" s="171"/>
      <c r="P206" s="171"/>
      <c r="Q206" s="160"/>
      <c r="R206" s="160"/>
      <c r="S206" s="171"/>
      <c r="T206" s="171"/>
      <c r="Y206" s="171"/>
      <c r="Z206" s="171"/>
      <c r="AA206" s="171"/>
      <c r="AB206" s="171"/>
      <c r="AC206" s="171"/>
      <c r="AD206" s="171"/>
      <c r="AE206" s="171"/>
      <c r="AF206" s="171"/>
      <c r="AN206" s="171"/>
      <c r="AO206" s="171"/>
      <c r="AP206" s="171"/>
      <c r="AQ206" s="171"/>
      <c r="AR206" s="171"/>
      <c r="AS206" s="171"/>
      <c r="AT206" s="171"/>
      <c r="AU206" s="171"/>
      <c r="AX206" s="171"/>
      <c r="AY206" s="171"/>
      <c r="AZ206" s="171"/>
      <c r="BA206" s="171"/>
      <c r="BB206" s="171"/>
      <c r="BF206" s="171"/>
      <c r="BH206" s="171"/>
    </row>
    <row r="207" spans="1:102" x14ac:dyDescent="0.25">
      <c r="A207" s="182"/>
      <c r="B207" s="182"/>
      <c r="C207" s="171"/>
      <c r="D207" s="171"/>
      <c r="E207" s="160"/>
      <c r="F207" s="171"/>
      <c r="G207" s="171"/>
      <c r="H207" s="171"/>
      <c r="I207" s="171"/>
      <c r="J207"/>
      <c r="K207"/>
      <c r="L207" s="247"/>
      <c r="M207" s="247"/>
      <c r="N207" s="171"/>
      <c r="O207" s="171"/>
      <c r="P207" s="171"/>
      <c r="Q207" s="160"/>
      <c r="R207" s="160"/>
      <c r="S207" s="171"/>
      <c r="T207" s="171"/>
      <c r="Y207" s="171"/>
      <c r="Z207" s="171"/>
      <c r="AA207" s="171"/>
      <c r="AB207" s="171"/>
      <c r="AC207" s="171"/>
      <c r="AD207" s="171"/>
      <c r="AE207" s="171"/>
      <c r="AF207" s="171"/>
      <c r="AN207" s="171"/>
      <c r="AO207" s="171"/>
      <c r="AP207" s="171"/>
      <c r="AQ207" s="171"/>
      <c r="AR207" s="171"/>
      <c r="AS207" s="171"/>
      <c r="AT207" s="171"/>
      <c r="AU207" s="171"/>
      <c r="AX207" s="171"/>
      <c r="AY207" s="171"/>
      <c r="AZ207" s="171"/>
      <c r="BA207" s="171"/>
      <c r="BB207" s="171"/>
      <c r="BF207" s="171"/>
      <c r="BH207" s="171"/>
    </row>
    <row r="208" spans="1:102" x14ac:dyDescent="0.25">
      <c r="A208" s="182"/>
      <c r="B208" s="182"/>
      <c r="C208" s="171"/>
      <c r="D208" s="171"/>
      <c r="E208" s="160"/>
      <c r="F208" s="171"/>
      <c r="G208" s="171"/>
      <c r="H208" s="171"/>
      <c r="I208" s="171"/>
      <c r="J208"/>
      <c r="K208"/>
      <c r="L208" s="247"/>
      <c r="M208" s="247"/>
      <c r="N208" s="171"/>
      <c r="O208" s="171"/>
      <c r="P208" s="171"/>
      <c r="Q208" s="160"/>
      <c r="R208" s="160"/>
      <c r="S208" s="171"/>
      <c r="T208" s="171"/>
      <c r="Y208" s="171"/>
      <c r="Z208" s="171"/>
      <c r="AA208" s="171"/>
      <c r="AB208" s="171"/>
      <c r="AC208" s="171"/>
      <c r="AD208" s="171"/>
      <c r="AE208" s="171"/>
      <c r="AF208" s="171"/>
      <c r="AN208" s="171"/>
      <c r="AO208" s="171"/>
      <c r="AP208" s="171"/>
      <c r="AQ208" s="171"/>
      <c r="AR208" s="171"/>
      <c r="AS208" s="171"/>
      <c r="AT208" s="171"/>
      <c r="AU208" s="171"/>
      <c r="AX208" s="171"/>
      <c r="AY208" s="171"/>
      <c r="AZ208" s="171"/>
      <c r="BA208" s="171"/>
      <c r="BB208" s="171"/>
      <c r="BF208" s="171"/>
      <c r="BH208" s="171"/>
    </row>
    <row r="209" spans="1:102" x14ac:dyDescent="0.25">
      <c r="A209" s="182"/>
      <c r="B209" s="182"/>
      <c r="C209" s="171"/>
      <c r="D209" s="171"/>
      <c r="E209" s="160"/>
      <c r="F209" s="171"/>
      <c r="G209" s="171"/>
      <c r="H209" s="171"/>
      <c r="I209" s="171"/>
      <c r="J209"/>
      <c r="K209"/>
      <c r="L209" s="247"/>
      <c r="M209" s="247"/>
      <c r="N209" s="171"/>
      <c r="O209" s="171"/>
      <c r="P209" s="171"/>
      <c r="Q209" s="160"/>
      <c r="R209" s="160"/>
      <c r="S209" s="171"/>
      <c r="T209" s="171"/>
      <c r="Y209" s="171"/>
      <c r="Z209" s="171"/>
      <c r="AA209" s="171"/>
      <c r="AB209" s="171"/>
      <c r="AC209" s="171"/>
      <c r="AD209" s="171"/>
      <c r="AE209" s="171"/>
      <c r="AF209" s="171"/>
      <c r="AN209" s="171"/>
      <c r="AO209" s="171"/>
      <c r="AP209" s="171"/>
      <c r="AQ209" s="171"/>
      <c r="AR209" s="171"/>
      <c r="AS209" s="171"/>
      <c r="AT209" s="171"/>
      <c r="AU209" s="171"/>
      <c r="AX209" s="171"/>
      <c r="AY209" s="171"/>
      <c r="AZ209" s="171"/>
      <c r="BA209" s="171"/>
      <c r="BB209" s="171"/>
      <c r="BF209" s="171"/>
      <c r="BH209" s="171"/>
    </row>
    <row r="210" spans="1:102" x14ac:dyDescent="0.25">
      <c r="A210" s="182"/>
      <c r="B210" s="182"/>
      <c r="C210" s="171"/>
      <c r="D210" s="171"/>
      <c r="E210" s="160"/>
      <c r="F210" s="171"/>
      <c r="G210" s="171"/>
      <c r="H210" s="171"/>
      <c r="I210" s="171"/>
      <c r="J210"/>
      <c r="K210"/>
      <c r="L210" s="247"/>
      <c r="M210" s="247"/>
      <c r="N210" s="171"/>
      <c r="O210" s="171"/>
      <c r="P210" s="171"/>
      <c r="Q210" s="160"/>
      <c r="R210" s="160"/>
      <c r="S210" s="171"/>
      <c r="T210" s="171"/>
      <c r="Y210" s="171"/>
      <c r="Z210" s="171"/>
      <c r="AA210" s="171"/>
      <c r="AB210" s="171"/>
      <c r="AC210" s="171"/>
      <c r="AD210" s="171"/>
      <c r="AE210" s="171"/>
      <c r="AF210" s="171"/>
      <c r="AN210" s="171"/>
      <c r="AO210" s="171"/>
      <c r="AP210" s="171"/>
      <c r="AQ210" s="171"/>
      <c r="AR210" s="171"/>
      <c r="AS210" s="171"/>
      <c r="AT210" s="171"/>
      <c r="AU210" s="171"/>
      <c r="AX210" s="171"/>
      <c r="AY210" s="171"/>
      <c r="AZ210" s="171"/>
      <c r="BA210" s="171"/>
      <c r="BB210" s="171"/>
      <c r="BF210" s="171"/>
      <c r="BH210" s="171"/>
    </row>
    <row r="211" spans="1:102" x14ac:dyDescent="0.25">
      <c r="A211" s="182"/>
      <c r="B211" s="182"/>
      <c r="C211" s="171"/>
      <c r="D211" s="171"/>
      <c r="E211" s="160"/>
      <c r="F211" s="171"/>
      <c r="G211" s="171"/>
      <c r="H211" s="171"/>
      <c r="I211" s="171"/>
      <c r="J211" s="171"/>
      <c r="K211" s="171"/>
      <c r="L211" s="629"/>
      <c r="M211" s="629"/>
      <c r="N211" s="171"/>
      <c r="O211" s="171"/>
      <c r="P211" s="171"/>
      <c r="Q211" s="160"/>
      <c r="R211" s="160"/>
      <c r="S211" s="171"/>
      <c r="T211" s="171"/>
      <c r="Y211" s="171"/>
      <c r="Z211" s="171"/>
      <c r="AA211" s="171"/>
      <c r="AB211" s="171"/>
      <c r="AC211" s="171"/>
      <c r="AD211" s="171"/>
      <c r="AE211" s="171"/>
      <c r="AF211" s="171"/>
      <c r="AN211" s="171"/>
      <c r="AO211" s="171"/>
      <c r="AP211" s="171"/>
      <c r="AQ211" s="171"/>
      <c r="AR211" s="171"/>
      <c r="AS211" s="171"/>
      <c r="AT211" s="171"/>
      <c r="AU211" s="171"/>
      <c r="AX211" s="171"/>
      <c r="AY211" s="171"/>
      <c r="AZ211" s="171"/>
      <c r="BA211" s="171"/>
      <c r="BB211" s="171"/>
      <c r="BC211" s="171"/>
      <c r="BD211" s="171"/>
      <c r="BF211" s="171"/>
      <c r="BH211" s="171"/>
      <c r="BI211" s="168"/>
      <c r="BL211" s="168"/>
      <c r="BM211" s="168"/>
      <c r="BN211" s="168"/>
      <c r="BO211" s="168"/>
      <c r="BP211" s="168"/>
      <c r="BQ211" s="168"/>
      <c r="BR211" s="168"/>
      <c r="BS211" s="168"/>
      <c r="BT211" s="168"/>
      <c r="BU211" s="168"/>
      <c r="BV211" s="168"/>
      <c r="BW211" s="168"/>
      <c r="BX211" s="168"/>
      <c r="BY211" s="168"/>
      <c r="BZ211" s="168"/>
      <c r="CA211" s="168"/>
      <c r="CB211" s="168"/>
      <c r="CC211" s="168"/>
      <c r="CD211" s="168"/>
      <c r="CE211" s="168"/>
      <c r="CF211" s="168"/>
      <c r="CG211" s="168"/>
      <c r="CH211" s="168"/>
      <c r="CI211" s="168"/>
      <c r="CJ211" s="168"/>
      <c r="CK211" s="168"/>
      <c r="CL211" s="168"/>
      <c r="CM211" s="168"/>
      <c r="CN211" s="168"/>
      <c r="CO211" s="168"/>
      <c r="CP211" s="168"/>
      <c r="CQ211" s="168"/>
      <c r="CR211" s="168"/>
      <c r="CS211" s="168"/>
      <c r="CT211" s="168"/>
      <c r="CU211" s="168"/>
      <c r="CV211" s="168"/>
      <c r="CW211" s="168"/>
      <c r="CX211" s="168"/>
    </row>
    <row r="212" spans="1:102" x14ac:dyDescent="0.25">
      <c r="A212" s="182"/>
      <c r="B212" s="182"/>
      <c r="C212" s="171"/>
      <c r="D212" s="171"/>
      <c r="E212" s="160"/>
      <c r="F212" s="171"/>
      <c r="G212" s="171"/>
      <c r="H212" s="171"/>
      <c r="I212" s="171"/>
      <c r="J212"/>
      <c r="K212"/>
      <c r="L212" s="247"/>
      <c r="M212" s="247"/>
      <c r="N212" s="171"/>
      <c r="O212" s="171"/>
      <c r="P212" s="171"/>
      <c r="Q212" s="160"/>
      <c r="R212" s="160"/>
      <c r="S212" s="171"/>
      <c r="T212" s="171"/>
      <c r="Y212" s="171"/>
      <c r="Z212" s="171"/>
      <c r="AA212" s="171"/>
      <c r="AB212" s="171"/>
      <c r="AC212" s="171"/>
      <c r="AD212" s="171"/>
      <c r="AE212" s="171"/>
      <c r="AF212" s="171"/>
      <c r="AN212" s="171"/>
      <c r="AO212" s="171"/>
      <c r="AP212" s="171"/>
      <c r="AQ212" s="171"/>
      <c r="AR212" s="171"/>
      <c r="AS212" s="171"/>
      <c r="AT212" s="171"/>
      <c r="AU212" s="171"/>
      <c r="AX212" s="171"/>
      <c r="AY212" s="171"/>
      <c r="AZ212" s="171"/>
      <c r="BA212" s="171"/>
      <c r="BB212" s="171"/>
      <c r="BF212" s="171"/>
      <c r="BH212" s="171"/>
    </row>
    <row r="213" spans="1:102" x14ac:dyDescent="0.25">
      <c r="A213" s="182"/>
      <c r="B213" s="182"/>
      <c r="C213" s="171"/>
      <c r="D213" s="171"/>
      <c r="E213" s="160"/>
      <c r="F213" s="171"/>
      <c r="G213" s="171"/>
      <c r="H213" s="171"/>
      <c r="I213" s="171"/>
      <c r="J213"/>
      <c r="K213"/>
      <c r="L213" s="247"/>
      <c r="M213" s="247"/>
      <c r="N213" s="171"/>
      <c r="O213" s="171"/>
      <c r="P213" s="171"/>
      <c r="Q213" s="160"/>
      <c r="R213" s="160"/>
      <c r="S213" s="171"/>
      <c r="T213" s="171"/>
      <c r="Y213" s="171"/>
      <c r="Z213" s="171"/>
      <c r="AA213" s="171"/>
      <c r="AB213" s="171"/>
      <c r="AC213" s="171"/>
      <c r="AD213" s="171"/>
      <c r="AE213" s="171"/>
      <c r="AF213" s="171"/>
      <c r="AN213" s="171"/>
      <c r="AO213" s="171"/>
      <c r="AP213" s="171"/>
      <c r="AQ213" s="171"/>
      <c r="AR213" s="171"/>
      <c r="AS213" s="171"/>
      <c r="AT213" s="171"/>
      <c r="AU213" s="171"/>
      <c r="AX213" s="171"/>
      <c r="AY213" s="171"/>
      <c r="AZ213" s="171"/>
      <c r="BA213" s="171"/>
      <c r="BB213" s="171"/>
      <c r="BF213" s="171"/>
      <c r="BH213" s="171"/>
    </row>
    <row r="214" spans="1:102" x14ac:dyDescent="0.25">
      <c r="A214" s="182"/>
      <c r="B214" s="182"/>
      <c r="C214" s="171"/>
      <c r="D214" s="171"/>
      <c r="E214" s="160"/>
      <c r="F214" s="171"/>
      <c r="G214" s="171"/>
      <c r="H214" s="171"/>
      <c r="I214" s="171"/>
      <c r="J214"/>
      <c r="K214"/>
      <c r="L214" s="247"/>
      <c r="M214" s="247"/>
      <c r="N214" s="171"/>
      <c r="O214" s="171"/>
      <c r="P214" s="171"/>
      <c r="Q214" s="160"/>
      <c r="R214" s="160"/>
      <c r="S214" s="171"/>
      <c r="T214" s="171"/>
      <c r="Y214" s="171"/>
      <c r="Z214" s="171"/>
      <c r="AA214" s="171"/>
      <c r="AB214" s="171"/>
      <c r="AC214" s="171"/>
      <c r="AD214" s="171"/>
      <c r="AE214" s="171"/>
      <c r="AF214" s="171"/>
      <c r="AN214" s="171"/>
      <c r="AO214" s="171"/>
      <c r="AP214" s="171"/>
      <c r="AQ214" s="171"/>
      <c r="AR214" s="171"/>
      <c r="AS214" s="171"/>
      <c r="AT214" s="171"/>
      <c r="AU214" s="171"/>
      <c r="AX214" s="171"/>
      <c r="AY214" s="171"/>
      <c r="AZ214" s="171"/>
      <c r="BA214" s="171"/>
      <c r="BB214" s="171"/>
      <c r="BF214" s="171"/>
      <c r="BH214" s="171"/>
    </row>
    <row r="215" spans="1:102" x14ac:dyDescent="0.25">
      <c r="A215" s="182"/>
      <c r="B215" s="182"/>
      <c r="C215" s="171"/>
      <c r="D215" s="171"/>
      <c r="E215" s="160"/>
      <c r="F215" s="171"/>
      <c r="G215" s="171"/>
      <c r="H215" s="171"/>
      <c r="I215" s="171"/>
      <c r="J215"/>
      <c r="K215"/>
      <c r="L215" s="247"/>
      <c r="M215" s="247"/>
      <c r="N215" s="171"/>
      <c r="O215" s="171"/>
      <c r="P215" s="171"/>
      <c r="Q215" s="160"/>
      <c r="R215" s="160"/>
      <c r="S215" s="171"/>
      <c r="T215" s="171"/>
      <c r="Y215" s="171"/>
      <c r="Z215" s="171"/>
      <c r="AA215" s="171"/>
      <c r="AB215" s="171"/>
      <c r="AC215" s="171"/>
      <c r="AD215" s="171"/>
      <c r="AE215" s="171"/>
      <c r="AF215" s="171"/>
      <c r="AN215" s="171"/>
      <c r="AO215" s="171"/>
      <c r="AP215" s="171"/>
      <c r="AQ215" s="171"/>
      <c r="AR215" s="171"/>
      <c r="AS215" s="171"/>
      <c r="AT215" s="171"/>
      <c r="AU215" s="171"/>
      <c r="AX215" s="171"/>
      <c r="AY215" s="171"/>
      <c r="AZ215" s="171"/>
      <c r="BA215" s="171"/>
      <c r="BB215" s="171"/>
      <c r="BF215" s="171"/>
      <c r="BH215" s="171"/>
    </row>
    <row r="216" spans="1:102" x14ac:dyDescent="0.25">
      <c r="A216" s="182"/>
      <c r="B216" s="182"/>
      <c r="C216" s="171"/>
      <c r="D216" s="171"/>
      <c r="E216" s="160"/>
      <c r="F216" s="171"/>
      <c r="G216" s="171"/>
      <c r="H216" s="171"/>
      <c r="I216" s="171"/>
      <c r="J216"/>
      <c r="K216"/>
      <c r="L216" s="247"/>
      <c r="M216" s="247"/>
      <c r="N216" s="171"/>
      <c r="O216" s="171"/>
      <c r="P216" s="171"/>
      <c r="Q216" s="160"/>
      <c r="R216" s="160"/>
      <c r="S216" s="171"/>
      <c r="T216" s="171"/>
      <c r="Y216" s="171"/>
      <c r="Z216" s="171"/>
      <c r="AA216" s="171"/>
      <c r="AB216" s="171"/>
      <c r="AC216" s="171"/>
      <c r="AD216" s="171"/>
      <c r="AE216" s="171"/>
      <c r="AF216" s="171"/>
      <c r="AN216" s="171"/>
      <c r="AO216" s="171"/>
      <c r="AP216" s="171"/>
      <c r="AQ216" s="171"/>
      <c r="AR216" s="171"/>
      <c r="AS216" s="171"/>
      <c r="AT216" s="171"/>
      <c r="AU216" s="171"/>
      <c r="AX216" s="171"/>
      <c r="AY216" s="171"/>
      <c r="AZ216" s="171"/>
      <c r="BA216" s="171"/>
      <c r="BB216" s="171"/>
      <c r="BF216" s="171"/>
      <c r="BH216" s="171"/>
    </row>
    <row r="217" spans="1:102" x14ac:dyDescent="0.25">
      <c r="A217" s="182"/>
      <c r="B217" s="182"/>
      <c r="C217" s="171"/>
      <c r="D217" s="171"/>
      <c r="E217" s="160"/>
      <c r="F217" s="171"/>
      <c r="G217" s="171"/>
      <c r="H217" s="171"/>
      <c r="I217" s="171"/>
      <c r="J217"/>
      <c r="K217"/>
      <c r="L217" s="247"/>
      <c r="M217" s="247"/>
      <c r="N217" s="171"/>
      <c r="O217" s="171"/>
      <c r="P217" s="171"/>
      <c r="Q217" s="160"/>
      <c r="R217" s="160"/>
      <c r="S217" s="171"/>
      <c r="T217" s="171"/>
      <c r="Y217" s="171"/>
      <c r="Z217" s="171"/>
      <c r="AA217" s="171"/>
      <c r="AB217" s="171"/>
      <c r="AC217" s="171"/>
      <c r="AD217" s="171"/>
      <c r="AE217" s="171"/>
      <c r="AF217" s="171"/>
      <c r="AN217" s="171"/>
      <c r="AO217" s="171"/>
      <c r="AP217" s="171"/>
      <c r="AQ217" s="171"/>
      <c r="AR217" s="171"/>
      <c r="AS217" s="171"/>
      <c r="AT217" s="171"/>
      <c r="AU217" s="171"/>
      <c r="AX217" s="171"/>
      <c r="AY217" s="171"/>
      <c r="AZ217" s="171"/>
      <c r="BA217" s="171"/>
      <c r="BB217" s="171"/>
      <c r="BF217" s="171"/>
      <c r="BH217" s="171"/>
    </row>
    <row r="218" spans="1:102" x14ac:dyDescent="0.25">
      <c r="A218" s="182"/>
      <c r="B218" s="182"/>
      <c r="C218" s="171"/>
      <c r="D218" s="171"/>
      <c r="E218" s="160"/>
      <c r="F218" s="171"/>
      <c r="G218" s="171"/>
      <c r="H218" s="171"/>
      <c r="I218" s="171"/>
      <c r="J218"/>
      <c r="K218"/>
      <c r="L218" s="247"/>
      <c r="M218" s="247"/>
      <c r="N218" s="171"/>
      <c r="O218" s="171"/>
      <c r="P218" s="171"/>
      <c r="Q218" s="160"/>
      <c r="R218" s="160"/>
      <c r="S218" s="171"/>
      <c r="T218" s="171"/>
      <c r="Y218" s="171"/>
      <c r="Z218" s="171"/>
      <c r="AA218" s="171"/>
      <c r="AB218" s="171"/>
      <c r="AC218" s="171"/>
      <c r="AD218" s="171"/>
      <c r="AE218" s="171"/>
      <c r="AF218" s="171"/>
      <c r="AN218" s="171"/>
      <c r="AO218" s="171"/>
      <c r="AP218" s="171"/>
      <c r="AQ218" s="171"/>
      <c r="AR218" s="171"/>
      <c r="AS218" s="171"/>
      <c r="AT218" s="171"/>
      <c r="AU218" s="171"/>
      <c r="AX218" s="171"/>
      <c r="AY218" s="171"/>
      <c r="AZ218" s="171"/>
      <c r="BA218" s="171"/>
      <c r="BB218" s="171"/>
      <c r="BF218" s="171"/>
      <c r="BH218" s="171"/>
    </row>
    <row r="219" spans="1:102" x14ac:dyDescent="0.25">
      <c r="A219" s="182"/>
      <c r="B219" s="182"/>
      <c r="C219" s="171"/>
      <c r="D219" s="171"/>
      <c r="E219" s="160"/>
      <c r="F219" s="171"/>
      <c r="G219" s="171"/>
      <c r="H219" s="171"/>
      <c r="I219" s="171"/>
      <c r="J219"/>
      <c r="K219"/>
      <c r="L219" s="247"/>
      <c r="M219" s="247"/>
      <c r="N219" s="171"/>
      <c r="O219" s="171"/>
      <c r="P219" s="171"/>
      <c r="Q219" s="160"/>
      <c r="R219" s="160"/>
      <c r="S219" s="171"/>
      <c r="T219" s="171"/>
      <c r="Y219" s="171"/>
      <c r="Z219" s="171"/>
      <c r="AA219" s="171"/>
      <c r="AB219" s="171"/>
      <c r="AC219" s="171"/>
      <c r="AD219" s="171"/>
      <c r="AE219" s="171"/>
      <c r="AF219" s="171"/>
      <c r="AN219" s="171"/>
      <c r="AO219" s="171"/>
      <c r="AP219" s="171"/>
      <c r="AQ219" s="171"/>
      <c r="AR219" s="171"/>
      <c r="AS219" s="171"/>
      <c r="AT219" s="171"/>
      <c r="AU219" s="171"/>
      <c r="AX219" s="171"/>
      <c r="AY219" s="171"/>
      <c r="AZ219" s="171"/>
      <c r="BA219" s="171"/>
      <c r="BB219" s="171"/>
      <c r="BF219" s="171"/>
      <c r="BH219" s="171"/>
    </row>
    <row r="220" spans="1:102" x14ac:dyDescent="0.25">
      <c r="A220" s="182"/>
      <c r="B220" s="182"/>
      <c r="C220" s="171"/>
      <c r="D220" s="171"/>
      <c r="E220" s="160"/>
      <c r="F220" s="171"/>
      <c r="G220" s="171"/>
      <c r="H220" s="171"/>
      <c r="I220" s="171"/>
      <c r="J220"/>
      <c r="K220"/>
      <c r="L220" s="247"/>
      <c r="M220" s="247"/>
      <c r="N220" s="171"/>
      <c r="O220" s="171"/>
      <c r="P220" s="171"/>
      <c r="Q220" s="160"/>
      <c r="R220" s="160"/>
      <c r="S220" s="171"/>
      <c r="T220" s="171"/>
      <c r="Y220" s="171"/>
      <c r="Z220" s="171"/>
      <c r="AA220" s="171"/>
      <c r="AB220" s="171"/>
      <c r="AC220" s="171"/>
      <c r="AD220" s="171"/>
      <c r="AE220" s="171"/>
      <c r="AF220" s="171"/>
      <c r="AN220" s="171"/>
      <c r="AO220" s="171"/>
      <c r="AP220" s="171"/>
      <c r="AQ220" s="171"/>
      <c r="AR220" s="171"/>
      <c r="AS220" s="171"/>
      <c r="AT220" s="171"/>
      <c r="AU220" s="171"/>
      <c r="AX220" s="171"/>
      <c r="AY220" s="171"/>
      <c r="AZ220" s="171"/>
      <c r="BA220" s="171"/>
      <c r="BB220" s="171"/>
      <c r="BF220" s="171"/>
      <c r="BH220" s="171"/>
    </row>
    <row r="221" spans="1:102" x14ac:dyDescent="0.25">
      <c r="A221" s="182"/>
      <c r="B221" s="182"/>
      <c r="C221" s="171"/>
      <c r="D221" s="171"/>
      <c r="E221" s="160"/>
      <c r="F221" s="171"/>
      <c r="G221" s="171"/>
      <c r="H221" s="171"/>
      <c r="I221" s="171"/>
      <c r="J221"/>
      <c r="K221"/>
      <c r="L221" s="247"/>
      <c r="M221" s="247"/>
      <c r="N221" s="171"/>
      <c r="O221" s="171"/>
      <c r="P221" s="171"/>
      <c r="Q221" s="160"/>
      <c r="R221" s="160"/>
      <c r="S221" s="171"/>
      <c r="T221" s="171"/>
      <c r="Y221" s="171"/>
      <c r="Z221" s="171"/>
      <c r="AA221" s="171"/>
      <c r="AB221" s="171"/>
      <c r="AC221" s="171"/>
      <c r="AD221" s="171"/>
      <c r="AE221" s="171"/>
      <c r="AF221" s="171"/>
      <c r="AN221" s="171"/>
      <c r="AO221" s="171"/>
      <c r="AP221" s="171"/>
      <c r="AQ221" s="171"/>
      <c r="AR221" s="171"/>
      <c r="AS221" s="171"/>
      <c r="AT221" s="171"/>
      <c r="AU221" s="171"/>
      <c r="AX221" s="171"/>
      <c r="AY221" s="171"/>
      <c r="AZ221" s="171"/>
      <c r="BA221" s="171"/>
      <c r="BB221" s="171"/>
      <c r="BF221" s="171"/>
      <c r="BH221" s="171"/>
    </row>
    <row r="222" spans="1:102" x14ac:dyDescent="0.25">
      <c r="A222" s="182"/>
      <c r="B222" s="182"/>
      <c r="C222" s="171"/>
      <c r="D222" s="171"/>
      <c r="E222" s="160"/>
      <c r="F222" s="171"/>
      <c r="G222" s="171"/>
      <c r="H222" s="171"/>
      <c r="I222" s="171"/>
      <c r="J222"/>
      <c r="K222"/>
      <c r="L222" s="247"/>
      <c r="M222" s="247"/>
      <c r="N222" s="171"/>
      <c r="O222" s="171"/>
      <c r="P222" s="171"/>
      <c r="Q222" s="160"/>
      <c r="R222" s="160"/>
      <c r="S222" s="171"/>
      <c r="T222" s="171"/>
      <c r="Y222" s="171"/>
      <c r="Z222" s="171"/>
      <c r="AA222" s="171"/>
      <c r="AB222" s="171"/>
      <c r="AC222" s="171"/>
      <c r="AD222" s="171"/>
      <c r="AE222" s="171"/>
      <c r="AF222" s="171"/>
      <c r="AN222" s="171"/>
      <c r="AO222" s="171"/>
      <c r="AP222" s="171"/>
      <c r="AQ222" s="171"/>
      <c r="AR222" s="171"/>
      <c r="AS222" s="171"/>
      <c r="AT222" s="171"/>
      <c r="AU222" s="171"/>
      <c r="AX222" s="171"/>
      <c r="AY222" s="171"/>
      <c r="AZ222" s="171"/>
      <c r="BA222" s="171"/>
      <c r="BB222" s="171"/>
      <c r="BF222" s="171"/>
      <c r="BH222" s="171"/>
    </row>
    <row r="223" spans="1:102" x14ac:dyDescent="0.25">
      <c r="A223" s="182"/>
      <c r="B223" s="182"/>
      <c r="C223" s="171"/>
      <c r="D223" s="171"/>
      <c r="E223" s="160"/>
      <c r="F223" s="171"/>
      <c r="G223" s="171"/>
      <c r="H223" s="171"/>
      <c r="I223" s="171"/>
      <c r="J223"/>
      <c r="K223"/>
      <c r="L223" s="247"/>
      <c r="M223" s="247"/>
      <c r="N223" s="171"/>
      <c r="O223" s="171"/>
      <c r="P223" s="171"/>
      <c r="Q223" s="160"/>
      <c r="R223" s="160"/>
      <c r="S223" s="171"/>
      <c r="T223" s="171"/>
      <c r="Y223" s="171"/>
      <c r="Z223" s="171"/>
      <c r="AA223" s="171"/>
      <c r="AB223" s="171"/>
      <c r="AC223" s="171"/>
      <c r="AD223" s="171"/>
      <c r="AE223" s="171"/>
      <c r="AF223" s="171"/>
      <c r="AN223" s="171"/>
      <c r="AO223" s="171"/>
      <c r="AP223" s="171"/>
      <c r="AQ223" s="171"/>
      <c r="AR223" s="171"/>
      <c r="AS223" s="171"/>
      <c r="AT223" s="171"/>
      <c r="AU223" s="171"/>
      <c r="AX223" s="171"/>
      <c r="AY223" s="171"/>
      <c r="AZ223" s="171"/>
      <c r="BA223" s="171"/>
      <c r="BB223" s="171"/>
      <c r="BF223" s="171"/>
      <c r="BH223" s="171"/>
    </row>
    <row r="224" spans="1:102" x14ac:dyDescent="0.25">
      <c r="A224" s="182"/>
      <c r="B224" s="182"/>
      <c r="C224" s="171"/>
      <c r="D224" s="171"/>
      <c r="E224" s="160"/>
      <c r="F224" s="171"/>
      <c r="G224" s="171"/>
      <c r="H224" s="171"/>
      <c r="I224" s="171"/>
      <c r="J224"/>
      <c r="K224"/>
      <c r="L224" s="247"/>
      <c r="M224" s="247"/>
      <c r="N224" s="171"/>
      <c r="O224" s="171"/>
      <c r="P224" s="171"/>
      <c r="Q224" s="160"/>
      <c r="R224" s="160"/>
      <c r="S224" s="171"/>
      <c r="T224" s="171"/>
      <c r="Y224" s="171"/>
      <c r="Z224" s="171"/>
      <c r="AA224" s="171"/>
      <c r="AB224" s="171"/>
      <c r="AC224" s="171"/>
      <c r="AD224" s="171"/>
      <c r="AE224" s="171"/>
      <c r="AF224" s="171"/>
      <c r="AN224" s="171"/>
      <c r="AO224" s="171"/>
      <c r="AP224" s="171"/>
      <c r="AQ224" s="171"/>
      <c r="AR224" s="171"/>
      <c r="AS224" s="171"/>
      <c r="AT224" s="171"/>
      <c r="AU224" s="171"/>
      <c r="AX224" s="171"/>
      <c r="AY224" s="171"/>
      <c r="AZ224" s="171"/>
      <c r="BA224" s="171"/>
      <c r="BB224" s="171"/>
      <c r="BF224" s="171"/>
      <c r="BH224" s="171"/>
    </row>
    <row r="225" spans="1:102" x14ac:dyDescent="0.25">
      <c r="A225" s="182"/>
      <c r="B225" s="182"/>
      <c r="C225" s="171"/>
      <c r="D225" s="171"/>
      <c r="E225" s="160"/>
      <c r="F225" s="171"/>
      <c r="G225" s="171"/>
      <c r="H225" s="171"/>
      <c r="I225" s="171"/>
      <c r="J225"/>
      <c r="K225"/>
      <c r="L225" s="247"/>
      <c r="M225" s="247"/>
      <c r="N225" s="171"/>
      <c r="O225" s="171"/>
      <c r="P225" s="171"/>
      <c r="Q225" s="160"/>
      <c r="R225" s="160"/>
      <c r="S225" s="171"/>
      <c r="T225" s="171"/>
      <c r="Y225" s="171"/>
      <c r="Z225" s="171"/>
      <c r="AA225" s="171"/>
      <c r="AB225" s="171"/>
      <c r="AC225" s="171"/>
      <c r="AD225" s="171"/>
      <c r="AE225" s="171"/>
      <c r="AF225" s="171"/>
      <c r="AN225" s="171"/>
      <c r="AO225" s="171"/>
      <c r="AP225" s="171"/>
      <c r="AQ225" s="171"/>
      <c r="AR225" s="171"/>
      <c r="AS225" s="171"/>
      <c r="AT225" s="171"/>
      <c r="AU225" s="171"/>
      <c r="AX225" s="171"/>
      <c r="AY225" s="171"/>
      <c r="AZ225" s="171"/>
      <c r="BA225" s="171"/>
      <c r="BB225" s="171"/>
      <c r="BF225" s="171"/>
      <c r="BH225" s="171"/>
    </row>
    <row r="226" spans="1:102" x14ac:dyDescent="0.25">
      <c r="A226" s="182"/>
      <c r="B226" s="182"/>
      <c r="C226" s="171"/>
      <c r="D226" s="171"/>
      <c r="E226" s="160"/>
      <c r="F226" s="171"/>
      <c r="G226" s="171"/>
      <c r="H226" s="171"/>
      <c r="I226" s="171"/>
      <c r="J226"/>
      <c r="K226"/>
      <c r="L226" s="247"/>
      <c r="M226" s="247"/>
      <c r="N226" s="171"/>
      <c r="O226" s="171"/>
      <c r="P226" s="171"/>
      <c r="Q226" s="160"/>
      <c r="R226" s="160"/>
      <c r="S226" s="171"/>
      <c r="T226" s="171"/>
      <c r="Y226" s="171"/>
      <c r="Z226" s="171"/>
      <c r="AA226" s="171"/>
      <c r="AB226" s="171"/>
      <c r="AC226" s="171"/>
      <c r="AD226" s="171"/>
      <c r="AE226" s="171"/>
      <c r="AF226" s="171"/>
      <c r="AN226" s="171"/>
      <c r="AO226" s="171"/>
      <c r="AP226" s="171"/>
      <c r="AQ226" s="171"/>
      <c r="AR226" s="171"/>
      <c r="AS226" s="171"/>
      <c r="AT226" s="171"/>
      <c r="AU226" s="171"/>
      <c r="AX226" s="171"/>
      <c r="AY226" s="171"/>
      <c r="AZ226" s="171"/>
      <c r="BA226" s="171"/>
      <c r="BB226" s="171"/>
      <c r="BF226" s="171"/>
      <c r="BH226" s="171"/>
    </row>
    <row r="227" spans="1:102" x14ac:dyDescent="0.25">
      <c r="A227" s="182"/>
      <c r="B227" s="182"/>
      <c r="C227" s="171"/>
      <c r="D227" s="171"/>
      <c r="E227" s="160"/>
      <c r="F227" s="171"/>
      <c r="G227" s="171"/>
      <c r="H227" s="171"/>
      <c r="I227" s="171"/>
      <c r="J227"/>
      <c r="K227"/>
      <c r="L227" s="247"/>
      <c r="M227" s="247"/>
      <c r="N227" s="171"/>
      <c r="O227" s="171"/>
      <c r="P227" s="171"/>
      <c r="Q227" s="160"/>
      <c r="R227" s="160"/>
      <c r="S227" s="171"/>
      <c r="T227" s="171"/>
      <c r="Y227" s="171"/>
      <c r="Z227" s="171"/>
      <c r="AA227" s="171"/>
      <c r="AB227" s="171"/>
      <c r="AC227" s="171"/>
      <c r="AD227" s="171"/>
      <c r="AE227" s="171"/>
      <c r="AF227" s="171"/>
      <c r="AN227" s="171"/>
      <c r="AO227" s="171"/>
      <c r="AP227" s="171"/>
      <c r="AQ227" s="171"/>
      <c r="AR227" s="171"/>
      <c r="AS227" s="171"/>
      <c r="AT227" s="171"/>
      <c r="AU227" s="171"/>
      <c r="AX227" s="171"/>
      <c r="AY227" s="171"/>
      <c r="AZ227" s="171"/>
      <c r="BA227" s="171"/>
      <c r="BB227" s="171"/>
      <c r="BF227" s="171"/>
      <c r="BH227" s="171"/>
    </row>
    <row r="228" spans="1:102" x14ac:dyDescent="0.25">
      <c r="A228" s="182"/>
      <c r="B228" s="182"/>
      <c r="C228" s="171"/>
      <c r="D228" s="171"/>
      <c r="E228" s="160"/>
      <c r="F228" s="171"/>
      <c r="G228" s="171"/>
      <c r="H228" s="171"/>
      <c r="I228" s="171"/>
      <c r="J228"/>
      <c r="K228"/>
      <c r="L228" s="247"/>
      <c r="M228" s="247"/>
      <c r="N228" s="171"/>
      <c r="O228" s="171"/>
      <c r="P228" s="171"/>
      <c r="Q228" s="160"/>
      <c r="R228" s="160"/>
      <c r="S228" s="171"/>
      <c r="T228" s="171"/>
      <c r="Y228" s="171"/>
      <c r="Z228" s="171"/>
      <c r="AA228" s="171"/>
      <c r="AB228" s="171"/>
      <c r="AC228" s="171"/>
      <c r="AD228" s="171"/>
      <c r="AE228" s="171"/>
      <c r="AF228" s="171"/>
      <c r="AN228" s="171"/>
      <c r="AO228" s="171"/>
      <c r="AP228" s="171"/>
      <c r="AQ228" s="171"/>
      <c r="AR228" s="171"/>
      <c r="AS228" s="171"/>
      <c r="AT228" s="171"/>
      <c r="AU228" s="171"/>
      <c r="AX228" s="171"/>
      <c r="AY228" s="171"/>
      <c r="AZ228" s="171"/>
      <c r="BA228" s="171"/>
      <c r="BB228" s="171"/>
      <c r="BF228" s="171"/>
      <c r="BH228" s="171"/>
    </row>
    <row r="229" spans="1:102" x14ac:dyDescent="0.25">
      <c r="A229" s="182"/>
      <c r="B229" s="182"/>
      <c r="C229" s="171"/>
      <c r="D229" s="171"/>
      <c r="E229" s="160"/>
      <c r="F229" s="171"/>
      <c r="G229" s="171"/>
      <c r="H229" s="171"/>
      <c r="I229" s="171"/>
      <c r="J229" s="171"/>
      <c r="K229" s="171"/>
      <c r="L229" s="629"/>
      <c r="M229" s="629"/>
      <c r="N229" s="171"/>
      <c r="O229" s="171"/>
      <c r="P229" s="171"/>
      <c r="Q229" s="160"/>
      <c r="R229" s="160"/>
      <c r="S229" s="171"/>
      <c r="T229" s="171"/>
      <c r="Y229" s="171"/>
      <c r="Z229" s="171"/>
      <c r="AA229" s="171"/>
      <c r="AB229" s="171"/>
      <c r="AC229" s="171"/>
      <c r="AD229" s="171"/>
      <c r="AE229" s="171"/>
      <c r="AF229" s="171"/>
      <c r="AN229" s="171"/>
      <c r="AO229" s="171"/>
      <c r="AP229" s="171"/>
      <c r="AQ229" s="171"/>
      <c r="AR229" s="171"/>
      <c r="AS229" s="171"/>
      <c r="AT229" s="171"/>
      <c r="AU229" s="171"/>
      <c r="AX229" s="171"/>
      <c r="AY229" s="171"/>
      <c r="AZ229" s="171"/>
      <c r="BA229" s="171"/>
      <c r="BB229" s="171"/>
      <c r="BC229" s="171"/>
      <c r="BD229" s="171"/>
      <c r="BF229" s="171"/>
      <c r="BH229" s="171"/>
      <c r="BI229" s="168"/>
      <c r="BL229" s="168"/>
      <c r="BM229" s="168"/>
      <c r="BN229" s="168"/>
      <c r="BO229" s="168"/>
      <c r="BP229" s="168"/>
      <c r="BQ229" s="168"/>
      <c r="BR229" s="168"/>
      <c r="BS229" s="168"/>
      <c r="BT229" s="168"/>
      <c r="BU229" s="168"/>
      <c r="BV229" s="168"/>
      <c r="BW229" s="168"/>
      <c r="BX229" s="168"/>
      <c r="BY229" s="168"/>
      <c r="BZ229" s="168"/>
      <c r="CA229" s="168"/>
      <c r="CB229" s="168"/>
      <c r="CC229" s="168"/>
      <c r="CD229" s="168"/>
      <c r="CE229" s="168"/>
      <c r="CF229" s="168"/>
      <c r="CG229" s="168"/>
      <c r="CH229" s="168"/>
      <c r="CI229" s="168"/>
      <c r="CJ229" s="168"/>
      <c r="CK229" s="168"/>
      <c r="CM229" s="168"/>
      <c r="CN229" s="168"/>
      <c r="CO229" s="168"/>
      <c r="CP229" s="168"/>
      <c r="CQ229" s="168"/>
      <c r="CR229" s="168"/>
      <c r="CS229" s="168"/>
      <c r="CT229" s="168"/>
      <c r="CU229" s="168"/>
      <c r="CV229" s="168"/>
      <c r="CW229" s="168"/>
      <c r="CX229" s="168"/>
    </row>
    <row r="230" spans="1:102" x14ac:dyDescent="0.25">
      <c r="A230" s="182"/>
      <c r="B230" s="182"/>
      <c r="C230" s="171"/>
      <c r="D230" s="171"/>
      <c r="E230" s="160"/>
      <c r="F230" s="171"/>
      <c r="G230" s="171"/>
      <c r="H230" s="171"/>
      <c r="I230" s="171"/>
      <c r="J230"/>
      <c r="K230"/>
      <c r="L230" s="247"/>
      <c r="M230" s="247"/>
      <c r="N230" s="171"/>
      <c r="O230" s="171"/>
      <c r="P230" s="171"/>
      <c r="Q230" s="160"/>
      <c r="R230" s="160"/>
      <c r="S230" s="171"/>
      <c r="T230" s="171"/>
      <c r="Y230" s="171"/>
      <c r="Z230" s="171"/>
      <c r="AA230" s="171"/>
      <c r="AB230" s="171"/>
      <c r="AC230" s="171"/>
      <c r="AD230" s="171"/>
      <c r="AE230" s="171"/>
      <c r="AF230" s="171"/>
      <c r="AN230" s="171"/>
      <c r="AO230" s="171"/>
      <c r="AP230" s="171"/>
      <c r="AQ230" s="171"/>
      <c r="AR230" s="171"/>
      <c r="AS230" s="171"/>
      <c r="AT230" s="171"/>
      <c r="AU230" s="171"/>
      <c r="AX230" s="171"/>
      <c r="AY230" s="171"/>
      <c r="AZ230" s="171"/>
      <c r="BA230" s="171"/>
      <c r="BB230" s="171"/>
      <c r="BF230" s="171"/>
      <c r="BH230" s="171"/>
    </row>
    <row r="231" spans="1:102" x14ac:dyDescent="0.25">
      <c r="A231" s="182"/>
      <c r="B231" s="182"/>
      <c r="C231" s="171"/>
      <c r="D231" s="171"/>
      <c r="E231" s="160"/>
      <c r="F231" s="171"/>
      <c r="G231" s="171"/>
      <c r="H231" s="171"/>
      <c r="I231" s="171"/>
      <c r="J231"/>
      <c r="K231"/>
      <c r="L231" s="247"/>
      <c r="M231" s="247"/>
      <c r="N231" s="171"/>
      <c r="O231" s="171"/>
      <c r="P231" s="171"/>
      <c r="Q231" s="160"/>
      <c r="R231" s="160"/>
      <c r="S231" s="171"/>
      <c r="T231" s="171"/>
      <c r="Y231" s="171"/>
      <c r="Z231" s="171"/>
      <c r="AA231" s="171"/>
      <c r="AB231" s="171"/>
      <c r="AC231" s="171"/>
      <c r="AD231" s="171"/>
      <c r="AE231" s="171"/>
      <c r="AF231" s="171"/>
      <c r="AN231" s="171"/>
      <c r="AO231" s="171"/>
      <c r="AP231" s="171"/>
      <c r="AQ231" s="171"/>
      <c r="AR231" s="171"/>
      <c r="AS231" s="171"/>
      <c r="AT231" s="171"/>
      <c r="AU231" s="171"/>
      <c r="AX231" s="171"/>
      <c r="AY231" s="171"/>
      <c r="AZ231" s="171"/>
      <c r="BA231" s="171"/>
      <c r="BB231" s="171"/>
      <c r="BF231" s="171"/>
      <c r="BH231" s="171"/>
    </row>
    <row r="232" spans="1:102" x14ac:dyDescent="0.25">
      <c r="A232" s="182"/>
      <c r="B232" s="182"/>
      <c r="C232" s="171"/>
      <c r="D232" s="171"/>
      <c r="E232" s="160"/>
      <c r="F232" s="171"/>
      <c r="G232" s="171"/>
      <c r="H232" s="171"/>
      <c r="I232" s="171"/>
      <c r="J232"/>
      <c r="K232"/>
      <c r="L232" s="247"/>
      <c r="M232" s="247"/>
      <c r="N232" s="171"/>
      <c r="O232" s="171"/>
      <c r="P232" s="171"/>
      <c r="Q232" s="160"/>
      <c r="R232" s="160"/>
      <c r="S232" s="171"/>
      <c r="T232" s="171"/>
      <c r="Y232" s="171"/>
      <c r="Z232" s="171"/>
      <c r="AA232" s="171"/>
      <c r="AB232" s="171"/>
      <c r="AC232" s="171"/>
      <c r="AD232" s="171"/>
      <c r="AE232" s="171"/>
      <c r="AF232" s="171"/>
      <c r="AN232" s="171"/>
      <c r="AO232" s="171"/>
      <c r="AP232" s="171"/>
      <c r="AQ232" s="171"/>
      <c r="AR232" s="171"/>
      <c r="AS232" s="171"/>
      <c r="AT232" s="171"/>
      <c r="AU232" s="171"/>
      <c r="AX232" s="171"/>
      <c r="AY232" s="171"/>
      <c r="AZ232" s="171"/>
      <c r="BA232" s="171"/>
      <c r="BB232" s="171"/>
      <c r="BF232" s="171"/>
      <c r="BH232" s="171"/>
    </row>
    <row r="233" spans="1:102" x14ac:dyDescent="0.25">
      <c r="A233" s="182"/>
      <c r="B233" s="182"/>
      <c r="C233" s="171"/>
      <c r="D233" s="171"/>
      <c r="E233" s="160"/>
      <c r="F233" s="171"/>
      <c r="G233" s="171"/>
      <c r="H233" s="171"/>
      <c r="I233" s="171"/>
      <c r="J233"/>
      <c r="K233"/>
      <c r="L233" s="247"/>
      <c r="M233" s="247"/>
      <c r="N233" s="171"/>
      <c r="O233" s="171"/>
      <c r="P233" s="171"/>
      <c r="Q233" s="160"/>
      <c r="R233" s="160"/>
      <c r="S233" s="171"/>
      <c r="T233" s="171"/>
      <c r="Y233" s="171"/>
      <c r="Z233" s="171"/>
      <c r="AA233" s="171"/>
      <c r="AB233" s="171"/>
      <c r="AC233" s="171"/>
      <c r="AD233" s="171"/>
      <c r="AE233" s="171"/>
      <c r="AF233" s="171"/>
      <c r="AN233" s="171"/>
      <c r="AO233" s="171"/>
      <c r="AP233" s="171"/>
      <c r="AQ233" s="171"/>
      <c r="AR233" s="171"/>
      <c r="AS233" s="171"/>
      <c r="AT233" s="171"/>
      <c r="AU233" s="171"/>
      <c r="AX233" s="171"/>
      <c r="AY233" s="171"/>
      <c r="AZ233" s="171"/>
      <c r="BA233" s="171"/>
      <c r="BB233" s="171"/>
      <c r="BF233" s="171"/>
      <c r="BH233" s="171"/>
    </row>
    <row r="234" spans="1:102" x14ac:dyDescent="0.25">
      <c r="A234" s="182"/>
      <c r="B234" s="182"/>
      <c r="C234" s="171"/>
      <c r="D234" s="171"/>
      <c r="E234" s="160"/>
      <c r="F234" s="171"/>
      <c r="G234" s="171"/>
      <c r="H234" s="171"/>
      <c r="I234" s="171"/>
      <c r="J234"/>
      <c r="K234"/>
      <c r="L234" s="247"/>
      <c r="M234" s="247"/>
      <c r="N234" s="171"/>
      <c r="O234" s="171"/>
      <c r="P234" s="171"/>
      <c r="Q234" s="160"/>
      <c r="R234" s="160"/>
      <c r="S234" s="171"/>
      <c r="T234" s="171"/>
      <c r="Y234" s="171"/>
      <c r="Z234" s="171"/>
      <c r="AA234" s="171"/>
      <c r="AB234" s="171"/>
      <c r="AC234" s="171"/>
      <c r="AD234" s="171"/>
      <c r="AE234" s="171"/>
      <c r="AF234" s="171"/>
      <c r="AN234" s="171"/>
      <c r="AO234" s="171"/>
      <c r="AP234" s="171"/>
      <c r="AQ234" s="171"/>
      <c r="AR234" s="171"/>
      <c r="AS234" s="171"/>
      <c r="AT234" s="171"/>
      <c r="AU234" s="171"/>
      <c r="AX234" s="171"/>
      <c r="AY234" s="171"/>
      <c r="AZ234" s="171"/>
      <c r="BA234" s="171"/>
      <c r="BB234" s="171"/>
      <c r="BF234" s="171"/>
      <c r="BH234" s="171"/>
    </row>
    <row r="235" spans="1:102" x14ac:dyDescent="0.25">
      <c r="A235" s="182"/>
      <c r="B235" s="182"/>
      <c r="C235" s="171"/>
      <c r="D235" s="171"/>
      <c r="E235" s="160"/>
      <c r="F235" s="171"/>
      <c r="G235" s="171"/>
      <c r="H235" s="171"/>
      <c r="I235" s="171"/>
      <c r="J235"/>
      <c r="K235"/>
      <c r="L235" s="247"/>
      <c r="M235" s="247"/>
      <c r="N235" s="171"/>
      <c r="O235" s="171"/>
      <c r="P235" s="171"/>
      <c r="Q235" s="160"/>
      <c r="R235" s="160"/>
      <c r="S235" s="171"/>
      <c r="T235" s="171"/>
      <c r="Y235" s="171"/>
      <c r="Z235" s="171"/>
      <c r="AA235" s="171"/>
      <c r="AB235" s="171"/>
      <c r="AC235" s="171"/>
      <c r="AD235" s="171"/>
      <c r="AE235" s="171"/>
      <c r="AF235" s="171"/>
      <c r="AN235" s="171"/>
      <c r="AO235" s="171"/>
      <c r="AP235" s="171"/>
      <c r="AQ235" s="171"/>
      <c r="AR235" s="171"/>
      <c r="AS235" s="171"/>
      <c r="AT235" s="171"/>
      <c r="AU235" s="171"/>
      <c r="AX235" s="171"/>
      <c r="AY235" s="171"/>
      <c r="AZ235" s="171"/>
      <c r="BA235" s="171"/>
      <c r="BB235" s="171"/>
      <c r="BF235" s="171"/>
      <c r="BH235" s="171"/>
    </row>
    <row r="236" spans="1:102" x14ac:dyDescent="0.25">
      <c r="A236" s="182"/>
      <c r="B236" s="182"/>
      <c r="C236" s="171"/>
      <c r="D236" s="171"/>
      <c r="E236" s="160"/>
      <c r="F236" s="171"/>
      <c r="G236" s="171"/>
      <c r="H236" s="171"/>
      <c r="I236" s="171"/>
      <c r="J236"/>
      <c r="K236"/>
      <c r="L236" s="247"/>
      <c r="M236" s="247"/>
      <c r="N236" s="171"/>
      <c r="O236" s="171"/>
      <c r="P236" s="171"/>
      <c r="Q236" s="160"/>
      <c r="R236" s="160"/>
      <c r="S236" s="171"/>
      <c r="T236" s="171"/>
      <c r="Y236" s="171"/>
      <c r="Z236" s="171"/>
      <c r="AA236" s="171"/>
      <c r="AB236" s="171"/>
      <c r="AC236" s="171"/>
      <c r="AD236" s="171"/>
      <c r="AE236" s="171"/>
      <c r="AF236" s="171"/>
      <c r="AN236" s="171"/>
      <c r="AO236" s="171"/>
      <c r="AP236" s="171"/>
      <c r="AQ236" s="171"/>
      <c r="AR236" s="171"/>
      <c r="AS236" s="171"/>
      <c r="AT236" s="171"/>
      <c r="AU236" s="171"/>
      <c r="AX236" s="171"/>
      <c r="AY236" s="171"/>
      <c r="AZ236" s="171"/>
      <c r="BA236" s="171"/>
      <c r="BB236" s="171"/>
      <c r="BF236" s="171"/>
      <c r="BH236" s="171"/>
    </row>
    <row r="237" spans="1:102" x14ac:dyDescent="0.25">
      <c r="A237" s="182"/>
      <c r="B237" s="182"/>
      <c r="C237" s="171"/>
      <c r="D237" s="171"/>
      <c r="E237" s="160"/>
      <c r="F237" s="171"/>
      <c r="G237" s="171"/>
      <c r="H237" s="171"/>
      <c r="I237" s="171"/>
      <c r="J237" s="171"/>
      <c r="K237" s="171"/>
      <c r="L237" s="629"/>
      <c r="M237" s="629"/>
      <c r="N237" s="171"/>
      <c r="O237" s="171"/>
      <c r="P237" s="171"/>
      <c r="Q237" s="160"/>
      <c r="R237" s="160"/>
      <c r="S237" s="171"/>
      <c r="T237" s="171"/>
      <c r="Y237" s="171"/>
      <c r="Z237" s="171"/>
      <c r="AA237" s="171"/>
      <c r="AB237" s="171"/>
      <c r="AC237" s="171"/>
      <c r="AD237" s="171"/>
      <c r="AE237" s="171"/>
      <c r="AF237" s="171"/>
      <c r="AN237" s="171"/>
      <c r="AO237" s="171"/>
      <c r="AP237" s="171"/>
      <c r="AQ237" s="171"/>
      <c r="AR237" s="171"/>
      <c r="AS237" s="171"/>
      <c r="AT237" s="171"/>
      <c r="AU237" s="171"/>
      <c r="AX237" s="171"/>
      <c r="AY237" s="171"/>
      <c r="AZ237" s="171"/>
      <c r="BA237" s="171"/>
      <c r="BB237" s="171"/>
      <c r="BC237" s="171"/>
      <c r="BD237" s="171"/>
      <c r="BF237" s="171"/>
      <c r="BH237" s="171"/>
      <c r="BI237" s="168"/>
      <c r="BL237" s="168"/>
      <c r="BM237" s="168"/>
      <c r="BN237" s="168"/>
      <c r="BO237" s="168"/>
      <c r="BP237" s="168"/>
      <c r="BQ237" s="168"/>
      <c r="BR237" s="168"/>
      <c r="BS237" s="168"/>
      <c r="BT237" s="168"/>
      <c r="BU237" s="168"/>
      <c r="BV237" s="168"/>
      <c r="BW237" s="168"/>
      <c r="BX237" s="168"/>
      <c r="BY237" s="168"/>
      <c r="BZ237" s="168"/>
      <c r="CA237" s="168"/>
      <c r="CB237" s="168"/>
      <c r="CC237" s="168"/>
      <c r="CD237" s="168"/>
      <c r="CE237" s="168"/>
      <c r="CF237" s="168"/>
      <c r="CG237" s="168"/>
      <c r="CH237" s="168"/>
      <c r="CI237" s="168"/>
      <c r="CJ237" s="168"/>
      <c r="CK237" s="168"/>
      <c r="CL237" s="168"/>
      <c r="CM237" s="168"/>
      <c r="CN237" s="168"/>
      <c r="CO237" s="168"/>
      <c r="CP237" s="168"/>
      <c r="CQ237" s="168"/>
      <c r="CR237" s="168"/>
      <c r="CS237" s="168"/>
      <c r="CT237" s="168"/>
      <c r="CU237" s="168"/>
      <c r="CV237" s="168"/>
      <c r="CW237" s="168"/>
      <c r="CX237" s="168"/>
    </row>
    <row r="238" spans="1:102" x14ac:dyDescent="0.25">
      <c r="A238" s="182"/>
      <c r="B238" s="182"/>
      <c r="C238" s="171"/>
      <c r="D238" s="171"/>
      <c r="E238" s="160"/>
      <c r="F238" s="171"/>
      <c r="G238" s="171"/>
      <c r="H238" s="171"/>
      <c r="I238" s="171"/>
      <c r="J238"/>
      <c r="K238"/>
      <c r="L238" s="247"/>
      <c r="M238" s="247"/>
      <c r="N238" s="171"/>
      <c r="O238" s="171"/>
      <c r="P238" s="171"/>
      <c r="Q238" s="160"/>
      <c r="R238" s="160"/>
      <c r="S238" s="171"/>
      <c r="T238" s="171"/>
      <c r="Y238" s="171"/>
      <c r="Z238" s="171"/>
      <c r="AA238" s="171"/>
      <c r="AB238" s="171"/>
      <c r="AC238" s="171"/>
      <c r="AD238" s="171"/>
      <c r="AE238" s="171"/>
      <c r="AF238" s="171"/>
      <c r="AN238" s="171"/>
      <c r="AO238" s="171"/>
      <c r="AP238" s="171"/>
      <c r="AQ238" s="171"/>
      <c r="AR238" s="171"/>
      <c r="AS238" s="171"/>
      <c r="AT238" s="171"/>
      <c r="AU238" s="171"/>
      <c r="AX238" s="171"/>
      <c r="AY238" s="171"/>
      <c r="AZ238" s="171"/>
      <c r="BA238" s="171"/>
      <c r="BB238" s="171"/>
      <c r="BF238" s="171"/>
      <c r="BH238" s="171"/>
    </row>
    <row r="239" spans="1:102" x14ac:dyDescent="0.25">
      <c r="A239" s="182"/>
      <c r="B239" s="182"/>
      <c r="C239" s="171"/>
      <c r="D239" s="171"/>
      <c r="E239" s="160"/>
      <c r="F239" s="171"/>
      <c r="G239" s="171"/>
      <c r="H239" s="171"/>
      <c r="I239" s="171"/>
      <c r="J239"/>
      <c r="K239"/>
      <c r="L239" s="247"/>
      <c r="M239" s="247"/>
      <c r="N239" s="171"/>
      <c r="O239" s="171"/>
      <c r="P239" s="171"/>
      <c r="Q239" s="160"/>
      <c r="R239" s="160"/>
      <c r="S239" s="171"/>
      <c r="T239" s="171"/>
      <c r="Y239" s="171"/>
      <c r="Z239" s="171"/>
      <c r="AA239" s="171"/>
      <c r="AB239" s="171"/>
      <c r="AC239" s="171"/>
      <c r="AD239" s="171"/>
      <c r="AE239" s="171"/>
      <c r="AF239" s="171"/>
      <c r="AN239" s="171"/>
      <c r="AO239" s="171"/>
      <c r="AP239" s="171"/>
      <c r="AQ239" s="171"/>
      <c r="AR239" s="171"/>
      <c r="AS239" s="171"/>
      <c r="AT239" s="171"/>
      <c r="AU239" s="171"/>
      <c r="AX239" s="171"/>
      <c r="AY239" s="171"/>
      <c r="AZ239" s="171"/>
      <c r="BA239" s="171"/>
      <c r="BB239" s="171"/>
      <c r="BF239" s="171"/>
      <c r="BH239" s="171"/>
    </row>
    <row r="240" spans="1:102" x14ac:dyDescent="0.25">
      <c r="A240" s="182"/>
      <c r="B240" s="182"/>
      <c r="C240" s="171"/>
      <c r="D240" s="171"/>
      <c r="E240" s="160"/>
      <c r="F240" s="171"/>
      <c r="G240" s="171"/>
      <c r="H240" s="171"/>
      <c r="I240" s="171"/>
      <c r="J240"/>
      <c r="K240"/>
      <c r="L240" s="247"/>
      <c r="M240" s="247"/>
      <c r="N240" s="171"/>
      <c r="O240" s="171"/>
      <c r="P240" s="171"/>
      <c r="Q240" s="160"/>
      <c r="R240" s="160"/>
      <c r="S240" s="171"/>
      <c r="T240" s="171"/>
      <c r="Y240" s="171"/>
      <c r="Z240" s="171"/>
      <c r="AA240" s="171"/>
      <c r="AB240" s="171"/>
      <c r="AC240" s="171"/>
      <c r="AD240" s="171"/>
      <c r="AE240" s="171"/>
      <c r="AF240" s="171"/>
      <c r="AN240" s="171"/>
      <c r="AO240" s="171"/>
      <c r="AP240" s="171"/>
      <c r="AQ240" s="171"/>
      <c r="AR240" s="171"/>
      <c r="AS240" s="171"/>
      <c r="AT240" s="171"/>
      <c r="AU240" s="171"/>
      <c r="AX240" s="171"/>
      <c r="AY240" s="171"/>
      <c r="AZ240" s="171"/>
      <c r="BA240" s="171"/>
      <c r="BB240" s="171"/>
      <c r="BF240" s="171"/>
      <c r="BH240" s="171"/>
    </row>
    <row r="241" spans="1:102" x14ac:dyDescent="0.25">
      <c r="A241" s="182"/>
      <c r="B241" s="182"/>
      <c r="C241" s="171"/>
      <c r="D241" s="171"/>
      <c r="E241" s="160"/>
      <c r="F241" s="171"/>
      <c r="G241" s="171"/>
      <c r="H241" s="171"/>
      <c r="I241" s="171"/>
      <c r="J241"/>
      <c r="K241"/>
      <c r="L241" s="247"/>
      <c r="M241" s="247"/>
      <c r="N241" s="171"/>
      <c r="O241" s="171"/>
      <c r="P241" s="171"/>
      <c r="Q241" s="160"/>
      <c r="R241" s="160"/>
      <c r="S241" s="171"/>
      <c r="T241" s="171"/>
      <c r="Y241" s="171"/>
      <c r="Z241" s="171"/>
      <c r="AA241" s="171"/>
      <c r="AB241" s="171"/>
      <c r="AC241" s="171"/>
      <c r="AD241" s="171"/>
      <c r="AE241" s="171"/>
      <c r="AF241" s="171"/>
      <c r="AN241" s="171"/>
      <c r="AO241" s="171"/>
      <c r="AP241" s="171"/>
      <c r="AQ241" s="171"/>
      <c r="AR241" s="171"/>
      <c r="AS241" s="171"/>
      <c r="AT241" s="171"/>
      <c r="AU241" s="171"/>
      <c r="AX241" s="171"/>
      <c r="AY241" s="171"/>
      <c r="AZ241" s="171"/>
      <c r="BA241" s="171"/>
      <c r="BB241" s="171"/>
      <c r="BF241" s="171"/>
      <c r="BH241" s="171"/>
    </row>
    <row r="242" spans="1:102" x14ac:dyDescent="0.25">
      <c r="A242" s="182"/>
      <c r="B242" s="182"/>
      <c r="C242" s="171"/>
      <c r="D242" s="171"/>
      <c r="E242" s="160"/>
      <c r="F242" s="171"/>
      <c r="G242" s="171"/>
      <c r="H242" s="171"/>
      <c r="I242" s="171"/>
      <c r="J242"/>
      <c r="K242"/>
      <c r="L242" s="247"/>
      <c r="M242" s="247"/>
      <c r="N242" s="171"/>
      <c r="O242" s="171"/>
      <c r="P242" s="171"/>
      <c r="Q242" s="160"/>
      <c r="R242" s="160"/>
      <c r="S242" s="171"/>
      <c r="T242" s="171"/>
      <c r="Y242" s="171"/>
      <c r="Z242" s="171"/>
      <c r="AA242" s="171"/>
      <c r="AB242" s="171"/>
      <c r="AC242" s="171"/>
      <c r="AD242" s="171"/>
      <c r="AE242" s="171"/>
      <c r="AF242" s="171"/>
      <c r="AN242" s="171"/>
      <c r="AO242" s="171"/>
      <c r="AP242" s="171"/>
      <c r="AQ242" s="171"/>
      <c r="AR242" s="171"/>
      <c r="AS242" s="171"/>
      <c r="AT242" s="171"/>
      <c r="AU242" s="171"/>
      <c r="AX242" s="171"/>
      <c r="AY242" s="171"/>
      <c r="AZ242" s="171"/>
      <c r="BA242" s="171"/>
      <c r="BB242" s="171"/>
      <c r="BF242" s="171"/>
      <c r="BH242" s="171"/>
    </row>
    <row r="243" spans="1:102" x14ac:dyDescent="0.25">
      <c r="A243" s="182"/>
      <c r="B243" s="182"/>
      <c r="C243" s="171"/>
      <c r="D243" s="171"/>
      <c r="E243" s="160"/>
      <c r="F243" s="171"/>
      <c r="G243" s="171"/>
      <c r="H243" s="171"/>
      <c r="I243" s="171"/>
      <c r="J243"/>
      <c r="K243"/>
      <c r="L243" s="247"/>
      <c r="M243" s="247"/>
      <c r="N243" s="171"/>
      <c r="O243" s="171"/>
      <c r="P243" s="171"/>
      <c r="Q243" s="160"/>
      <c r="R243" s="160"/>
      <c r="S243" s="171"/>
      <c r="T243" s="171"/>
      <c r="Y243" s="171"/>
      <c r="Z243" s="171"/>
      <c r="AA243" s="171"/>
      <c r="AB243" s="171"/>
      <c r="AC243" s="171"/>
      <c r="AD243" s="171"/>
      <c r="AE243" s="171"/>
      <c r="AF243" s="171"/>
      <c r="AN243" s="171"/>
      <c r="AO243" s="171"/>
      <c r="AP243" s="171"/>
      <c r="AQ243" s="171"/>
      <c r="AR243" s="171"/>
      <c r="AS243" s="171"/>
      <c r="AT243" s="171"/>
      <c r="AU243" s="171"/>
      <c r="AX243" s="171"/>
      <c r="AY243" s="171"/>
      <c r="AZ243" s="171"/>
      <c r="BA243" s="171"/>
      <c r="BB243" s="171"/>
      <c r="BF243" s="171"/>
      <c r="BH243" s="171"/>
    </row>
    <row r="244" spans="1:102" x14ac:dyDescent="0.25">
      <c r="A244" s="182"/>
      <c r="B244" s="182"/>
      <c r="C244" s="171"/>
      <c r="D244" s="171"/>
      <c r="E244" s="160"/>
      <c r="F244" s="171"/>
      <c r="G244" s="171"/>
      <c r="H244" s="171"/>
      <c r="I244" s="171"/>
      <c r="J244"/>
      <c r="K244"/>
      <c r="L244" s="247"/>
      <c r="M244" s="247"/>
      <c r="N244" s="171"/>
      <c r="O244" s="171"/>
      <c r="P244" s="171"/>
      <c r="Q244" s="160"/>
      <c r="R244" s="160"/>
      <c r="S244" s="171"/>
      <c r="T244" s="171"/>
      <c r="Y244" s="171"/>
      <c r="Z244" s="171"/>
      <c r="AA244" s="171"/>
      <c r="AB244" s="171"/>
      <c r="AC244" s="171"/>
      <c r="AD244" s="171"/>
      <c r="AE244" s="171"/>
      <c r="AF244" s="171"/>
      <c r="AN244" s="171"/>
      <c r="AO244" s="171"/>
      <c r="AP244" s="171"/>
      <c r="AQ244" s="171"/>
      <c r="AR244" s="171"/>
      <c r="AS244" s="171"/>
      <c r="AT244" s="171"/>
      <c r="AU244" s="171"/>
      <c r="AX244" s="171"/>
      <c r="AY244" s="171"/>
      <c r="AZ244" s="171"/>
      <c r="BA244" s="171"/>
      <c r="BB244" s="171"/>
      <c r="BF244" s="171"/>
      <c r="BH244" s="171"/>
    </row>
    <row r="245" spans="1:102" x14ac:dyDescent="0.25">
      <c r="A245" s="182"/>
      <c r="B245" s="182"/>
      <c r="C245" s="171"/>
      <c r="D245" s="171"/>
      <c r="E245" s="160"/>
      <c r="F245" s="171"/>
      <c r="G245" s="171"/>
      <c r="H245" s="171"/>
      <c r="I245" s="171"/>
      <c r="J245"/>
      <c r="K245"/>
      <c r="L245" s="247"/>
      <c r="M245" s="247"/>
      <c r="N245" s="171"/>
      <c r="O245" s="171"/>
      <c r="P245" s="171"/>
      <c r="Q245" s="160"/>
      <c r="R245" s="160"/>
      <c r="S245" s="171"/>
      <c r="T245" s="171"/>
      <c r="Y245" s="171"/>
      <c r="Z245" s="171"/>
      <c r="AA245" s="171"/>
      <c r="AB245" s="171"/>
      <c r="AC245" s="171"/>
      <c r="AD245" s="171"/>
      <c r="AE245" s="171"/>
      <c r="AF245" s="171"/>
      <c r="AN245" s="171"/>
      <c r="AO245" s="171"/>
      <c r="AP245" s="171"/>
      <c r="AQ245" s="171"/>
      <c r="AR245" s="171"/>
      <c r="AS245" s="171"/>
      <c r="AT245" s="171"/>
      <c r="AU245" s="171"/>
      <c r="AX245" s="171"/>
      <c r="AY245" s="171"/>
      <c r="AZ245" s="171"/>
      <c r="BA245" s="171"/>
      <c r="BB245" s="171"/>
      <c r="BF245" s="171"/>
      <c r="BH245" s="171"/>
    </row>
    <row r="246" spans="1:102" x14ac:dyDescent="0.25">
      <c r="A246" s="182"/>
      <c r="B246" s="182"/>
      <c r="C246" s="171"/>
      <c r="D246" s="171"/>
      <c r="E246" s="160"/>
      <c r="F246" s="171"/>
      <c r="G246" s="171"/>
      <c r="H246" s="171"/>
      <c r="I246" s="171"/>
      <c r="J246"/>
      <c r="K246"/>
      <c r="L246" s="247"/>
      <c r="M246" s="247"/>
      <c r="N246" s="171"/>
      <c r="O246" s="171"/>
      <c r="P246" s="171"/>
      <c r="Q246" s="160"/>
      <c r="R246" s="160"/>
      <c r="S246" s="171"/>
      <c r="T246" s="171"/>
      <c r="Y246" s="171"/>
      <c r="Z246" s="171"/>
      <c r="AA246" s="171"/>
      <c r="AB246" s="171"/>
      <c r="AC246" s="171"/>
      <c r="AD246" s="171"/>
      <c r="AE246" s="171"/>
      <c r="AF246" s="171"/>
      <c r="AN246" s="171"/>
      <c r="AO246" s="171"/>
      <c r="AP246" s="171"/>
      <c r="AQ246" s="171"/>
      <c r="AR246" s="171"/>
      <c r="AS246" s="171"/>
      <c r="AT246" s="171"/>
      <c r="AU246" s="171"/>
      <c r="AX246" s="171"/>
      <c r="AY246" s="171"/>
      <c r="AZ246" s="171"/>
      <c r="BA246" s="171"/>
      <c r="BB246" s="171"/>
      <c r="BF246" s="171"/>
      <c r="BH246" s="171"/>
    </row>
    <row r="247" spans="1:102" x14ac:dyDescent="0.25">
      <c r="A247" s="182"/>
      <c r="B247" s="182"/>
      <c r="C247" s="171"/>
      <c r="D247" s="171"/>
      <c r="E247" s="160"/>
      <c r="F247" s="171"/>
      <c r="G247" s="171"/>
      <c r="H247" s="171"/>
      <c r="I247" s="171"/>
      <c r="J247" s="171"/>
      <c r="K247" s="171"/>
      <c r="L247" s="629"/>
      <c r="M247" s="629"/>
      <c r="N247" s="171"/>
      <c r="O247" s="171"/>
      <c r="P247" s="171"/>
      <c r="Q247" s="160"/>
      <c r="R247" s="160"/>
      <c r="S247" s="171"/>
      <c r="T247" s="171"/>
      <c r="Y247" s="171"/>
      <c r="Z247" s="171"/>
      <c r="AA247" s="171"/>
      <c r="AB247" s="171"/>
      <c r="AC247" s="171"/>
      <c r="AD247" s="171"/>
      <c r="AE247" s="171"/>
      <c r="AF247" s="171"/>
      <c r="AN247" s="171"/>
      <c r="AO247" s="171"/>
      <c r="AP247" s="171"/>
      <c r="AQ247" s="171"/>
      <c r="AR247" s="171"/>
      <c r="AS247" s="171"/>
      <c r="AT247" s="171"/>
      <c r="AU247" s="171"/>
      <c r="AX247" s="171"/>
      <c r="AY247" s="171"/>
      <c r="AZ247" s="171"/>
      <c r="BA247" s="171"/>
      <c r="BB247" s="171"/>
      <c r="BC247" s="171"/>
      <c r="BD247" s="171"/>
      <c r="BF247" s="171"/>
      <c r="BH247" s="171"/>
      <c r="BI247" s="168"/>
      <c r="BJ247" s="168"/>
      <c r="BL247" s="168"/>
      <c r="BM247" s="168"/>
      <c r="BN247" s="168"/>
      <c r="BO247" s="168"/>
      <c r="BP247" s="168"/>
      <c r="BQ247" s="168"/>
      <c r="BR247" s="168"/>
      <c r="BS247" s="168"/>
      <c r="BT247" s="168"/>
      <c r="BU247" s="168"/>
      <c r="BV247" s="168"/>
      <c r="BW247" s="168"/>
      <c r="BX247" s="168"/>
      <c r="BY247" s="168"/>
      <c r="BZ247" s="168"/>
      <c r="CA247" s="168"/>
      <c r="CB247" s="168"/>
      <c r="CC247" s="168"/>
      <c r="CD247" s="168"/>
      <c r="CE247" s="168"/>
      <c r="CF247" s="168"/>
      <c r="CG247" s="168"/>
      <c r="CH247" s="168"/>
      <c r="CI247" s="168"/>
      <c r="CJ247" s="168"/>
      <c r="CK247" s="168"/>
      <c r="CL247" s="168"/>
      <c r="CM247" s="168"/>
      <c r="CN247" s="168"/>
      <c r="CO247" s="168"/>
      <c r="CP247" s="168"/>
      <c r="CQ247" s="168"/>
      <c r="CR247" s="168"/>
      <c r="CS247" s="168"/>
      <c r="CT247" s="168"/>
      <c r="CU247" s="168"/>
      <c r="CV247" s="168"/>
      <c r="CW247" s="168"/>
      <c r="CX247" s="168"/>
    </row>
    <row r="248" spans="1:102" x14ac:dyDescent="0.25">
      <c r="A248" s="182"/>
      <c r="B248" s="182"/>
      <c r="C248" s="171"/>
      <c r="D248" s="171"/>
      <c r="E248" s="160"/>
      <c r="F248" s="171"/>
      <c r="G248" s="171"/>
      <c r="H248" s="171"/>
      <c r="I248" s="171"/>
      <c r="J248"/>
      <c r="K248"/>
      <c r="L248" s="247"/>
      <c r="M248" s="247"/>
      <c r="N248" s="171"/>
      <c r="O248" s="171"/>
      <c r="P248" s="171"/>
      <c r="Q248" s="160"/>
      <c r="R248" s="160"/>
      <c r="S248" s="171"/>
      <c r="T248" s="171"/>
      <c r="Y248" s="171"/>
      <c r="Z248" s="171"/>
      <c r="AA248" s="171"/>
      <c r="AB248" s="171"/>
      <c r="AC248" s="171"/>
      <c r="AD248" s="171"/>
      <c r="AE248" s="171"/>
      <c r="AF248" s="171"/>
      <c r="AN248" s="171"/>
      <c r="AO248" s="171"/>
      <c r="AP248" s="171"/>
      <c r="AQ248" s="171"/>
      <c r="AR248" s="171"/>
      <c r="AS248" s="171"/>
      <c r="AT248" s="171"/>
      <c r="AU248" s="171"/>
      <c r="AX248" s="171"/>
      <c r="AY248" s="171"/>
      <c r="AZ248" s="171"/>
      <c r="BA248" s="171"/>
      <c r="BB248" s="171"/>
      <c r="BF248" s="171"/>
      <c r="BH248" s="171"/>
    </row>
    <row r="249" spans="1:102" x14ac:dyDescent="0.25">
      <c r="A249" s="182"/>
      <c r="B249" s="182"/>
      <c r="C249" s="171"/>
      <c r="D249" s="171"/>
      <c r="E249" s="160"/>
      <c r="F249" s="171"/>
      <c r="G249" s="171"/>
      <c r="H249" s="171"/>
      <c r="I249" s="171"/>
      <c r="J249"/>
      <c r="K249"/>
      <c r="L249" s="247"/>
      <c r="M249" s="247"/>
      <c r="N249" s="171"/>
      <c r="O249" s="171"/>
      <c r="P249" s="171"/>
      <c r="Q249" s="160"/>
      <c r="R249" s="160"/>
      <c r="S249" s="171"/>
      <c r="T249" s="171"/>
      <c r="Y249" s="171"/>
      <c r="Z249" s="171"/>
      <c r="AA249" s="171"/>
      <c r="AB249" s="171"/>
      <c r="AC249" s="171"/>
      <c r="AD249" s="171"/>
      <c r="AE249" s="171"/>
      <c r="AF249" s="171"/>
      <c r="AN249" s="171"/>
      <c r="AO249" s="171"/>
      <c r="AP249" s="171"/>
      <c r="AQ249" s="171"/>
      <c r="AR249" s="171"/>
      <c r="AS249" s="171"/>
      <c r="AT249" s="171"/>
      <c r="AU249" s="171"/>
      <c r="AX249" s="171"/>
      <c r="AY249" s="171"/>
      <c r="AZ249" s="171"/>
      <c r="BA249" s="171"/>
      <c r="BB249" s="171"/>
      <c r="BF249" s="171"/>
      <c r="BH249" s="171"/>
    </row>
    <row r="250" spans="1:102" x14ac:dyDescent="0.25">
      <c r="A250" s="182"/>
      <c r="B250" s="182"/>
      <c r="C250" s="171"/>
      <c r="D250" s="171"/>
      <c r="E250" s="160"/>
      <c r="F250" s="171"/>
      <c r="G250" s="171"/>
      <c r="H250" s="171"/>
      <c r="I250" s="171"/>
      <c r="J250"/>
      <c r="K250"/>
      <c r="L250" s="247"/>
      <c r="M250" s="247"/>
      <c r="N250" s="171"/>
      <c r="O250" s="171"/>
      <c r="P250" s="171"/>
      <c r="Q250" s="160"/>
      <c r="R250" s="160"/>
      <c r="S250" s="171"/>
      <c r="T250" s="171"/>
      <c r="Y250" s="171"/>
      <c r="Z250" s="171"/>
      <c r="AA250" s="171"/>
      <c r="AB250" s="171"/>
      <c r="AC250" s="171"/>
      <c r="AD250" s="171"/>
      <c r="AE250" s="171"/>
      <c r="AF250" s="171"/>
      <c r="AN250" s="171"/>
      <c r="AO250" s="171"/>
      <c r="AP250" s="171"/>
      <c r="AQ250" s="171"/>
      <c r="AR250" s="171"/>
      <c r="AS250" s="171"/>
      <c r="AT250" s="171"/>
      <c r="AU250" s="171"/>
      <c r="AX250" s="171"/>
      <c r="AY250" s="171"/>
      <c r="AZ250" s="171"/>
      <c r="BA250" s="171"/>
      <c r="BB250" s="171"/>
      <c r="BF250" s="171"/>
      <c r="BH250" s="171"/>
    </row>
    <row r="251" spans="1:102" x14ac:dyDescent="0.25">
      <c r="A251" s="182"/>
      <c r="B251" s="182"/>
      <c r="C251" s="171"/>
      <c r="D251" s="171"/>
      <c r="E251" s="160"/>
      <c r="F251" s="171"/>
      <c r="G251" s="171"/>
      <c r="H251" s="171"/>
      <c r="I251" s="171"/>
      <c r="J251"/>
      <c r="K251"/>
      <c r="L251" s="247"/>
      <c r="M251" s="247"/>
      <c r="N251" s="171"/>
      <c r="O251" s="171"/>
      <c r="P251" s="171"/>
      <c r="Q251" s="160"/>
      <c r="R251" s="160"/>
      <c r="S251" s="171"/>
      <c r="T251" s="171"/>
      <c r="Y251" s="171"/>
      <c r="Z251" s="171"/>
      <c r="AA251" s="171"/>
      <c r="AB251" s="171"/>
      <c r="AC251" s="171"/>
      <c r="AD251" s="171"/>
      <c r="AE251" s="171"/>
      <c r="AF251" s="171"/>
      <c r="AN251" s="171"/>
      <c r="AO251" s="171"/>
      <c r="AP251" s="171"/>
      <c r="AQ251" s="171"/>
      <c r="AR251" s="171"/>
      <c r="AS251" s="171"/>
      <c r="AT251" s="171"/>
      <c r="AU251" s="171"/>
      <c r="AX251" s="171"/>
      <c r="AY251" s="171"/>
      <c r="AZ251" s="171"/>
      <c r="BA251" s="171"/>
      <c r="BB251" s="171"/>
      <c r="BF251" s="171"/>
      <c r="BH251" s="171"/>
    </row>
    <row r="252" spans="1:102" x14ac:dyDescent="0.25">
      <c r="A252" s="182"/>
      <c r="B252" s="182"/>
      <c r="C252" s="171"/>
      <c r="D252" s="171"/>
      <c r="E252" s="160"/>
      <c r="F252" s="171"/>
      <c r="G252" s="171"/>
      <c r="H252" s="171"/>
      <c r="I252" s="171"/>
      <c r="J252"/>
      <c r="K252"/>
      <c r="L252" s="247"/>
      <c r="M252" s="247"/>
      <c r="N252" s="171"/>
      <c r="O252" s="171"/>
      <c r="P252" s="171"/>
      <c r="Q252" s="160"/>
      <c r="R252" s="160"/>
      <c r="S252" s="171"/>
      <c r="T252" s="171"/>
      <c r="Y252" s="171"/>
      <c r="Z252" s="171"/>
      <c r="AA252" s="171"/>
      <c r="AB252" s="171"/>
      <c r="AC252" s="171"/>
      <c r="AD252" s="171"/>
      <c r="AE252" s="171"/>
      <c r="AF252" s="171"/>
      <c r="AN252" s="171"/>
      <c r="AO252" s="171"/>
      <c r="AP252" s="171"/>
      <c r="AQ252" s="171"/>
      <c r="AR252" s="171"/>
      <c r="AS252" s="171"/>
      <c r="AT252" s="171"/>
      <c r="AU252" s="171"/>
      <c r="AX252" s="171"/>
      <c r="AY252" s="171"/>
      <c r="AZ252" s="171"/>
      <c r="BA252" s="171"/>
      <c r="BB252" s="171"/>
      <c r="BF252" s="171"/>
      <c r="BH252" s="171"/>
    </row>
    <row r="253" spans="1:102" x14ac:dyDescent="0.25">
      <c r="A253" s="182"/>
      <c r="B253" s="182"/>
      <c r="C253" s="171"/>
      <c r="D253" s="171"/>
      <c r="E253" s="160"/>
      <c r="F253" s="171"/>
      <c r="G253" s="171"/>
      <c r="H253" s="171"/>
      <c r="I253" s="171"/>
      <c r="J253"/>
      <c r="K253"/>
      <c r="L253" s="247"/>
      <c r="M253" s="247"/>
      <c r="N253" s="171"/>
      <c r="O253" s="171"/>
      <c r="P253" s="171"/>
      <c r="Q253" s="160"/>
      <c r="R253" s="160"/>
      <c r="S253" s="171"/>
      <c r="T253" s="171"/>
      <c r="Y253" s="171"/>
      <c r="Z253" s="171"/>
      <c r="AA253" s="171"/>
      <c r="AB253" s="171"/>
      <c r="AC253" s="171"/>
      <c r="AD253" s="171"/>
      <c r="AE253" s="171"/>
      <c r="AF253" s="171"/>
      <c r="AN253" s="171"/>
      <c r="AO253" s="171"/>
      <c r="AP253" s="171"/>
      <c r="AQ253" s="171"/>
      <c r="AR253" s="171"/>
      <c r="AS253" s="171"/>
      <c r="AT253" s="171"/>
      <c r="AU253" s="171"/>
      <c r="AX253" s="171"/>
      <c r="AY253" s="171"/>
      <c r="AZ253" s="171"/>
      <c r="BA253" s="171"/>
      <c r="BB253" s="171"/>
      <c r="BF253" s="171"/>
      <c r="BH253" s="171"/>
    </row>
    <row r="254" spans="1:102" x14ac:dyDescent="0.25">
      <c r="A254" s="182"/>
      <c r="B254" s="182"/>
      <c r="C254" s="171"/>
      <c r="D254" s="171"/>
      <c r="E254" s="160"/>
      <c r="F254" s="171"/>
      <c r="G254" s="171"/>
      <c r="H254" s="171"/>
      <c r="I254" s="171"/>
      <c r="J254" s="171"/>
      <c r="K254" s="171"/>
      <c r="L254" s="629"/>
      <c r="M254" s="629"/>
      <c r="N254" s="171"/>
      <c r="O254" s="171"/>
      <c r="P254" s="171"/>
      <c r="Q254" s="160"/>
      <c r="R254" s="160"/>
      <c r="S254" s="171"/>
      <c r="T254" s="171"/>
      <c r="Y254" s="171"/>
      <c r="Z254" s="171"/>
      <c r="AA254" s="171"/>
      <c r="AB254" s="171"/>
      <c r="AC254" s="171"/>
      <c r="AD254" s="171"/>
      <c r="AE254" s="171"/>
      <c r="AF254" s="171"/>
      <c r="AN254" s="171"/>
      <c r="AO254" s="171"/>
      <c r="AP254" s="171"/>
      <c r="AQ254" s="171"/>
      <c r="AR254" s="171"/>
      <c r="AS254" s="171"/>
      <c r="AT254" s="171"/>
      <c r="AU254" s="171"/>
      <c r="AX254" s="171"/>
      <c r="AY254" s="171"/>
      <c r="AZ254" s="171"/>
      <c r="BA254" s="171"/>
      <c r="BB254" s="171"/>
      <c r="BC254" s="171"/>
      <c r="BD254" s="171"/>
      <c r="BF254" s="171"/>
      <c r="BH254" s="171"/>
      <c r="BI254" s="168"/>
      <c r="BL254" s="168"/>
      <c r="BM254" s="168"/>
      <c r="BN254" s="168"/>
      <c r="BO254" s="168"/>
      <c r="BP254" s="168"/>
      <c r="BQ254" s="168"/>
      <c r="BR254" s="168"/>
      <c r="BS254" s="168"/>
      <c r="BT254" s="168"/>
      <c r="BU254" s="168"/>
      <c r="BV254" s="168"/>
      <c r="BW254" s="168"/>
      <c r="BX254" s="168"/>
      <c r="BY254" s="168"/>
      <c r="BZ254" s="168"/>
      <c r="CA254" s="168"/>
      <c r="CB254" s="168"/>
      <c r="CC254" s="168"/>
      <c r="CD254" s="168"/>
      <c r="CE254" s="168"/>
      <c r="CF254" s="168"/>
      <c r="CG254" s="168"/>
      <c r="CH254" s="168"/>
      <c r="CI254" s="168"/>
      <c r="CJ254" s="168"/>
      <c r="CK254" s="168"/>
      <c r="CL254" s="168"/>
      <c r="CM254" s="168"/>
      <c r="CN254" s="168"/>
      <c r="CO254" s="168"/>
      <c r="CP254" s="168"/>
      <c r="CR254" s="168"/>
      <c r="CS254" s="168"/>
      <c r="CT254" s="168"/>
      <c r="CU254" s="168"/>
      <c r="CV254" s="168"/>
      <c r="CW254" s="168"/>
      <c r="CX254" s="168"/>
    </row>
    <row r="255" spans="1:102" x14ac:dyDescent="0.25">
      <c r="A255" s="182"/>
      <c r="B255" s="182"/>
      <c r="C255" s="171"/>
      <c r="D255" s="171"/>
      <c r="E255" s="160"/>
      <c r="F255" s="171"/>
      <c r="G255" s="171"/>
      <c r="H255" s="171"/>
      <c r="I255" s="171"/>
      <c r="J255"/>
      <c r="K255"/>
      <c r="L255" s="247"/>
      <c r="M255" s="247"/>
      <c r="N255" s="171"/>
      <c r="O255" s="171"/>
      <c r="P255" s="171"/>
      <c r="Q255" s="160"/>
      <c r="R255" s="160"/>
      <c r="S255" s="171"/>
      <c r="T255" s="171"/>
      <c r="Y255" s="171"/>
      <c r="Z255" s="171"/>
      <c r="AA255" s="171"/>
      <c r="AB255" s="171"/>
      <c r="AC255" s="171"/>
      <c r="AD255" s="171"/>
      <c r="AE255" s="171"/>
      <c r="AF255" s="171"/>
      <c r="AN255" s="171"/>
      <c r="AO255" s="171"/>
      <c r="AP255" s="171"/>
      <c r="AQ255" s="171"/>
      <c r="AR255" s="171"/>
      <c r="AS255" s="171"/>
      <c r="AT255" s="171"/>
      <c r="AU255" s="171"/>
      <c r="AX255" s="171"/>
      <c r="AY255" s="171"/>
      <c r="AZ255" s="171"/>
      <c r="BA255" s="171"/>
      <c r="BB255" s="171"/>
      <c r="BF255" s="171"/>
      <c r="BH255" s="171"/>
    </row>
    <row r="256" spans="1:102" x14ac:dyDescent="0.25">
      <c r="A256" s="182"/>
      <c r="B256" s="182"/>
      <c r="C256" s="171"/>
      <c r="D256" s="171"/>
      <c r="E256" s="160"/>
      <c r="F256" s="171"/>
      <c r="G256" s="171"/>
      <c r="H256" s="171"/>
      <c r="I256" s="171"/>
      <c r="J256"/>
      <c r="K256"/>
      <c r="L256" s="247"/>
      <c r="M256" s="247"/>
      <c r="N256" s="171"/>
      <c r="O256" s="171"/>
      <c r="P256" s="171"/>
      <c r="Q256" s="160"/>
      <c r="R256" s="160"/>
      <c r="S256" s="171"/>
      <c r="T256" s="171"/>
      <c r="Y256" s="171"/>
      <c r="Z256" s="171"/>
      <c r="AA256" s="171"/>
      <c r="AB256" s="171"/>
      <c r="AC256" s="171"/>
      <c r="AD256" s="171"/>
      <c r="AE256" s="171"/>
      <c r="AF256" s="171"/>
      <c r="AN256" s="171"/>
      <c r="AO256" s="171"/>
      <c r="AP256" s="171"/>
      <c r="AQ256" s="171"/>
      <c r="AR256" s="171"/>
      <c r="AS256" s="171"/>
      <c r="AT256" s="171"/>
      <c r="AU256" s="171"/>
      <c r="AX256" s="171"/>
      <c r="AY256" s="171"/>
      <c r="AZ256" s="171"/>
      <c r="BA256" s="171"/>
      <c r="BB256" s="171"/>
      <c r="BF256" s="171"/>
      <c r="BH256" s="171"/>
    </row>
    <row r="257" spans="1:60" x14ac:dyDescent="0.25">
      <c r="A257" s="182"/>
      <c r="B257" s="182"/>
      <c r="C257" s="171"/>
      <c r="D257" s="171"/>
      <c r="E257" s="160"/>
      <c r="F257" s="171"/>
      <c r="G257" s="171"/>
      <c r="H257" s="171"/>
      <c r="I257" s="171"/>
      <c r="J257"/>
      <c r="K257"/>
      <c r="L257" s="247"/>
      <c r="M257" s="247"/>
      <c r="N257" s="171"/>
      <c r="O257" s="171"/>
      <c r="P257" s="171"/>
      <c r="Q257" s="160"/>
      <c r="R257" s="160"/>
      <c r="S257" s="171"/>
      <c r="T257" s="171"/>
      <c r="Y257" s="171"/>
      <c r="Z257" s="171"/>
      <c r="AA257" s="171"/>
      <c r="AB257" s="171"/>
      <c r="AC257" s="171"/>
      <c r="AD257" s="171"/>
      <c r="AE257" s="171"/>
      <c r="AF257" s="171"/>
      <c r="AN257" s="171"/>
      <c r="AO257" s="171"/>
      <c r="AP257" s="171"/>
      <c r="AQ257" s="171"/>
      <c r="AR257" s="171"/>
      <c r="AS257" s="171"/>
      <c r="AT257" s="171"/>
      <c r="AU257" s="171"/>
      <c r="AX257" s="171"/>
      <c r="AY257" s="171"/>
      <c r="AZ257" s="171"/>
      <c r="BA257" s="171"/>
      <c r="BB257" s="171"/>
      <c r="BF257" s="171"/>
      <c r="BH257" s="171"/>
    </row>
    <row r="258" spans="1:60" x14ac:dyDescent="0.25">
      <c r="A258" s="182"/>
      <c r="B258" s="182"/>
      <c r="C258" s="171"/>
      <c r="D258" s="171"/>
      <c r="E258" s="160"/>
      <c r="F258" s="171"/>
      <c r="G258" s="171"/>
      <c r="H258" s="171"/>
      <c r="I258" s="171"/>
      <c r="J258"/>
      <c r="K258"/>
      <c r="L258" s="247"/>
      <c r="M258" s="247"/>
      <c r="N258" s="171"/>
      <c r="O258" s="171"/>
      <c r="P258" s="171"/>
      <c r="Q258" s="160"/>
      <c r="R258" s="160"/>
      <c r="S258" s="171"/>
      <c r="T258" s="171"/>
      <c r="Y258" s="171"/>
      <c r="Z258" s="171"/>
      <c r="AA258" s="171"/>
      <c r="AB258" s="171"/>
      <c r="AC258" s="171"/>
      <c r="AD258" s="171"/>
      <c r="AE258" s="171"/>
      <c r="AF258" s="171"/>
      <c r="AN258" s="171"/>
      <c r="AO258" s="171"/>
      <c r="AP258" s="171"/>
      <c r="AQ258" s="171"/>
      <c r="AR258" s="171"/>
      <c r="AS258" s="171"/>
      <c r="AT258" s="171"/>
      <c r="AU258" s="171"/>
      <c r="AX258" s="171"/>
      <c r="AY258" s="171"/>
      <c r="AZ258" s="171"/>
      <c r="BA258" s="171"/>
      <c r="BB258" s="171"/>
      <c r="BF258" s="171"/>
      <c r="BH258" s="171"/>
    </row>
    <row r="259" spans="1:60" x14ac:dyDescent="0.25">
      <c r="A259" s="182"/>
      <c r="B259" s="182"/>
      <c r="C259" s="171"/>
      <c r="D259" s="171"/>
      <c r="E259" s="160"/>
      <c r="F259" s="171"/>
      <c r="G259" s="171"/>
      <c r="H259" s="171"/>
      <c r="I259" s="171"/>
      <c r="J259"/>
      <c r="K259"/>
      <c r="L259" s="247"/>
      <c r="M259" s="247"/>
      <c r="N259" s="171"/>
      <c r="O259" s="171"/>
      <c r="P259" s="171"/>
      <c r="Q259" s="160"/>
      <c r="R259" s="160"/>
      <c r="S259" s="171"/>
      <c r="T259" s="171"/>
      <c r="Y259" s="171"/>
      <c r="Z259" s="171"/>
      <c r="AA259" s="171"/>
      <c r="AB259" s="171"/>
      <c r="AC259" s="171"/>
      <c r="AD259" s="171"/>
      <c r="AE259" s="171"/>
      <c r="AF259" s="171"/>
      <c r="AN259" s="171"/>
      <c r="AO259" s="171"/>
      <c r="AP259" s="171"/>
      <c r="AQ259" s="171"/>
      <c r="AR259" s="171"/>
      <c r="AS259" s="171"/>
      <c r="AT259" s="171"/>
      <c r="AU259" s="171"/>
      <c r="AX259" s="171"/>
      <c r="AY259" s="171"/>
      <c r="AZ259" s="171"/>
      <c r="BA259" s="171"/>
      <c r="BB259" s="171"/>
      <c r="BF259" s="171"/>
      <c r="BH259" s="171"/>
    </row>
    <row r="260" spans="1:60" x14ac:dyDescent="0.25">
      <c r="A260" s="182"/>
      <c r="B260" s="182"/>
      <c r="C260" s="171"/>
      <c r="D260" s="171"/>
      <c r="E260" s="160"/>
      <c r="F260" s="171"/>
      <c r="G260" s="171"/>
      <c r="H260" s="171"/>
      <c r="I260" s="171"/>
      <c r="J260"/>
      <c r="K260"/>
      <c r="L260" s="247"/>
      <c r="M260" s="247"/>
      <c r="N260" s="171"/>
      <c r="O260" s="171"/>
      <c r="P260" s="171"/>
      <c r="Q260" s="160"/>
      <c r="R260" s="160"/>
      <c r="S260" s="171"/>
      <c r="T260" s="171"/>
      <c r="Y260" s="171"/>
      <c r="Z260" s="171"/>
      <c r="AA260" s="171"/>
      <c r="AB260" s="171"/>
      <c r="AC260" s="171"/>
      <c r="AD260" s="171"/>
      <c r="AE260" s="171"/>
      <c r="AF260" s="171"/>
      <c r="AN260" s="171"/>
      <c r="AO260" s="171"/>
      <c r="AP260" s="171"/>
      <c r="AQ260" s="171"/>
      <c r="AR260" s="171"/>
      <c r="AS260" s="171"/>
      <c r="AT260" s="171"/>
      <c r="AU260" s="171"/>
      <c r="AX260" s="171"/>
      <c r="AY260" s="171"/>
      <c r="AZ260" s="171"/>
      <c r="BA260" s="171"/>
      <c r="BB260" s="171"/>
      <c r="BF260" s="171"/>
      <c r="BH260" s="171"/>
    </row>
    <row r="261" spans="1:60" x14ac:dyDescent="0.25">
      <c r="A261" s="182"/>
      <c r="B261" s="182"/>
      <c r="C261" s="171"/>
      <c r="D261" s="171"/>
      <c r="E261" s="160"/>
      <c r="F261" s="171"/>
      <c r="G261" s="171"/>
      <c r="H261" s="171"/>
      <c r="I261" s="171"/>
      <c r="J261"/>
      <c r="K261"/>
      <c r="L261" s="247"/>
      <c r="M261" s="247"/>
      <c r="N261" s="171"/>
      <c r="O261" s="171"/>
      <c r="P261" s="171"/>
      <c r="Q261" s="160"/>
      <c r="R261" s="160"/>
      <c r="S261" s="171"/>
      <c r="T261" s="171"/>
      <c r="Y261" s="171"/>
      <c r="Z261" s="171"/>
      <c r="AA261" s="171"/>
      <c r="AB261" s="171"/>
      <c r="AC261" s="171"/>
      <c r="AD261" s="171"/>
      <c r="AE261" s="171"/>
      <c r="AF261" s="171"/>
      <c r="AN261" s="171"/>
      <c r="AO261" s="171"/>
      <c r="AP261" s="171"/>
      <c r="AQ261" s="171"/>
      <c r="AR261" s="171"/>
      <c r="AS261" s="171"/>
      <c r="AT261" s="171"/>
      <c r="AU261" s="171"/>
      <c r="AX261" s="171"/>
      <c r="AY261" s="171"/>
      <c r="AZ261" s="171"/>
      <c r="BA261" s="171"/>
      <c r="BB261" s="171"/>
      <c r="BF261" s="171"/>
      <c r="BH261" s="171"/>
    </row>
    <row r="262" spans="1:60" x14ac:dyDescent="0.25">
      <c r="A262" s="182"/>
      <c r="B262" s="182"/>
      <c r="C262" s="171"/>
      <c r="D262" s="171"/>
      <c r="E262" s="160"/>
      <c r="F262" s="171"/>
      <c r="G262" s="171"/>
      <c r="H262" s="171"/>
      <c r="I262" s="171"/>
      <c r="J262"/>
      <c r="K262"/>
      <c r="L262" s="247"/>
      <c r="M262" s="247"/>
      <c r="N262" s="171"/>
      <c r="O262" s="171"/>
      <c r="P262" s="171"/>
      <c r="Q262" s="160"/>
      <c r="R262" s="160"/>
      <c r="S262" s="171"/>
      <c r="T262" s="171"/>
      <c r="Y262" s="171"/>
      <c r="Z262" s="171"/>
      <c r="AA262" s="171"/>
      <c r="AB262" s="171"/>
      <c r="AC262" s="171"/>
      <c r="AD262" s="171"/>
      <c r="AE262" s="171"/>
      <c r="AF262" s="171"/>
      <c r="AN262" s="171"/>
      <c r="AO262" s="171"/>
      <c r="AP262" s="171"/>
      <c r="AQ262" s="171"/>
      <c r="AR262" s="171"/>
      <c r="AS262" s="171"/>
      <c r="AT262" s="171"/>
      <c r="AU262" s="171"/>
      <c r="AX262" s="171"/>
      <c r="AY262" s="171"/>
      <c r="AZ262" s="171"/>
      <c r="BA262" s="171"/>
      <c r="BB262" s="171"/>
      <c r="BF262" s="171"/>
      <c r="BH262" s="171"/>
    </row>
    <row r="263" spans="1:60" x14ac:dyDescent="0.25">
      <c r="A263" s="182"/>
      <c r="B263" s="182"/>
      <c r="C263" s="171"/>
      <c r="D263" s="171"/>
      <c r="E263" s="160"/>
      <c r="F263" s="171"/>
      <c r="G263" s="171"/>
      <c r="H263" s="171"/>
      <c r="I263" s="171"/>
      <c r="J263"/>
      <c r="K263"/>
      <c r="L263" s="247"/>
      <c r="M263" s="247"/>
      <c r="N263" s="171"/>
      <c r="O263" s="171"/>
      <c r="P263" s="171"/>
      <c r="Q263" s="160"/>
      <c r="R263" s="160"/>
      <c r="S263" s="171"/>
      <c r="T263" s="171"/>
      <c r="Y263" s="171"/>
      <c r="Z263" s="171"/>
      <c r="AA263" s="171"/>
      <c r="AB263" s="171"/>
      <c r="AC263" s="171"/>
      <c r="AD263" s="171"/>
      <c r="AE263" s="171"/>
      <c r="AF263" s="171"/>
      <c r="AN263" s="171"/>
      <c r="AO263" s="171"/>
      <c r="AP263" s="171"/>
      <c r="AQ263" s="171"/>
      <c r="AR263" s="171"/>
      <c r="AS263" s="171"/>
      <c r="AT263" s="171"/>
      <c r="AU263" s="171"/>
      <c r="AX263" s="171"/>
      <c r="AY263" s="171"/>
      <c r="AZ263" s="171"/>
      <c r="BA263" s="171"/>
      <c r="BB263" s="171"/>
      <c r="BF263" s="171"/>
      <c r="BH263" s="171"/>
    </row>
    <row r="264" spans="1:60" x14ac:dyDescent="0.25">
      <c r="A264" s="182"/>
      <c r="B264" s="182"/>
      <c r="C264" s="171"/>
      <c r="D264" s="171"/>
      <c r="E264" s="160"/>
      <c r="F264" s="171"/>
      <c r="G264" s="171"/>
      <c r="H264" s="171"/>
      <c r="I264" s="171"/>
      <c r="J264"/>
      <c r="K264"/>
      <c r="L264" s="247"/>
      <c r="M264" s="247"/>
      <c r="N264" s="171"/>
      <c r="O264" s="171"/>
      <c r="P264" s="171"/>
      <c r="Q264" s="160"/>
      <c r="R264" s="160"/>
      <c r="S264" s="171"/>
      <c r="T264" s="171"/>
      <c r="Y264" s="171"/>
      <c r="Z264" s="171"/>
      <c r="AA264" s="171"/>
      <c r="AB264" s="171"/>
      <c r="AC264" s="171"/>
      <c r="AD264" s="171"/>
      <c r="AE264" s="171"/>
      <c r="AF264" s="171"/>
      <c r="AN264" s="171"/>
      <c r="AO264" s="171"/>
      <c r="AP264" s="171"/>
      <c r="AQ264" s="171"/>
      <c r="AR264" s="171"/>
      <c r="AS264" s="171"/>
      <c r="AT264" s="171"/>
      <c r="AU264" s="171"/>
      <c r="AX264" s="171"/>
      <c r="AY264" s="171"/>
      <c r="AZ264" s="171"/>
      <c r="BA264" s="171"/>
      <c r="BB264" s="171"/>
      <c r="BF264" s="171"/>
      <c r="BH264" s="171"/>
    </row>
    <row r="265" spans="1:60" x14ac:dyDescent="0.25">
      <c r="A265" s="182"/>
      <c r="B265" s="182"/>
      <c r="C265" s="171"/>
      <c r="D265" s="171"/>
      <c r="E265" s="160"/>
      <c r="F265" s="171"/>
      <c r="G265" s="171"/>
      <c r="H265" s="171"/>
      <c r="I265" s="171"/>
      <c r="J265"/>
      <c r="K265"/>
      <c r="L265" s="247"/>
      <c r="M265" s="247"/>
      <c r="N265" s="171"/>
      <c r="O265" s="171"/>
      <c r="P265" s="171"/>
      <c r="Q265" s="160"/>
      <c r="R265" s="160"/>
      <c r="S265" s="171"/>
      <c r="T265" s="171"/>
      <c r="Y265" s="171"/>
      <c r="Z265" s="171"/>
      <c r="AA265" s="171"/>
      <c r="AB265" s="171"/>
      <c r="AC265" s="171"/>
      <c r="AD265" s="171"/>
      <c r="AE265" s="171"/>
      <c r="AF265" s="171"/>
      <c r="AN265" s="171"/>
      <c r="AO265" s="171"/>
      <c r="AP265" s="171"/>
      <c r="AQ265" s="171"/>
      <c r="AR265" s="171"/>
      <c r="AS265" s="171"/>
      <c r="AT265" s="171"/>
      <c r="AU265" s="171"/>
      <c r="AX265" s="171"/>
      <c r="AY265" s="171"/>
      <c r="AZ265" s="171"/>
      <c r="BA265" s="171"/>
      <c r="BB265" s="171"/>
      <c r="BF265" s="171"/>
      <c r="BH265" s="171"/>
    </row>
    <row r="266" spans="1:60" x14ac:dyDescent="0.25">
      <c r="A266" s="182"/>
      <c r="B266" s="182"/>
      <c r="C266" s="171"/>
      <c r="D266" s="171"/>
      <c r="E266" s="160"/>
      <c r="F266" s="171"/>
      <c r="G266" s="171"/>
      <c r="H266" s="171"/>
      <c r="I266" s="171"/>
      <c r="J266"/>
      <c r="K266"/>
      <c r="L266" s="247"/>
      <c r="M266" s="247"/>
      <c r="N266" s="171"/>
      <c r="O266" s="171"/>
      <c r="P266" s="171"/>
      <c r="Q266" s="160"/>
      <c r="R266" s="160"/>
      <c r="S266" s="171"/>
      <c r="T266" s="171"/>
      <c r="Y266" s="171"/>
      <c r="Z266" s="171"/>
      <c r="AA266" s="171"/>
      <c r="AB266" s="171"/>
      <c r="AC266" s="171"/>
      <c r="AD266" s="171"/>
      <c r="AE266" s="171"/>
      <c r="AF266" s="171"/>
      <c r="AN266" s="171"/>
      <c r="AO266" s="171"/>
      <c r="AP266" s="171"/>
      <c r="AQ266" s="171"/>
      <c r="AR266" s="171"/>
      <c r="AS266" s="171"/>
      <c r="AT266" s="171"/>
      <c r="AU266" s="171"/>
      <c r="AX266" s="171"/>
      <c r="AY266" s="171"/>
      <c r="AZ266" s="171"/>
      <c r="BA266" s="171"/>
      <c r="BB266" s="171"/>
      <c r="BF266" s="171"/>
      <c r="BH266" s="171"/>
    </row>
    <row r="267" spans="1:60" x14ac:dyDescent="0.25">
      <c r="A267" s="182"/>
      <c r="B267" s="182"/>
      <c r="C267" s="171"/>
      <c r="D267" s="171"/>
      <c r="E267" s="160"/>
      <c r="F267" s="171"/>
      <c r="G267" s="171"/>
      <c r="H267" s="171"/>
      <c r="I267" s="171"/>
      <c r="J267"/>
      <c r="K267"/>
      <c r="L267" s="247"/>
      <c r="M267" s="247"/>
      <c r="N267" s="171"/>
      <c r="O267" s="171"/>
      <c r="P267" s="171"/>
      <c r="Q267" s="160"/>
      <c r="R267" s="160"/>
      <c r="S267" s="171"/>
      <c r="T267" s="171"/>
      <c r="Y267" s="171"/>
      <c r="Z267" s="171"/>
      <c r="AA267" s="171"/>
      <c r="AB267" s="171"/>
      <c r="AC267" s="171"/>
      <c r="AD267" s="171"/>
      <c r="AE267" s="171"/>
      <c r="AF267" s="171"/>
      <c r="AN267" s="171"/>
      <c r="AO267" s="171"/>
      <c r="AP267" s="171"/>
      <c r="AQ267" s="171"/>
      <c r="AR267" s="171"/>
      <c r="AS267" s="171"/>
      <c r="AT267" s="171"/>
      <c r="AU267" s="171"/>
      <c r="AX267" s="171"/>
      <c r="AY267" s="171"/>
      <c r="AZ267" s="171"/>
      <c r="BA267" s="171"/>
      <c r="BB267" s="171"/>
      <c r="BF267" s="171"/>
      <c r="BH267" s="171"/>
    </row>
    <row r="268" spans="1:60" x14ac:dyDescent="0.25">
      <c r="A268" s="182"/>
      <c r="B268" s="182"/>
      <c r="C268" s="171"/>
      <c r="D268" s="171"/>
      <c r="E268" s="160"/>
      <c r="F268" s="171"/>
      <c r="G268" s="171"/>
      <c r="H268" s="171"/>
      <c r="I268" s="171"/>
      <c r="J268"/>
      <c r="K268"/>
      <c r="L268" s="247"/>
      <c r="M268" s="247"/>
      <c r="N268" s="171"/>
      <c r="O268" s="171"/>
      <c r="P268" s="171"/>
      <c r="Q268" s="160"/>
      <c r="R268" s="160"/>
      <c r="S268" s="171"/>
      <c r="T268" s="171"/>
      <c r="Y268" s="171"/>
      <c r="Z268" s="171"/>
      <c r="AA268" s="171"/>
      <c r="AB268" s="171"/>
      <c r="AC268" s="171"/>
      <c r="AD268" s="171"/>
      <c r="AE268" s="171"/>
      <c r="AF268" s="171"/>
      <c r="AN268" s="171"/>
      <c r="AO268" s="171"/>
      <c r="AP268" s="171"/>
      <c r="AQ268" s="171"/>
      <c r="AR268" s="171"/>
      <c r="AS268" s="171"/>
      <c r="AT268" s="171"/>
      <c r="AU268" s="171"/>
      <c r="AX268" s="171"/>
      <c r="AY268" s="171"/>
      <c r="AZ268" s="171"/>
      <c r="BA268" s="171"/>
      <c r="BB268" s="171"/>
      <c r="BF268" s="171"/>
      <c r="BH268" s="171"/>
    </row>
    <row r="269" spans="1:60" x14ac:dyDescent="0.25">
      <c r="A269" s="182"/>
      <c r="B269" s="182"/>
      <c r="C269" s="171"/>
      <c r="D269" s="171"/>
      <c r="E269" s="160"/>
      <c r="F269" s="171"/>
      <c r="G269" s="171"/>
      <c r="H269" s="171"/>
      <c r="I269" s="171"/>
      <c r="J269"/>
      <c r="K269"/>
      <c r="L269" s="247"/>
      <c r="M269" s="247"/>
      <c r="N269" s="171"/>
      <c r="O269" s="171"/>
      <c r="P269" s="171"/>
      <c r="Q269" s="160"/>
      <c r="R269" s="160"/>
      <c r="S269" s="171"/>
      <c r="T269" s="171"/>
      <c r="Y269" s="171"/>
      <c r="Z269" s="171"/>
      <c r="AA269" s="171"/>
      <c r="AB269" s="171"/>
      <c r="AC269" s="171"/>
      <c r="AD269" s="171"/>
      <c r="AE269" s="171"/>
      <c r="AF269" s="171"/>
      <c r="AN269" s="171"/>
      <c r="AO269" s="171"/>
      <c r="AP269" s="171"/>
      <c r="AQ269" s="171"/>
      <c r="AR269" s="171"/>
      <c r="AS269" s="171"/>
      <c r="AT269" s="171"/>
      <c r="AU269" s="171"/>
      <c r="AX269" s="171"/>
      <c r="AY269" s="171"/>
      <c r="AZ269" s="171"/>
      <c r="BA269" s="171"/>
      <c r="BB269" s="171"/>
      <c r="BF269" s="171"/>
      <c r="BH269" s="171"/>
    </row>
    <row r="270" spans="1:60" x14ac:dyDescent="0.25">
      <c r="A270" s="182"/>
      <c r="B270" s="182"/>
      <c r="C270" s="171"/>
      <c r="D270" s="171"/>
      <c r="E270" s="160"/>
      <c r="F270" s="171"/>
      <c r="G270" s="171"/>
      <c r="H270" s="171"/>
      <c r="I270" s="171"/>
      <c r="J270"/>
      <c r="K270"/>
      <c r="L270" s="247"/>
      <c r="M270" s="247"/>
      <c r="N270" s="171"/>
      <c r="O270" s="171"/>
      <c r="P270" s="171"/>
      <c r="Q270" s="160"/>
      <c r="R270" s="160"/>
      <c r="S270" s="171"/>
      <c r="T270" s="171"/>
      <c r="Y270" s="171"/>
      <c r="Z270" s="171"/>
      <c r="AA270" s="171"/>
      <c r="AB270" s="171"/>
      <c r="AC270" s="171"/>
      <c r="AD270" s="171"/>
      <c r="AE270" s="171"/>
      <c r="AF270" s="171"/>
      <c r="AN270" s="171"/>
      <c r="AO270" s="171"/>
      <c r="AP270" s="171"/>
      <c r="AQ270" s="171"/>
      <c r="AR270" s="171"/>
      <c r="AS270" s="171"/>
      <c r="AT270" s="171"/>
      <c r="AU270" s="171"/>
      <c r="AX270" s="171"/>
      <c r="AY270" s="171"/>
      <c r="AZ270" s="171"/>
      <c r="BA270" s="171"/>
      <c r="BB270" s="171"/>
      <c r="BF270" s="171"/>
      <c r="BH270" s="171"/>
    </row>
    <row r="271" spans="1:60" x14ac:dyDescent="0.25">
      <c r="A271" s="182"/>
      <c r="B271" s="182"/>
      <c r="C271" s="171"/>
      <c r="D271" s="171"/>
      <c r="E271" s="160"/>
      <c r="F271" s="171"/>
      <c r="G271" s="171"/>
      <c r="H271" s="171"/>
      <c r="I271" s="171"/>
      <c r="J271"/>
      <c r="K271"/>
      <c r="L271" s="247"/>
      <c r="M271" s="247"/>
      <c r="N271" s="171"/>
      <c r="O271" s="171"/>
      <c r="P271" s="171"/>
      <c r="Q271" s="160"/>
      <c r="R271" s="160"/>
      <c r="S271" s="171"/>
      <c r="T271" s="171"/>
      <c r="Y271" s="171"/>
      <c r="Z271" s="171"/>
      <c r="AA271" s="171"/>
      <c r="AB271" s="171"/>
      <c r="AC271" s="171"/>
      <c r="AD271" s="171"/>
      <c r="AE271" s="171"/>
      <c r="AF271" s="171"/>
      <c r="AN271" s="171"/>
      <c r="AO271" s="171"/>
      <c r="AP271" s="171"/>
      <c r="AQ271" s="171"/>
      <c r="AR271" s="171"/>
      <c r="AS271" s="171"/>
      <c r="AT271" s="171"/>
      <c r="AU271" s="171"/>
      <c r="AX271" s="171"/>
      <c r="AY271" s="171"/>
      <c r="AZ271" s="171"/>
      <c r="BA271" s="171"/>
      <c r="BB271" s="171"/>
      <c r="BF271" s="171"/>
      <c r="BH271" s="171"/>
    </row>
    <row r="272" spans="1:60" x14ac:dyDescent="0.25">
      <c r="A272" s="182"/>
      <c r="B272" s="182"/>
      <c r="C272" s="171"/>
      <c r="D272" s="171"/>
      <c r="E272" s="160"/>
      <c r="F272" s="171"/>
      <c r="G272" s="171"/>
      <c r="H272" s="171"/>
      <c r="I272" s="171"/>
      <c r="J272"/>
      <c r="K272"/>
      <c r="L272" s="247"/>
      <c r="M272" s="247"/>
      <c r="N272" s="171"/>
      <c r="O272" s="171"/>
      <c r="P272" s="171"/>
      <c r="Q272" s="160"/>
      <c r="R272" s="160"/>
      <c r="S272" s="171"/>
      <c r="T272" s="171"/>
      <c r="Y272" s="171"/>
      <c r="Z272" s="171"/>
      <c r="AA272" s="171"/>
      <c r="AB272" s="171"/>
      <c r="AC272" s="171"/>
      <c r="AD272" s="171"/>
      <c r="AE272" s="171"/>
      <c r="AF272" s="171"/>
      <c r="AN272" s="171"/>
      <c r="AO272" s="171"/>
      <c r="AP272" s="171"/>
      <c r="AQ272" s="171"/>
      <c r="AR272" s="171"/>
      <c r="AS272" s="171"/>
      <c r="AT272" s="171"/>
      <c r="AU272" s="171"/>
      <c r="AX272" s="171"/>
      <c r="AY272" s="171"/>
      <c r="AZ272" s="171"/>
      <c r="BA272" s="171"/>
      <c r="BB272" s="171"/>
      <c r="BF272" s="171"/>
      <c r="BH272" s="171"/>
    </row>
    <row r="273" spans="1:102" x14ac:dyDescent="0.25">
      <c r="A273" s="182"/>
      <c r="B273" s="182"/>
      <c r="C273" s="171"/>
      <c r="D273" s="171"/>
      <c r="E273" s="160"/>
      <c r="F273" s="171"/>
      <c r="G273" s="171"/>
      <c r="H273" s="171"/>
      <c r="I273" s="171"/>
      <c r="J273"/>
      <c r="K273"/>
      <c r="L273" s="247"/>
      <c r="M273" s="247"/>
      <c r="N273" s="171"/>
      <c r="O273" s="171"/>
      <c r="P273" s="171"/>
      <c r="Q273" s="160"/>
      <c r="R273" s="160"/>
      <c r="S273" s="171"/>
      <c r="T273" s="171"/>
      <c r="Y273" s="171"/>
      <c r="Z273" s="171"/>
      <c r="AA273" s="171"/>
      <c r="AB273" s="171"/>
      <c r="AC273" s="171"/>
      <c r="AD273" s="171"/>
      <c r="AE273" s="171"/>
      <c r="AF273" s="171"/>
      <c r="AN273" s="171"/>
      <c r="AO273" s="171"/>
      <c r="AP273" s="171"/>
      <c r="AQ273" s="171"/>
      <c r="AR273" s="171"/>
      <c r="AS273" s="171"/>
      <c r="AT273" s="171"/>
      <c r="AU273" s="171"/>
      <c r="AX273" s="171"/>
      <c r="AY273" s="171"/>
      <c r="AZ273" s="171"/>
      <c r="BA273" s="171"/>
      <c r="BB273" s="171"/>
      <c r="BF273" s="171"/>
      <c r="BH273" s="171"/>
    </row>
    <row r="274" spans="1:102" x14ac:dyDescent="0.25">
      <c r="A274" s="182"/>
      <c r="B274" s="182"/>
      <c r="C274" s="171"/>
      <c r="D274" s="171"/>
      <c r="E274" s="160"/>
      <c r="F274" s="171"/>
      <c r="G274" s="171"/>
      <c r="H274" s="171"/>
      <c r="I274" s="171"/>
      <c r="J274"/>
      <c r="K274"/>
      <c r="L274" s="247"/>
      <c r="M274" s="247"/>
      <c r="N274" s="171"/>
      <c r="O274" s="171"/>
      <c r="P274" s="171"/>
      <c r="Q274" s="160"/>
      <c r="R274" s="160"/>
      <c r="S274" s="171"/>
      <c r="T274" s="171"/>
      <c r="Y274" s="171"/>
      <c r="Z274" s="171"/>
      <c r="AA274" s="171"/>
      <c r="AB274" s="171"/>
      <c r="AC274" s="171"/>
      <c r="AD274" s="171"/>
      <c r="AE274" s="171"/>
      <c r="AF274" s="171"/>
      <c r="AN274" s="171"/>
      <c r="AO274" s="171"/>
      <c r="AP274" s="171"/>
      <c r="AQ274" s="171"/>
      <c r="AR274" s="171"/>
      <c r="AS274" s="171"/>
      <c r="AT274" s="171"/>
      <c r="AU274" s="171"/>
      <c r="AX274" s="171"/>
      <c r="AY274" s="171"/>
      <c r="AZ274" s="171"/>
      <c r="BA274" s="171"/>
      <c r="BB274" s="171"/>
      <c r="BF274" s="171"/>
      <c r="BH274" s="171"/>
    </row>
    <row r="275" spans="1:102" x14ac:dyDescent="0.25">
      <c r="A275" s="182"/>
      <c r="B275" s="182"/>
      <c r="C275" s="171"/>
      <c r="D275" s="171"/>
      <c r="E275" s="160"/>
      <c r="F275" s="171"/>
      <c r="G275" s="171"/>
      <c r="H275" s="171"/>
      <c r="I275" s="171"/>
      <c r="J275"/>
      <c r="K275"/>
      <c r="L275" s="247"/>
      <c r="M275" s="247"/>
      <c r="N275" s="171"/>
      <c r="O275" s="171"/>
      <c r="P275" s="171"/>
      <c r="Q275" s="160"/>
      <c r="R275" s="160"/>
      <c r="S275" s="171"/>
      <c r="T275" s="171"/>
      <c r="Y275" s="171"/>
      <c r="Z275" s="171"/>
      <c r="AA275" s="171"/>
      <c r="AB275" s="171"/>
      <c r="AC275" s="171"/>
      <c r="AD275" s="171"/>
      <c r="AE275" s="171"/>
      <c r="AF275" s="171"/>
      <c r="AN275" s="171"/>
      <c r="AO275" s="171"/>
      <c r="AP275" s="171"/>
      <c r="AQ275" s="171"/>
      <c r="AR275" s="171"/>
      <c r="AS275" s="171"/>
      <c r="AT275" s="171"/>
      <c r="AU275" s="171"/>
      <c r="AX275" s="171"/>
      <c r="AY275" s="171"/>
      <c r="AZ275" s="171"/>
      <c r="BA275" s="171"/>
      <c r="BB275" s="171"/>
      <c r="BF275" s="171"/>
      <c r="BH275" s="171"/>
    </row>
    <row r="276" spans="1:102" x14ac:dyDescent="0.25">
      <c r="A276" s="182"/>
      <c r="B276" s="182"/>
      <c r="C276" s="171"/>
      <c r="D276" s="171"/>
      <c r="E276" s="160"/>
      <c r="F276" s="171"/>
      <c r="G276" s="171"/>
      <c r="H276" s="171"/>
      <c r="I276" s="171"/>
      <c r="J276"/>
      <c r="K276"/>
      <c r="L276" s="247"/>
      <c r="M276" s="247"/>
      <c r="N276" s="171"/>
      <c r="O276" s="171"/>
      <c r="P276" s="171"/>
      <c r="Q276" s="160"/>
      <c r="R276" s="160"/>
      <c r="S276" s="171"/>
      <c r="T276" s="171"/>
      <c r="Y276" s="171"/>
      <c r="Z276" s="171"/>
      <c r="AA276" s="171"/>
      <c r="AB276" s="171"/>
      <c r="AC276" s="171"/>
      <c r="AD276" s="171"/>
      <c r="AE276" s="171"/>
      <c r="AF276" s="171"/>
      <c r="AN276" s="171"/>
      <c r="AO276" s="171"/>
      <c r="AP276" s="171"/>
      <c r="AQ276" s="171"/>
      <c r="AR276" s="171"/>
      <c r="AS276" s="171"/>
      <c r="AT276" s="171"/>
      <c r="AU276" s="171"/>
      <c r="AX276" s="171"/>
      <c r="AY276" s="171"/>
      <c r="AZ276" s="171"/>
      <c r="BA276" s="171"/>
      <c r="BB276" s="171"/>
      <c r="BF276" s="171"/>
      <c r="BH276" s="171"/>
    </row>
    <row r="277" spans="1:102" x14ac:dyDescent="0.25">
      <c r="A277" s="182"/>
      <c r="B277" s="182"/>
      <c r="C277" s="171"/>
      <c r="D277" s="171"/>
      <c r="E277" s="160"/>
      <c r="F277" s="171"/>
      <c r="G277" s="171"/>
      <c r="H277" s="171"/>
      <c r="I277" s="171"/>
      <c r="J277"/>
      <c r="K277"/>
      <c r="L277" s="247"/>
      <c r="M277" s="247"/>
      <c r="N277" s="171"/>
      <c r="O277" s="171"/>
      <c r="P277" s="171"/>
      <c r="Q277" s="160"/>
      <c r="R277" s="160"/>
      <c r="S277" s="171"/>
      <c r="T277" s="171"/>
      <c r="Y277" s="171"/>
      <c r="Z277" s="171"/>
      <c r="AA277" s="171"/>
      <c r="AB277" s="171"/>
      <c r="AC277" s="171"/>
      <c r="AD277" s="171"/>
      <c r="AE277" s="171"/>
      <c r="AF277" s="171"/>
      <c r="AN277" s="171"/>
      <c r="AO277" s="171"/>
      <c r="AP277" s="171"/>
      <c r="AQ277" s="171"/>
      <c r="AR277" s="171"/>
      <c r="AS277" s="171"/>
      <c r="AT277" s="171"/>
      <c r="AU277" s="171"/>
      <c r="AX277" s="171"/>
      <c r="AY277" s="171"/>
      <c r="AZ277" s="171"/>
      <c r="BA277" s="171"/>
      <c r="BB277" s="171"/>
      <c r="BF277" s="171"/>
      <c r="BH277" s="171"/>
    </row>
    <row r="278" spans="1:102" x14ac:dyDescent="0.25">
      <c r="A278" s="182"/>
      <c r="B278" s="182"/>
      <c r="C278" s="171"/>
      <c r="D278" s="171"/>
      <c r="E278" s="160"/>
      <c r="F278" s="171"/>
      <c r="G278" s="171"/>
      <c r="H278" s="171"/>
      <c r="I278" s="171"/>
      <c r="J278"/>
      <c r="K278"/>
      <c r="L278" s="247"/>
      <c r="M278" s="247"/>
      <c r="N278" s="171"/>
      <c r="O278" s="171"/>
      <c r="P278" s="171"/>
      <c r="Q278" s="160"/>
      <c r="R278" s="160"/>
      <c r="S278" s="171"/>
      <c r="T278" s="171"/>
      <c r="Y278" s="171"/>
      <c r="Z278" s="171"/>
      <c r="AA278" s="171"/>
      <c r="AB278" s="171"/>
      <c r="AC278" s="171"/>
      <c r="AD278" s="171"/>
      <c r="AE278" s="171"/>
      <c r="AF278" s="171"/>
      <c r="AN278" s="171"/>
      <c r="AO278" s="171"/>
      <c r="AP278" s="171"/>
      <c r="AQ278" s="171"/>
      <c r="AR278" s="171"/>
      <c r="AS278" s="171"/>
      <c r="AT278" s="171"/>
      <c r="AU278" s="171"/>
      <c r="AX278" s="171"/>
      <c r="AY278" s="171"/>
      <c r="AZ278" s="171"/>
      <c r="BA278" s="171"/>
      <c r="BB278" s="171"/>
      <c r="BF278" s="171"/>
      <c r="BH278" s="171"/>
    </row>
    <row r="279" spans="1:102" x14ac:dyDescent="0.25">
      <c r="A279" s="182"/>
      <c r="B279" s="182"/>
      <c r="C279" s="171"/>
      <c r="D279" s="171"/>
      <c r="E279" s="160"/>
      <c r="F279" s="171"/>
      <c r="G279" s="171"/>
      <c r="H279" s="171"/>
      <c r="I279" s="171"/>
      <c r="J279" s="171"/>
      <c r="K279" s="171"/>
      <c r="L279" s="629"/>
      <c r="M279" s="629"/>
      <c r="N279" s="171"/>
      <c r="O279" s="171"/>
      <c r="P279" s="171"/>
      <c r="Q279" s="160"/>
      <c r="R279" s="160"/>
      <c r="S279" s="171"/>
      <c r="T279" s="171"/>
      <c r="Y279" s="171"/>
      <c r="Z279" s="171"/>
      <c r="AA279" s="171"/>
      <c r="AB279" s="171"/>
      <c r="AC279" s="171"/>
      <c r="AD279" s="171"/>
      <c r="AE279" s="171"/>
      <c r="AF279" s="171"/>
      <c r="AN279" s="171"/>
      <c r="AO279" s="171"/>
      <c r="AP279" s="171"/>
      <c r="AQ279" s="171"/>
      <c r="AR279" s="171"/>
      <c r="AS279" s="171"/>
      <c r="AT279" s="171"/>
      <c r="AU279" s="171"/>
      <c r="AX279" s="171"/>
      <c r="AY279" s="171"/>
      <c r="AZ279" s="171"/>
      <c r="BA279" s="171"/>
      <c r="BB279" s="171"/>
      <c r="BC279" s="171"/>
      <c r="BD279" s="171"/>
      <c r="BF279" s="171"/>
      <c r="BH279" s="171"/>
      <c r="BI279" s="168"/>
      <c r="BM279" s="168"/>
      <c r="BN279" s="168"/>
      <c r="BO279" s="168"/>
      <c r="BP279" s="168"/>
      <c r="BQ279" s="168"/>
      <c r="BR279" s="168"/>
      <c r="BS279" s="168"/>
      <c r="BT279" s="168"/>
      <c r="BU279" s="168"/>
      <c r="BV279" s="168"/>
      <c r="BW279" s="168"/>
      <c r="BX279" s="168"/>
      <c r="BY279" s="168"/>
      <c r="BZ279" s="168"/>
      <c r="CA279" s="168"/>
      <c r="CB279" s="168"/>
      <c r="CC279" s="168"/>
      <c r="CD279" s="168"/>
      <c r="CE279" s="168"/>
      <c r="CF279" s="168"/>
      <c r="CG279" s="168"/>
      <c r="CH279" s="168"/>
      <c r="CI279" s="168"/>
      <c r="CJ279" s="168"/>
      <c r="CK279" s="168"/>
      <c r="CL279" s="168"/>
      <c r="CM279" s="168"/>
      <c r="CN279" s="168"/>
      <c r="CO279" s="168"/>
      <c r="CP279" s="168"/>
      <c r="CQ279" s="168"/>
      <c r="CR279" s="168"/>
      <c r="CS279" s="168"/>
      <c r="CT279" s="168"/>
      <c r="CU279" s="168"/>
      <c r="CV279" s="168"/>
      <c r="CW279" s="168"/>
      <c r="CX279" s="168"/>
    </row>
    <row r="280" spans="1:102" x14ac:dyDescent="0.25">
      <c r="A280" s="182"/>
      <c r="B280" s="182"/>
      <c r="C280" s="171"/>
      <c r="D280" s="171"/>
      <c r="E280" s="160"/>
      <c r="F280" s="171"/>
      <c r="G280" s="171"/>
      <c r="H280" s="171"/>
      <c r="I280" s="171"/>
      <c r="J280"/>
      <c r="K280"/>
      <c r="L280" s="247"/>
      <c r="M280" s="247"/>
      <c r="N280" s="171"/>
      <c r="O280" s="171"/>
      <c r="P280" s="171"/>
      <c r="Q280" s="160"/>
      <c r="R280" s="160"/>
      <c r="S280" s="171"/>
      <c r="T280" s="171"/>
      <c r="Y280" s="171"/>
      <c r="Z280" s="171"/>
      <c r="AA280" s="171"/>
      <c r="AB280" s="171"/>
      <c r="AC280" s="171"/>
      <c r="AD280" s="171"/>
      <c r="AE280" s="171"/>
      <c r="AF280" s="171"/>
      <c r="AN280" s="171"/>
      <c r="AO280" s="171"/>
      <c r="AP280" s="171"/>
      <c r="AQ280" s="171"/>
      <c r="AR280" s="171"/>
      <c r="AS280" s="171"/>
      <c r="AT280" s="171"/>
      <c r="AU280" s="171"/>
      <c r="AX280" s="171"/>
      <c r="AY280" s="171"/>
      <c r="AZ280" s="171"/>
      <c r="BA280" s="171"/>
      <c r="BB280" s="171"/>
      <c r="BF280" s="171"/>
      <c r="BH280" s="171"/>
    </row>
    <row r="281" spans="1:102" x14ac:dyDescent="0.25">
      <c r="A281" s="182"/>
      <c r="B281" s="182"/>
      <c r="C281" s="171"/>
      <c r="D281" s="171"/>
      <c r="E281" s="160"/>
      <c r="F281" s="171"/>
      <c r="G281" s="171"/>
      <c r="H281" s="171"/>
      <c r="I281" s="171"/>
      <c r="J281"/>
      <c r="K281"/>
      <c r="L281" s="247"/>
      <c r="M281" s="247"/>
      <c r="N281" s="171"/>
      <c r="O281" s="171"/>
      <c r="P281" s="171"/>
      <c r="Q281" s="160"/>
      <c r="R281" s="160"/>
      <c r="S281" s="171"/>
      <c r="T281" s="171"/>
      <c r="Y281" s="171"/>
      <c r="Z281" s="171"/>
      <c r="AA281" s="171"/>
      <c r="AB281" s="171"/>
      <c r="AC281" s="171"/>
      <c r="AD281" s="171"/>
      <c r="AE281" s="171"/>
      <c r="AF281" s="171"/>
      <c r="AN281" s="171"/>
      <c r="AO281" s="171"/>
      <c r="AP281" s="171"/>
      <c r="AQ281" s="171"/>
      <c r="AR281" s="171"/>
      <c r="AS281" s="171"/>
      <c r="AT281" s="171"/>
      <c r="AU281" s="171"/>
      <c r="AX281" s="171"/>
      <c r="AY281" s="171"/>
      <c r="AZ281" s="171"/>
      <c r="BA281" s="171"/>
      <c r="BB281" s="171"/>
      <c r="BF281" s="171"/>
      <c r="BH281" s="171"/>
    </row>
    <row r="282" spans="1:102" x14ac:dyDescent="0.25">
      <c r="A282" s="182"/>
      <c r="B282" s="182"/>
      <c r="C282" s="171"/>
      <c r="D282" s="171"/>
      <c r="E282" s="160"/>
      <c r="F282" s="171"/>
      <c r="G282" s="171"/>
      <c r="H282" s="171"/>
      <c r="I282" s="171"/>
      <c r="J282"/>
      <c r="K282"/>
      <c r="L282" s="247"/>
      <c r="M282" s="247"/>
      <c r="N282" s="171"/>
      <c r="O282" s="171"/>
      <c r="P282" s="171"/>
      <c r="Q282" s="160"/>
      <c r="R282" s="160"/>
      <c r="S282" s="171"/>
      <c r="T282" s="171"/>
      <c r="Y282" s="171"/>
      <c r="Z282" s="171"/>
      <c r="AA282" s="171"/>
      <c r="AB282" s="171"/>
      <c r="AC282" s="171"/>
      <c r="AD282" s="171"/>
      <c r="AE282" s="171"/>
      <c r="AF282" s="171"/>
      <c r="AN282" s="171"/>
      <c r="AO282" s="171"/>
      <c r="AP282" s="171"/>
      <c r="AQ282" s="171"/>
      <c r="AR282" s="171"/>
      <c r="AS282" s="171"/>
      <c r="AT282" s="171"/>
      <c r="AU282" s="171"/>
      <c r="AX282" s="171"/>
      <c r="AY282" s="171"/>
      <c r="AZ282" s="171"/>
      <c r="BA282" s="171"/>
      <c r="BB282" s="171"/>
      <c r="BF282" s="171"/>
      <c r="BH282" s="171"/>
    </row>
    <row r="283" spans="1:102" x14ac:dyDescent="0.25">
      <c r="A283" s="182"/>
      <c r="B283" s="182"/>
      <c r="C283" s="171"/>
      <c r="D283" s="171"/>
      <c r="E283" s="160"/>
      <c r="F283" s="171"/>
      <c r="G283" s="171"/>
      <c r="H283" s="171"/>
      <c r="I283" s="171"/>
      <c r="J283"/>
      <c r="K283"/>
      <c r="L283" s="247"/>
      <c r="M283" s="247"/>
      <c r="N283" s="171"/>
      <c r="O283" s="171"/>
      <c r="P283" s="171"/>
      <c r="Q283" s="160"/>
      <c r="R283" s="160"/>
      <c r="S283" s="171"/>
      <c r="T283" s="171"/>
      <c r="Y283" s="171"/>
      <c r="Z283" s="171"/>
      <c r="AA283" s="171"/>
      <c r="AB283" s="171"/>
      <c r="AC283" s="171"/>
      <c r="AD283" s="171"/>
      <c r="AE283" s="171"/>
      <c r="AF283" s="171"/>
      <c r="AN283" s="171"/>
      <c r="AO283" s="171"/>
      <c r="AP283" s="171"/>
      <c r="AQ283" s="171"/>
      <c r="AR283" s="171"/>
      <c r="AS283" s="171"/>
      <c r="AT283" s="171"/>
      <c r="AU283" s="171"/>
      <c r="AX283" s="171"/>
      <c r="AY283" s="171"/>
      <c r="AZ283" s="171"/>
      <c r="BA283" s="171"/>
      <c r="BB283" s="171"/>
      <c r="BF283" s="171"/>
      <c r="BH283" s="171"/>
    </row>
    <row r="284" spans="1:102" x14ac:dyDescent="0.25">
      <c r="A284" s="182"/>
      <c r="B284" s="182"/>
      <c r="C284" s="171"/>
      <c r="D284" s="171"/>
      <c r="E284" s="160"/>
      <c r="F284" s="171"/>
      <c r="G284" s="171"/>
      <c r="H284" s="171"/>
      <c r="I284" s="171"/>
      <c r="J284"/>
      <c r="K284"/>
      <c r="L284" s="247"/>
      <c r="M284" s="247"/>
      <c r="N284" s="171"/>
      <c r="O284" s="171"/>
      <c r="P284" s="171"/>
      <c r="Q284" s="160"/>
      <c r="R284" s="160"/>
      <c r="S284" s="171"/>
      <c r="T284" s="171"/>
      <c r="Y284" s="171"/>
      <c r="Z284" s="171"/>
      <c r="AA284" s="171"/>
      <c r="AB284" s="171"/>
      <c r="AC284" s="171"/>
      <c r="AD284" s="171"/>
      <c r="AE284" s="171"/>
      <c r="AF284" s="171"/>
      <c r="AN284" s="171"/>
      <c r="AO284" s="171"/>
      <c r="AP284" s="171"/>
      <c r="AQ284" s="171"/>
      <c r="AR284" s="171"/>
      <c r="AS284" s="171"/>
      <c r="AT284" s="171"/>
      <c r="AU284" s="171"/>
      <c r="AX284" s="171"/>
      <c r="AY284" s="171"/>
      <c r="AZ284" s="171"/>
      <c r="BA284" s="171"/>
      <c r="BB284" s="171"/>
      <c r="BF284" s="171"/>
      <c r="BH284" s="171"/>
    </row>
    <row r="285" spans="1:102" x14ac:dyDescent="0.25">
      <c r="A285" s="182"/>
      <c r="B285" s="182"/>
      <c r="C285" s="171"/>
      <c r="D285" s="171"/>
      <c r="E285" s="160"/>
      <c r="F285" s="171"/>
      <c r="G285" s="171"/>
      <c r="H285" s="171"/>
      <c r="I285" s="171"/>
      <c r="J285"/>
      <c r="K285"/>
      <c r="L285" s="247"/>
      <c r="M285" s="247"/>
      <c r="N285" s="171"/>
      <c r="O285" s="171"/>
      <c r="P285" s="171"/>
      <c r="Q285" s="160"/>
      <c r="R285" s="160"/>
      <c r="S285" s="171"/>
      <c r="T285" s="171"/>
      <c r="Y285" s="171"/>
      <c r="Z285" s="171"/>
      <c r="AA285" s="171"/>
      <c r="AB285" s="171"/>
      <c r="AC285" s="171"/>
      <c r="AD285" s="171"/>
      <c r="AE285" s="171"/>
      <c r="AF285" s="171"/>
      <c r="AN285" s="171"/>
      <c r="AO285" s="171"/>
      <c r="AP285" s="171"/>
      <c r="AQ285" s="171"/>
      <c r="AR285" s="171"/>
      <c r="AS285" s="171"/>
      <c r="AT285" s="171"/>
      <c r="AU285" s="171"/>
      <c r="AX285" s="171"/>
      <c r="AY285" s="171"/>
      <c r="AZ285" s="171"/>
      <c r="BA285" s="171"/>
      <c r="BB285" s="171"/>
      <c r="BF285" s="171"/>
      <c r="BH285" s="171"/>
    </row>
    <row r="286" spans="1:102" x14ac:dyDescent="0.25">
      <c r="A286" s="182"/>
      <c r="B286" s="182"/>
      <c r="C286" s="171"/>
      <c r="D286" s="171"/>
      <c r="E286" s="160"/>
      <c r="F286" s="171"/>
      <c r="G286" s="171"/>
      <c r="H286" s="171"/>
      <c r="I286" s="171"/>
      <c r="J286"/>
      <c r="K286"/>
      <c r="L286" s="247"/>
      <c r="M286" s="247"/>
      <c r="N286" s="171"/>
      <c r="O286" s="171"/>
      <c r="P286" s="171"/>
      <c r="Q286" s="160"/>
      <c r="R286" s="160"/>
      <c r="S286" s="171"/>
      <c r="T286" s="171"/>
      <c r="Y286" s="171"/>
      <c r="Z286" s="171"/>
      <c r="AA286" s="171"/>
      <c r="AB286" s="171"/>
      <c r="AC286" s="171"/>
      <c r="AD286" s="171"/>
      <c r="AE286" s="171"/>
      <c r="AF286" s="171"/>
      <c r="AN286" s="171"/>
      <c r="AO286" s="171"/>
      <c r="AP286" s="171"/>
      <c r="AQ286" s="171"/>
      <c r="AR286" s="171"/>
      <c r="AS286" s="171"/>
      <c r="AT286" s="171"/>
      <c r="AU286" s="171"/>
      <c r="AX286" s="171"/>
      <c r="AY286" s="171"/>
      <c r="AZ286" s="171"/>
      <c r="BA286" s="171"/>
      <c r="BB286" s="171"/>
      <c r="BF286" s="171"/>
      <c r="BH286" s="171"/>
    </row>
    <row r="287" spans="1:102" x14ac:dyDescent="0.25">
      <c r="A287" s="182"/>
      <c r="B287" s="182"/>
      <c r="C287" s="171"/>
      <c r="D287" s="171"/>
      <c r="E287" s="160"/>
      <c r="F287" s="171"/>
      <c r="G287" s="171"/>
      <c r="H287" s="171"/>
      <c r="I287" s="171"/>
      <c r="J287"/>
      <c r="K287"/>
      <c r="L287" s="247"/>
      <c r="M287" s="247"/>
      <c r="N287" s="171"/>
      <c r="O287" s="171"/>
      <c r="P287" s="171"/>
      <c r="Q287" s="160"/>
      <c r="R287" s="160"/>
      <c r="S287" s="171"/>
      <c r="T287" s="171"/>
      <c r="Y287" s="171"/>
      <c r="Z287" s="171"/>
      <c r="AA287" s="171"/>
      <c r="AB287" s="171"/>
      <c r="AC287" s="171"/>
      <c r="AD287" s="171"/>
      <c r="AE287" s="171"/>
      <c r="AF287" s="171"/>
      <c r="AN287" s="171"/>
      <c r="AO287" s="171"/>
      <c r="AP287" s="171"/>
      <c r="AQ287" s="171"/>
      <c r="AR287" s="171"/>
      <c r="AS287" s="171"/>
      <c r="AT287" s="171"/>
      <c r="AU287" s="171"/>
      <c r="AX287" s="171"/>
      <c r="AY287" s="171"/>
      <c r="AZ287" s="171"/>
      <c r="BA287" s="171"/>
      <c r="BB287" s="171"/>
      <c r="BF287" s="171"/>
      <c r="BH287" s="171"/>
    </row>
    <row r="288" spans="1:102" x14ac:dyDescent="0.25">
      <c r="A288" s="182"/>
      <c r="B288" s="182"/>
      <c r="C288" s="171"/>
      <c r="D288" s="171"/>
      <c r="E288" s="160"/>
      <c r="F288" s="171"/>
      <c r="G288" s="171"/>
      <c r="H288" s="171"/>
      <c r="I288" s="171"/>
      <c r="J288"/>
      <c r="K288"/>
      <c r="L288" s="247"/>
      <c r="M288" s="247"/>
      <c r="N288" s="171"/>
      <c r="O288" s="171"/>
      <c r="P288" s="171"/>
      <c r="Q288" s="160"/>
      <c r="R288" s="160"/>
      <c r="S288" s="171"/>
      <c r="T288" s="171"/>
      <c r="Y288" s="171"/>
      <c r="Z288" s="171"/>
      <c r="AA288" s="171"/>
      <c r="AB288" s="171"/>
      <c r="AC288" s="171"/>
      <c r="AD288" s="171"/>
      <c r="AE288" s="171"/>
      <c r="AF288" s="171"/>
      <c r="AN288" s="171"/>
      <c r="AO288" s="171"/>
      <c r="AP288" s="171"/>
      <c r="AQ288" s="171"/>
      <c r="AR288" s="171"/>
      <c r="AS288" s="171"/>
      <c r="AT288" s="171"/>
      <c r="AU288" s="171"/>
      <c r="AX288" s="171"/>
      <c r="AY288" s="171"/>
      <c r="AZ288" s="171"/>
      <c r="BA288" s="171"/>
      <c r="BB288" s="171"/>
      <c r="BF288" s="171"/>
      <c r="BH288" s="171"/>
    </row>
    <row r="289" spans="1:60" x14ac:dyDescent="0.25">
      <c r="A289" s="182"/>
      <c r="B289" s="182"/>
      <c r="C289" s="171"/>
      <c r="D289" s="171"/>
      <c r="E289" s="160"/>
      <c r="F289" s="171"/>
      <c r="G289" s="171"/>
      <c r="H289" s="171"/>
      <c r="I289" s="171"/>
      <c r="J289"/>
      <c r="K289"/>
      <c r="L289" s="247"/>
      <c r="M289" s="247"/>
      <c r="N289" s="171"/>
      <c r="O289" s="171"/>
      <c r="P289" s="171"/>
      <c r="Q289" s="160"/>
      <c r="R289" s="160"/>
      <c r="S289" s="171"/>
      <c r="T289" s="171"/>
      <c r="Y289" s="171"/>
      <c r="Z289" s="171"/>
      <c r="AA289" s="171"/>
      <c r="AB289" s="171"/>
      <c r="AC289" s="171"/>
      <c r="AD289" s="171"/>
      <c r="AE289" s="171"/>
      <c r="AF289" s="171"/>
      <c r="AN289" s="171"/>
      <c r="AO289" s="171"/>
      <c r="AP289" s="171"/>
      <c r="AQ289" s="171"/>
      <c r="AR289" s="171"/>
      <c r="AS289" s="171"/>
      <c r="AT289" s="171"/>
      <c r="AU289" s="171"/>
      <c r="AX289" s="171"/>
      <c r="AY289" s="171"/>
      <c r="AZ289" s="171"/>
      <c r="BA289" s="171"/>
      <c r="BB289" s="171"/>
      <c r="BF289" s="171"/>
      <c r="BH289" s="171"/>
    </row>
    <row r="290" spans="1:60" x14ac:dyDescent="0.25">
      <c r="A290" s="182"/>
      <c r="B290" s="182"/>
      <c r="C290" s="171"/>
      <c r="D290" s="171"/>
      <c r="E290" s="160"/>
      <c r="F290" s="171"/>
      <c r="G290" s="171"/>
      <c r="H290" s="171"/>
      <c r="I290" s="171"/>
      <c r="J290"/>
      <c r="K290"/>
      <c r="L290" s="247"/>
      <c r="M290" s="247"/>
      <c r="N290" s="171"/>
      <c r="O290" s="171"/>
      <c r="P290" s="171"/>
      <c r="Q290" s="160"/>
      <c r="R290" s="160"/>
      <c r="S290" s="171"/>
      <c r="T290" s="171"/>
      <c r="Y290" s="171"/>
      <c r="Z290" s="171"/>
      <c r="AA290" s="171"/>
      <c r="AB290" s="171"/>
      <c r="AC290" s="171"/>
      <c r="AD290" s="171"/>
      <c r="AE290" s="171"/>
      <c r="AF290" s="171"/>
      <c r="AN290" s="171"/>
      <c r="AO290" s="171"/>
      <c r="AP290" s="171"/>
      <c r="AQ290" s="171"/>
      <c r="AR290" s="171"/>
      <c r="AS290" s="171"/>
      <c r="AT290" s="171"/>
      <c r="AU290" s="171"/>
      <c r="AX290" s="171"/>
      <c r="AY290" s="171"/>
      <c r="AZ290" s="171"/>
      <c r="BA290" s="171"/>
      <c r="BB290" s="171"/>
      <c r="BF290" s="171"/>
      <c r="BH290" s="171"/>
    </row>
    <row r="291" spans="1:60" x14ac:dyDescent="0.25">
      <c r="A291" s="182"/>
      <c r="B291" s="182"/>
      <c r="C291" s="171"/>
      <c r="D291" s="171"/>
      <c r="E291" s="160"/>
      <c r="F291" s="171"/>
      <c r="G291" s="171"/>
      <c r="H291" s="171"/>
      <c r="I291" s="171"/>
      <c r="J291"/>
      <c r="K291"/>
      <c r="L291" s="247"/>
      <c r="M291" s="247"/>
      <c r="N291" s="171"/>
      <c r="O291" s="171"/>
      <c r="P291" s="171"/>
      <c r="Q291" s="160"/>
      <c r="R291" s="160"/>
      <c r="S291" s="171"/>
      <c r="T291" s="171"/>
      <c r="Y291" s="171"/>
      <c r="Z291" s="171"/>
      <c r="AA291" s="171"/>
      <c r="AB291" s="171"/>
      <c r="AC291" s="171"/>
      <c r="AD291" s="171"/>
      <c r="AE291" s="171"/>
      <c r="AF291" s="171"/>
      <c r="AN291" s="171"/>
      <c r="AO291" s="171"/>
      <c r="AP291" s="171"/>
      <c r="AQ291" s="171"/>
      <c r="AR291" s="171"/>
      <c r="AS291" s="171"/>
      <c r="AT291" s="171"/>
      <c r="AU291" s="171"/>
      <c r="AX291" s="171"/>
      <c r="AY291" s="171"/>
      <c r="AZ291" s="171"/>
      <c r="BA291" s="171"/>
      <c r="BB291" s="171"/>
      <c r="BF291" s="171"/>
      <c r="BH291" s="171"/>
    </row>
    <row r="292" spans="1:60" x14ac:dyDescent="0.25">
      <c r="A292" s="182"/>
      <c r="B292" s="182"/>
      <c r="C292" s="171"/>
      <c r="D292" s="171"/>
      <c r="E292" s="160"/>
      <c r="F292" s="171"/>
      <c r="G292" s="171"/>
      <c r="H292" s="171"/>
      <c r="I292" s="171"/>
      <c r="J292"/>
      <c r="K292"/>
      <c r="L292" s="247"/>
      <c r="M292" s="247"/>
      <c r="N292" s="171"/>
      <c r="O292" s="171"/>
      <c r="P292" s="171"/>
      <c r="Q292" s="160"/>
      <c r="R292" s="160"/>
      <c r="S292" s="171"/>
      <c r="T292" s="171"/>
      <c r="Y292" s="171"/>
      <c r="Z292" s="171"/>
      <c r="AA292" s="171"/>
      <c r="AB292" s="171"/>
      <c r="AC292" s="171"/>
      <c r="AD292" s="171"/>
      <c r="AE292" s="171"/>
      <c r="AF292" s="171"/>
      <c r="AN292" s="171"/>
      <c r="AO292" s="171"/>
      <c r="AP292" s="171"/>
      <c r="AQ292" s="171"/>
      <c r="AR292" s="171"/>
      <c r="AS292" s="171"/>
      <c r="AT292" s="171"/>
      <c r="AU292" s="171"/>
      <c r="AX292" s="171"/>
      <c r="AY292" s="171"/>
      <c r="AZ292" s="171"/>
      <c r="BA292" s="171"/>
      <c r="BB292" s="171"/>
      <c r="BF292" s="171"/>
      <c r="BH292" s="171"/>
    </row>
    <row r="293" spans="1:60" x14ac:dyDescent="0.25">
      <c r="A293" s="182"/>
      <c r="B293" s="182"/>
      <c r="C293" s="171"/>
      <c r="D293" s="171"/>
      <c r="E293" s="160"/>
      <c r="F293" s="171"/>
      <c r="G293" s="171"/>
      <c r="H293" s="171"/>
      <c r="I293" s="171"/>
      <c r="J293"/>
      <c r="K293"/>
      <c r="L293" s="247"/>
      <c r="M293" s="247"/>
      <c r="N293" s="171"/>
      <c r="O293" s="171"/>
      <c r="P293" s="171"/>
      <c r="Q293" s="160"/>
      <c r="R293" s="160"/>
      <c r="S293" s="171"/>
      <c r="T293" s="171"/>
      <c r="Y293" s="171"/>
      <c r="Z293" s="171"/>
      <c r="AA293" s="171"/>
      <c r="AB293" s="171"/>
      <c r="AC293" s="171"/>
      <c r="AD293" s="171"/>
      <c r="AE293" s="171"/>
      <c r="AF293" s="171"/>
      <c r="AN293" s="171"/>
      <c r="AO293" s="171"/>
      <c r="AP293" s="171"/>
      <c r="AQ293" s="171"/>
      <c r="AR293" s="171"/>
      <c r="AS293" s="171"/>
      <c r="AT293" s="171"/>
      <c r="AU293" s="171"/>
      <c r="AX293" s="171"/>
      <c r="AY293" s="171"/>
      <c r="AZ293" s="171"/>
      <c r="BA293" s="171"/>
      <c r="BB293" s="171"/>
      <c r="BF293" s="171"/>
      <c r="BH293" s="171"/>
    </row>
    <row r="294" spans="1:60" x14ac:dyDescent="0.25">
      <c r="A294" s="182"/>
      <c r="B294" s="182"/>
      <c r="C294" s="171"/>
      <c r="D294" s="171"/>
      <c r="E294" s="160"/>
      <c r="F294" s="171"/>
      <c r="G294" s="171"/>
      <c r="H294" s="171"/>
      <c r="I294" s="171"/>
      <c r="J294"/>
      <c r="K294"/>
      <c r="L294" s="247"/>
      <c r="M294" s="247"/>
      <c r="N294" s="171"/>
      <c r="O294" s="171"/>
      <c r="P294" s="171"/>
      <c r="Q294" s="160"/>
      <c r="R294" s="160"/>
      <c r="S294" s="171"/>
      <c r="T294" s="171"/>
      <c r="Y294" s="171"/>
      <c r="Z294" s="171"/>
      <c r="AA294" s="171"/>
      <c r="AB294" s="171"/>
      <c r="AC294" s="171"/>
      <c r="AD294" s="171"/>
      <c r="AE294" s="171"/>
      <c r="AF294" s="171"/>
      <c r="AN294" s="171"/>
      <c r="AO294" s="171"/>
      <c r="AP294" s="171"/>
      <c r="AQ294" s="171"/>
      <c r="AR294" s="171"/>
      <c r="AS294" s="171"/>
      <c r="AT294" s="171"/>
      <c r="AU294" s="171"/>
      <c r="AX294" s="171"/>
      <c r="AY294" s="171"/>
      <c r="AZ294" s="171"/>
      <c r="BA294" s="171"/>
      <c r="BB294" s="171"/>
      <c r="BF294" s="171"/>
      <c r="BH294" s="171"/>
    </row>
    <row r="295" spans="1:60" x14ac:dyDescent="0.25">
      <c r="A295" s="182"/>
      <c r="B295" s="182"/>
      <c r="C295" s="171"/>
      <c r="D295" s="171"/>
      <c r="E295" s="160"/>
      <c r="F295" s="171"/>
      <c r="G295" s="171"/>
      <c r="H295" s="171"/>
      <c r="I295" s="171"/>
      <c r="J295"/>
      <c r="K295"/>
      <c r="L295" s="247"/>
      <c r="M295" s="247"/>
      <c r="N295" s="171"/>
      <c r="O295" s="171"/>
      <c r="P295" s="171"/>
      <c r="Q295" s="160"/>
      <c r="R295" s="160"/>
      <c r="S295" s="171"/>
      <c r="T295" s="171"/>
      <c r="Y295" s="171"/>
      <c r="Z295" s="171"/>
      <c r="AA295" s="171"/>
      <c r="AB295" s="171"/>
      <c r="AC295" s="171"/>
      <c r="AD295" s="171"/>
      <c r="AE295" s="171"/>
      <c r="AF295" s="171"/>
      <c r="AN295" s="171"/>
      <c r="AO295" s="171"/>
      <c r="AP295" s="171"/>
      <c r="AQ295" s="171"/>
      <c r="AR295" s="171"/>
      <c r="AS295" s="171"/>
      <c r="AT295" s="171"/>
      <c r="AU295" s="171"/>
      <c r="AX295" s="171"/>
      <c r="AY295" s="171"/>
      <c r="AZ295" s="171"/>
      <c r="BA295" s="171"/>
      <c r="BB295" s="171"/>
      <c r="BF295" s="171"/>
      <c r="BH295" s="171"/>
    </row>
    <row r="296" spans="1:60" x14ac:dyDescent="0.25">
      <c r="A296" s="182"/>
      <c r="B296" s="182"/>
      <c r="C296" s="171"/>
      <c r="D296" s="171"/>
      <c r="E296" s="160"/>
      <c r="F296" s="171"/>
      <c r="G296" s="171"/>
      <c r="H296" s="171"/>
      <c r="I296" s="171"/>
      <c r="J296"/>
      <c r="K296"/>
      <c r="L296" s="247"/>
      <c r="M296" s="247"/>
      <c r="N296" s="171"/>
      <c r="O296" s="171"/>
      <c r="P296" s="171"/>
      <c r="Q296" s="160"/>
      <c r="R296" s="160"/>
      <c r="S296" s="171"/>
      <c r="T296" s="171"/>
      <c r="Y296" s="171"/>
      <c r="Z296" s="171"/>
      <c r="AA296" s="171"/>
      <c r="AB296" s="171"/>
      <c r="AC296" s="171"/>
      <c r="AD296" s="171"/>
      <c r="AE296" s="171"/>
      <c r="AF296" s="171"/>
      <c r="AN296" s="171"/>
      <c r="AO296" s="171"/>
      <c r="AP296" s="171"/>
      <c r="AQ296" s="171"/>
      <c r="AR296" s="171"/>
      <c r="AS296" s="171"/>
      <c r="AT296" s="171"/>
      <c r="AU296" s="171"/>
      <c r="AX296" s="171"/>
      <c r="AY296" s="171"/>
      <c r="AZ296" s="171"/>
      <c r="BA296" s="171"/>
      <c r="BB296" s="171"/>
      <c r="BF296" s="171"/>
      <c r="BH296" s="171"/>
    </row>
    <row r="297" spans="1:60" x14ac:dyDescent="0.25">
      <c r="A297" s="182"/>
      <c r="B297" s="182"/>
      <c r="C297" s="171"/>
      <c r="D297" s="171"/>
      <c r="E297" s="160"/>
      <c r="F297" s="171"/>
      <c r="G297" s="171"/>
      <c r="H297" s="171"/>
      <c r="I297" s="171"/>
      <c r="J297"/>
      <c r="K297"/>
      <c r="L297" s="247"/>
      <c r="M297" s="247"/>
      <c r="N297" s="171"/>
      <c r="O297" s="171"/>
      <c r="P297" s="171"/>
      <c r="Q297" s="160"/>
      <c r="R297" s="160"/>
      <c r="S297" s="171"/>
      <c r="T297" s="171"/>
      <c r="Y297" s="171"/>
      <c r="Z297" s="171"/>
      <c r="AA297" s="171"/>
      <c r="AB297" s="171"/>
      <c r="AC297" s="171"/>
      <c r="AD297" s="171"/>
      <c r="AE297" s="171"/>
      <c r="AF297" s="171"/>
      <c r="AN297" s="171"/>
      <c r="AO297" s="171"/>
      <c r="AP297" s="171"/>
      <c r="AQ297" s="171"/>
      <c r="AR297" s="171"/>
      <c r="AS297" s="171"/>
      <c r="AT297" s="171"/>
      <c r="AU297" s="171"/>
      <c r="AX297" s="171"/>
      <c r="AY297" s="171"/>
      <c r="AZ297" s="171"/>
      <c r="BA297" s="171"/>
      <c r="BB297" s="171"/>
      <c r="BF297" s="171"/>
      <c r="BH297" s="171"/>
    </row>
    <row r="298" spans="1:60" x14ac:dyDescent="0.25">
      <c r="A298" s="182"/>
      <c r="B298" s="182"/>
      <c r="C298" s="171"/>
      <c r="D298" s="171"/>
      <c r="E298" s="160"/>
      <c r="F298" s="171"/>
      <c r="G298" s="171"/>
      <c r="H298" s="171"/>
      <c r="I298" s="171"/>
      <c r="J298"/>
      <c r="K298"/>
      <c r="L298" s="247"/>
      <c r="M298" s="247"/>
      <c r="N298" s="171"/>
      <c r="O298" s="171"/>
      <c r="P298" s="171"/>
      <c r="Q298" s="160"/>
      <c r="R298" s="160"/>
      <c r="S298" s="171"/>
      <c r="T298" s="171"/>
      <c r="Y298" s="171"/>
      <c r="Z298" s="171"/>
      <c r="AA298" s="171"/>
      <c r="AB298" s="171"/>
      <c r="AC298" s="171"/>
      <c r="AD298" s="171"/>
      <c r="AE298" s="171"/>
      <c r="AF298" s="171"/>
      <c r="AN298" s="171"/>
      <c r="AO298" s="171"/>
      <c r="AP298" s="171"/>
      <c r="AQ298" s="171"/>
      <c r="AR298" s="171"/>
      <c r="AS298" s="171"/>
      <c r="AT298" s="171"/>
      <c r="AU298" s="171"/>
      <c r="AX298" s="171"/>
      <c r="AY298" s="171"/>
      <c r="AZ298" s="171"/>
      <c r="BA298" s="171"/>
      <c r="BB298" s="171"/>
      <c r="BF298" s="171"/>
      <c r="BH298" s="171"/>
    </row>
    <row r="299" spans="1:60" x14ac:dyDescent="0.25">
      <c r="A299" s="182"/>
      <c r="B299" s="182"/>
      <c r="C299" s="171"/>
      <c r="D299" s="171"/>
      <c r="E299" s="160"/>
      <c r="F299" s="171"/>
      <c r="G299" s="171"/>
      <c r="H299" s="171"/>
      <c r="I299" s="171"/>
      <c r="J299"/>
      <c r="K299"/>
      <c r="L299" s="247"/>
      <c r="M299" s="247"/>
      <c r="N299" s="171"/>
      <c r="O299" s="171"/>
      <c r="P299" s="171"/>
      <c r="Q299" s="160"/>
      <c r="R299" s="160"/>
      <c r="S299" s="171"/>
      <c r="T299" s="171"/>
      <c r="Y299" s="171"/>
      <c r="Z299" s="171"/>
      <c r="AA299" s="171"/>
      <c r="AB299" s="171"/>
      <c r="AC299" s="171"/>
      <c r="AD299" s="171"/>
      <c r="AE299" s="171"/>
      <c r="AF299" s="171"/>
      <c r="AN299" s="171"/>
      <c r="AO299" s="171"/>
      <c r="AP299" s="171"/>
      <c r="AQ299" s="171"/>
      <c r="AR299" s="171"/>
      <c r="AS299" s="171"/>
      <c r="AT299" s="171"/>
      <c r="AU299" s="171"/>
      <c r="AX299" s="171"/>
      <c r="AY299" s="171"/>
      <c r="AZ299" s="171"/>
      <c r="BA299" s="171"/>
      <c r="BB299" s="171"/>
      <c r="BF299" s="171"/>
      <c r="BH299" s="171"/>
    </row>
    <row r="300" spans="1:60" x14ac:dyDescent="0.25">
      <c r="A300" s="182"/>
      <c r="B300" s="182"/>
      <c r="C300" s="171"/>
      <c r="D300" s="171"/>
      <c r="E300" s="160"/>
      <c r="F300" s="171"/>
      <c r="G300" s="171"/>
      <c r="H300" s="171"/>
      <c r="I300" s="171"/>
      <c r="J300"/>
      <c r="K300"/>
      <c r="L300" s="247"/>
      <c r="M300" s="247"/>
      <c r="N300" s="171"/>
      <c r="O300" s="171"/>
      <c r="P300" s="171"/>
      <c r="Q300" s="160"/>
      <c r="R300" s="160"/>
      <c r="S300" s="171"/>
      <c r="T300" s="171"/>
      <c r="Y300" s="171"/>
      <c r="Z300" s="171"/>
      <c r="AA300" s="171"/>
      <c r="AB300" s="171"/>
      <c r="AC300" s="171"/>
      <c r="AD300" s="171"/>
      <c r="AE300" s="171"/>
      <c r="AF300" s="171"/>
      <c r="AN300" s="171"/>
      <c r="AO300" s="171"/>
      <c r="AP300" s="171"/>
      <c r="AQ300" s="171"/>
      <c r="AR300" s="171"/>
      <c r="AS300" s="171"/>
      <c r="AT300" s="171"/>
      <c r="AU300" s="171"/>
      <c r="AX300" s="171"/>
      <c r="AY300" s="171"/>
      <c r="AZ300" s="171"/>
      <c r="BA300" s="171"/>
      <c r="BB300" s="171"/>
      <c r="BF300" s="171"/>
      <c r="BH300" s="171"/>
    </row>
    <row r="301" spans="1:60" x14ac:dyDescent="0.25">
      <c r="A301" s="182"/>
      <c r="B301" s="182"/>
      <c r="C301" s="171"/>
      <c r="D301" s="171"/>
      <c r="E301" s="160"/>
      <c r="F301" s="171"/>
      <c r="G301" s="171"/>
      <c r="H301" s="171"/>
      <c r="I301" s="171"/>
      <c r="J301"/>
      <c r="K301"/>
      <c r="L301" s="247"/>
      <c r="M301" s="247"/>
      <c r="N301" s="171"/>
      <c r="O301" s="171"/>
      <c r="P301" s="171"/>
      <c r="Q301" s="160"/>
      <c r="R301" s="160"/>
      <c r="S301" s="171"/>
      <c r="T301" s="171"/>
      <c r="Y301" s="171"/>
      <c r="Z301" s="171"/>
      <c r="AA301" s="171"/>
      <c r="AB301" s="171"/>
      <c r="AC301" s="171"/>
      <c r="AD301" s="171"/>
      <c r="AE301" s="171"/>
      <c r="AF301" s="171"/>
      <c r="AN301" s="171"/>
      <c r="AO301" s="171"/>
      <c r="AP301" s="171"/>
      <c r="AQ301" s="171"/>
      <c r="AR301" s="171"/>
      <c r="AS301" s="171"/>
      <c r="AT301" s="171"/>
      <c r="AU301" s="171"/>
      <c r="AX301" s="171"/>
      <c r="AY301" s="171"/>
      <c r="AZ301" s="171"/>
      <c r="BA301" s="171"/>
      <c r="BB301" s="171"/>
      <c r="BF301" s="171"/>
      <c r="BH301" s="171"/>
    </row>
    <row r="302" spans="1:60" x14ac:dyDescent="0.25">
      <c r="A302" s="182"/>
      <c r="B302" s="182"/>
      <c r="C302" s="171"/>
      <c r="D302" s="171"/>
      <c r="E302" s="160"/>
      <c r="F302" s="171"/>
      <c r="G302" s="171"/>
      <c r="H302" s="171"/>
      <c r="I302" s="171"/>
      <c r="J302"/>
      <c r="K302"/>
      <c r="L302" s="247"/>
      <c r="M302" s="247"/>
      <c r="N302" s="171"/>
      <c r="O302" s="171"/>
      <c r="P302" s="171"/>
      <c r="Q302" s="160"/>
      <c r="R302" s="160"/>
      <c r="S302" s="171"/>
      <c r="T302" s="171"/>
      <c r="Y302" s="171"/>
      <c r="Z302" s="171"/>
      <c r="AA302" s="171"/>
      <c r="AB302" s="171"/>
      <c r="AC302" s="171"/>
      <c r="AD302" s="171"/>
      <c r="AE302" s="171"/>
      <c r="AF302" s="171"/>
      <c r="AN302" s="171"/>
      <c r="AO302" s="171"/>
      <c r="AP302" s="171"/>
      <c r="AQ302" s="171"/>
      <c r="AR302" s="171"/>
      <c r="AS302" s="171"/>
      <c r="AT302" s="171"/>
      <c r="AU302" s="171"/>
      <c r="AX302" s="171"/>
      <c r="AY302" s="171"/>
      <c r="AZ302" s="171"/>
      <c r="BA302" s="171"/>
      <c r="BB302" s="171"/>
      <c r="BF302" s="171"/>
      <c r="BH302" s="171"/>
    </row>
    <row r="303" spans="1:60" x14ac:dyDescent="0.25">
      <c r="A303" s="182"/>
      <c r="B303" s="182"/>
      <c r="C303" s="171"/>
      <c r="D303" s="171"/>
      <c r="E303" s="160"/>
      <c r="F303" s="171"/>
      <c r="G303" s="171"/>
      <c r="H303" s="171"/>
      <c r="I303" s="171"/>
      <c r="J303"/>
      <c r="K303"/>
      <c r="L303" s="247"/>
      <c r="M303" s="247"/>
      <c r="N303" s="171"/>
      <c r="O303" s="171"/>
      <c r="P303" s="171"/>
      <c r="Q303" s="160"/>
      <c r="R303" s="160"/>
      <c r="S303" s="171"/>
      <c r="T303" s="171"/>
      <c r="Y303" s="171"/>
      <c r="Z303" s="171"/>
      <c r="AA303" s="171"/>
      <c r="AB303" s="171"/>
      <c r="AC303" s="171"/>
      <c r="AD303" s="171"/>
      <c r="AE303" s="171"/>
      <c r="AF303" s="171"/>
      <c r="AN303" s="171"/>
      <c r="AO303" s="171"/>
      <c r="AP303" s="171"/>
      <c r="AQ303" s="171"/>
      <c r="AR303" s="171"/>
      <c r="AS303" s="171"/>
      <c r="AT303" s="171"/>
      <c r="AU303" s="171"/>
      <c r="AX303" s="171"/>
      <c r="AY303" s="171"/>
      <c r="AZ303" s="171"/>
      <c r="BA303" s="171"/>
      <c r="BB303" s="171"/>
      <c r="BF303" s="171"/>
      <c r="BH303" s="171"/>
    </row>
    <row r="304" spans="1:60" x14ac:dyDescent="0.25">
      <c r="A304" s="182"/>
      <c r="B304" s="182"/>
      <c r="C304" s="171"/>
      <c r="D304" s="171"/>
      <c r="E304" s="160"/>
      <c r="F304" s="171"/>
      <c r="G304" s="171"/>
      <c r="H304" s="171"/>
      <c r="I304" s="171"/>
      <c r="J304"/>
      <c r="K304"/>
      <c r="L304" s="247"/>
      <c r="M304" s="247"/>
      <c r="N304" s="171"/>
      <c r="O304" s="171"/>
      <c r="P304" s="171"/>
      <c r="Q304" s="160"/>
      <c r="R304" s="160"/>
      <c r="S304" s="171"/>
      <c r="T304" s="171"/>
      <c r="Y304" s="171"/>
      <c r="Z304" s="171"/>
      <c r="AA304" s="171"/>
      <c r="AB304" s="171"/>
      <c r="AC304" s="171"/>
      <c r="AD304" s="171"/>
      <c r="AE304" s="171"/>
      <c r="AF304" s="171"/>
      <c r="AN304" s="171"/>
      <c r="AO304" s="171"/>
      <c r="AP304" s="171"/>
      <c r="AQ304" s="171"/>
      <c r="AR304" s="171"/>
      <c r="AS304" s="171"/>
      <c r="AT304" s="171"/>
      <c r="AU304" s="171"/>
      <c r="AX304" s="171"/>
      <c r="AY304" s="171"/>
      <c r="AZ304" s="171"/>
      <c r="BA304" s="171"/>
      <c r="BB304" s="171"/>
      <c r="BF304" s="171"/>
      <c r="BH304" s="171"/>
    </row>
    <row r="305" spans="1:102" x14ac:dyDescent="0.25">
      <c r="A305" s="182"/>
      <c r="B305" s="182"/>
      <c r="C305" s="171"/>
      <c r="D305" s="171"/>
      <c r="E305" s="160"/>
      <c r="F305" s="171"/>
      <c r="G305" s="171"/>
      <c r="H305" s="171"/>
      <c r="I305" s="171"/>
      <c r="J305"/>
      <c r="K305"/>
      <c r="L305" s="247"/>
      <c r="M305" s="247"/>
      <c r="N305" s="171"/>
      <c r="O305" s="171"/>
      <c r="P305" s="171"/>
      <c r="Q305" s="160"/>
      <c r="R305" s="160"/>
      <c r="S305" s="171"/>
      <c r="T305" s="171"/>
      <c r="Y305" s="171"/>
      <c r="Z305" s="171"/>
      <c r="AA305" s="171"/>
      <c r="AB305" s="171"/>
      <c r="AC305" s="171"/>
      <c r="AD305" s="171"/>
      <c r="AE305" s="171"/>
      <c r="AF305" s="171"/>
      <c r="AN305" s="171"/>
      <c r="AO305" s="171"/>
      <c r="AP305" s="171"/>
      <c r="AQ305" s="171"/>
      <c r="AR305" s="171"/>
      <c r="AS305" s="171"/>
      <c r="AT305" s="171"/>
      <c r="AU305" s="171"/>
      <c r="AX305" s="171"/>
      <c r="AY305" s="171"/>
      <c r="AZ305" s="171"/>
      <c r="BA305" s="171"/>
      <c r="BB305" s="171"/>
      <c r="BF305" s="171"/>
      <c r="BH305" s="171"/>
    </row>
    <row r="306" spans="1:102" x14ac:dyDescent="0.25">
      <c r="A306" s="182"/>
      <c r="B306" s="182"/>
      <c r="C306" s="171"/>
      <c r="D306" s="171"/>
      <c r="E306" s="160"/>
      <c r="F306" s="171"/>
      <c r="G306" s="171"/>
      <c r="H306" s="171"/>
      <c r="I306" s="171"/>
      <c r="J306"/>
      <c r="K306"/>
      <c r="L306" s="247"/>
      <c r="M306" s="247"/>
      <c r="N306" s="171"/>
      <c r="O306" s="171"/>
      <c r="P306" s="171"/>
      <c r="Q306" s="160"/>
      <c r="R306" s="160"/>
      <c r="S306" s="171"/>
      <c r="T306" s="171"/>
      <c r="Y306" s="171"/>
      <c r="Z306" s="171"/>
      <c r="AA306" s="171"/>
      <c r="AB306" s="171"/>
      <c r="AC306" s="171"/>
      <c r="AD306" s="171"/>
      <c r="AE306" s="171"/>
      <c r="AF306" s="171"/>
      <c r="AN306" s="171"/>
      <c r="AO306" s="171"/>
      <c r="AP306" s="171"/>
      <c r="AQ306" s="171"/>
      <c r="AR306" s="171"/>
      <c r="AS306" s="171"/>
      <c r="AT306" s="171"/>
      <c r="AU306" s="171"/>
      <c r="AX306" s="171"/>
      <c r="AY306" s="171"/>
      <c r="AZ306" s="171"/>
      <c r="BA306" s="171"/>
      <c r="BB306" s="171"/>
      <c r="BF306" s="171"/>
      <c r="BH306" s="171"/>
    </row>
    <row r="307" spans="1:102" x14ac:dyDescent="0.25">
      <c r="A307" s="182"/>
      <c r="B307" s="182"/>
      <c r="C307" s="171"/>
      <c r="D307" s="171"/>
      <c r="E307" s="160"/>
      <c r="F307" s="171"/>
      <c r="G307" s="171"/>
      <c r="H307" s="171"/>
      <c r="I307" s="171"/>
      <c r="J307"/>
      <c r="K307"/>
      <c r="L307" s="247"/>
      <c r="M307" s="247"/>
      <c r="N307" s="171"/>
      <c r="O307" s="171"/>
      <c r="P307" s="171"/>
      <c r="Q307" s="160"/>
      <c r="R307" s="160"/>
      <c r="S307" s="171"/>
      <c r="T307" s="171"/>
      <c r="Y307" s="171"/>
      <c r="Z307" s="171"/>
      <c r="AA307" s="171"/>
      <c r="AB307" s="171"/>
      <c r="AC307" s="171"/>
      <c r="AD307" s="171"/>
      <c r="AE307" s="171"/>
      <c r="AF307" s="171"/>
      <c r="AN307" s="171"/>
      <c r="AO307" s="171"/>
      <c r="AP307" s="171"/>
      <c r="AQ307" s="171"/>
      <c r="AR307" s="171"/>
      <c r="AS307" s="171"/>
      <c r="AT307" s="171"/>
      <c r="AU307" s="171"/>
      <c r="AX307" s="171"/>
      <c r="AY307" s="171"/>
      <c r="AZ307" s="171"/>
      <c r="BA307" s="171"/>
      <c r="BB307" s="171"/>
      <c r="BF307" s="171"/>
      <c r="BH307" s="171"/>
    </row>
    <row r="308" spans="1:102" x14ac:dyDescent="0.25">
      <c r="A308" s="182"/>
      <c r="B308" s="182"/>
      <c r="C308" s="171"/>
      <c r="D308" s="171"/>
      <c r="E308" s="160"/>
      <c r="F308" s="171"/>
      <c r="G308" s="171"/>
      <c r="H308" s="171"/>
      <c r="I308" s="171"/>
      <c r="J308" s="171"/>
      <c r="K308" s="171"/>
      <c r="L308" s="629"/>
      <c r="M308" s="629"/>
      <c r="N308" s="171"/>
      <c r="O308" s="171"/>
      <c r="P308" s="171"/>
      <c r="Q308" s="160"/>
      <c r="R308" s="160"/>
      <c r="S308" s="171"/>
      <c r="T308" s="171"/>
      <c r="Y308" s="171"/>
      <c r="Z308" s="171"/>
      <c r="AA308" s="171"/>
      <c r="AB308" s="171"/>
      <c r="AC308" s="171"/>
      <c r="AD308" s="171"/>
      <c r="AE308" s="171"/>
      <c r="AF308" s="171"/>
      <c r="AN308" s="171"/>
      <c r="AO308" s="171"/>
      <c r="AP308" s="171"/>
      <c r="AQ308" s="171"/>
      <c r="AR308" s="171"/>
      <c r="AS308" s="171"/>
      <c r="AT308" s="171"/>
      <c r="AU308" s="171"/>
      <c r="AX308" s="171"/>
      <c r="AY308" s="171"/>
      <c r="AZ308" s="171"/>
      <c r="BA308" s="171"/>
      <c r="BB308" s="171"/>
      <c r="BC308" s="171"/>
      <c r="BD308" s="171"/>
      <c r="BF308" s="171"/>
      <c r="BH308" s="171"/>
      <c r="BI308" s="168"/>
      <c r="BL308" s="168"/>
      <c r="BM308" s="168"/>
      <c r="BN308" s="168"/>
      <c r="BO308" s="168"/>
      <c r="BP308" s="168"/>
      <c r="BQ308" s="168"/>
      <c r="BR308" s="168"/>
      <c r="BS308" s="168"/>
      <c r="BT308" s="168"/>
      <c r="BU308" s="168"/>
      <c r="BV308" s="168"/>
      <c r="BW308" s="168"/>
      <c r="BX308" s="168"/>
      <c r="BY308" s="168"/>
      <c r="BZ308" s="168"/>
      <c r="CA308" s="168"/>
      <c r="CB308" s="168"/>
      <c r="CC308" s="168"/>
      <c r="CD308" s="168"/>
      <c r="CE308" s="168"/>
      <c r="CF308" s="168"/>
      <c r="CG308" s="168"/>
      <c r="CH308" s="168"/>
      <c r="CI308" s="168"/>
      <c r="CJ308" s="168"/>
      <c r="CK308" s="168"/>
      <c r="CL308" s="168"/>
      <c r="CM308" s="168"/>
      <c r="CN308" s="168"/>
      <c r="CO308" s="168"/>
      <c r="CP308" s="168"/>
      <c r="CQ308" s="168"/>
      <c r="CR308" s="168"/>
      <c r="CS308" s="168"/>
      <c r="CT308" s="168"/>
      <c r="CU308" s="168"/>
      <c r="CV308" s="168"/>
      <c r="CW308" s="168"/>
      <c r="CX308" s="168"/>
    </row>
    <row r="309" spans="1:102" x14ac:dyDescent="0.25">
      <c r="A309" s="182"/>
      <c r="B309" s="182"/>
      <c r="C309" s="171"/>
      <c r="D309" s="171"/>
      <c r="E309" s="160"/>
      <c r="F309" s="171"/>
      <c r="G309" s="171"/>
      <c r="H309" s="171"/>
      <c r="I309" s="171"/>
      <c r="J309"/>
      <c r="K309"/>
      <c r="L309" s="247"/>
      <c r="M309" s="247"/>
      <c r="N309" s="171"/>
      <c r="O309" s="171"/>
      <c r="P309" s="171"/>
      <c r="Q309" s="160"/>
      <c r="R309" s="160"/>
      <c r="S309" s="171"/>
      <c r="T309" s="171"/>
      <c r="Y309" s="171"/>
      <c r="Z309" s="171"/>
      <c r="AA309" s="171"/>
      <c r="AB309" s="171"/>
      <c r="AC309" s="171"/>
      <c r="AD309" s="171"/>
      <c r="AE309" s="171"/>
      <c r="AF309" s="171"/>
      <c r="AN309" s="171"/>
      <c r="AO309" s="171"/>
      <c r="AP309" s="171"/>
      <c r="AQ309" s="171"/>
      <c r="AR309" s="171"/>
      <c r="AS309" s="171"/>
      <c r="AT309" s="171"/>
      <c r="AU309" s="171"/>
      <c r="AX309" s="171"/>
      <c r="AY309" s="171"/>
      <c r="AZ309" s="171"/>
      <c r="BA309" s="171"/>
      <c r="BB309" s="171"/>
      <c r="BF309" s="171"/>
      <c r="BH309" s="171"/>
    </row>
    <row r="310" spans="1:102" x14ac:dyDescent="0.25">
      <c r="A310" s="182"/>
      <c r="B310" s="182"/>
      <c r="C310" s="171"/>
      <c r="D310" s="171"/>
      <c r="E310" s="160"/>
      <c r="F310" s="171"/>
      <c r="G310" s="171"/>
      <c r="H310" s="171"/>
      <c r="I310" s="171"/>
      <c r="J310"/>
      <c r="K310"/>
      <c r="L310" s="247"/>
      <c r="M310" s="247"/>
      <c r="N310" s="171"/>
      <c r="O310" s="171"/>
      <c r="P310" s="171"/>
      <c r="Q310" s="160"/>
      <c r="R310" s="160"/>
      <c r="S310" s="171"/>
      <c r="T310" s="171"/>
      <c r="Y310" s="171"/>
      <c r="Z310" s="171"/>
      <c r="AA310" s="171"/>
      <c r="AB310" s="171"/>
      <c r="AC310" s="171"/>
      <c r="AD310" s="171"/>
      <c r="AE310" s="171"/>
      <c r="AF310" s="171"/>
      <c r="AN310" s="171"/>
      <c r="AO310" s="171"/>
      <c r="AP310" s="171"/>
      <c r="AQ310" s="171"/>
      <c r="AR310" s="171"/>
      <c r="AS310" s="171"/>
      <c r="AT310" s="171"/>
      <c r="AU310" s="171"/>
      <c r="AX310" s="171"/>
      <c r="AY310" s="171"/>
      <c r="AZ310" s="171"/>
      <c r="BA310" s="171"/>
      <c r="BB310" s="171"/>
      <c r="BF310" s="171"/>
      <c r="BH310" s="171"/>
    </row>
    <row r="311" spans="1:102" x14ac:dyDescent="0.25">
      <c r="A311" s="182"/>
      <c r="B311" s="182"/>
      <c r="C311" s="171"/>
      <c r="D311" s="171"/>
      <c r="E311" s="160"/>
      <c r="F311" s="171"/>
      <c r="G311" s="171"/>
      <c r="H311" s="171"/>
      <c r="I311" s="171"/>
      <c r="J311"/>
      <c r="K311"/>
      <c r="L311" s="247"/>
      <c r="M311" s="247"/>
      <c r="N311" s="171"/>
      <c r="O311" s="171"/>
      <c r="P311" s="171"/>
      <c r="Q311" s="160"/>
      <c r="R311" s="160"/>
      <c r="S311" s="171"/>
      <c r="T311" s="171"/>
      <c r="Y311" s="171"/>
      <c r="Z311" s="171"/>
      <c r="AA311" s="171"/>
      <c r="AB311" s="171"/>
      <c r="AC311" s="171"/>
      <c r="AD311" s="171"/>
      <c r="AE311" s="171"/>
      <c r="AF311" s="171"/>
      <c r="AN311" s="171"/>
      <c r="AO311" s="171"/>
      <c r="AP311" s="171"/>
      <c r="AQ311" s="171"/>
      <c r="AR311" s="171"/>
      <c r="AS311" s="171"/>
      <c r="AT311" s="171"/>
      <c r="AU311" s="171"/>
      <c r="AX311" s="171"/>
      <c r="AY311" s="171"/>
      <c r="AZ311" s="171"/>
      <c r="BA311" s="171"/>
      <c r="BB311" s="171"/>
      <c r="BF311" s="171"/>
      <c r="BH311" s="171"/>
    </row>
    <row r="312" spans="1:102" x14ac:dyDescent="0.25">
      <c r="A312" s="182"/>
      <c r="B312" s="182"/>
      <c r="C312" s="171"/>
      <c r="D312" s="171"/>
      <c r="E312" s="160"/>
      <c r="F312" s="171"/>
      <c r="G312" s="171"/>
      <c r="H312" s="171"/>
      <c r="I312" s="171"/>
      <c r="J312" s="171"/>
      <c r="K312" s="171"/>
      <c r="L312" s="629"/>
      <c r="M312" s="629"/>
      <c r="N312" s="171"/>
      <c r="O312" s="171"/>
      <c r="P312" s="171"/>
      <c r="Q312" s="160"/>
      <c r="R312" s="160"/>
      <c r="S312" s="171"/>
      <c r="T312" s="171"/>
      <c r="Y312" s="171"/>
      <c r="Z312" s="171"/>
      <c r="AA312" s="171"/>
      <c r="AB312" s="171"/>
      <c r="AC312" s="171"/>
      <c r="AD312" s="171"/>
      <c r="AE312" s="171"/>
      <c r="AF312" s="171"/>
      <c r="AN312" s="171"/>
      <c r="AO312" s="171"/>
      <c r="AP312" s="171"/>
      <c r="AQ312" s="171"/>
      <c r="AR312" s="171"/>
      <c r="AS312" s="171"/>
      <c r="AT312" s="171"/>
      <c r="AU312" s="171"/>
      <c r="AX312" s="171"/>
      <c r="AY312" s="171"/>
      <c r="AZ312" s="171"/>
      <c r="BA312" s="171"/>
      <c r="BB312" s="171"/>
      <c r="BC312" s="171"/>
      <c r="BD312" s="171"/>
      <c r="BF312" s="171"/>
      <c r="BH312" s="171"/>
      <c r="BI312" s="168"/>
      <c r="BJ312" s="168"/>
      <c r="BL312" s="168"/>
      <c r="BM312" s="168"/>
      <c r="BN312" s="168"/>
      <c r="BO312" s="168"/>
      <c r="BP312" s="168"/>
      <c r="BQ312" s="168"/>
      <c r="BR312" s="168"/>
      <c r="BS312" s="168"/>
      <c r="BT312" s="168"/>
      <c r="BU312" s="168"/>
      <c r="BV312" s="168"/>
      <c r="BW312" s="168"/>
      <c r="BX312" s="168"/>
      <c r="BY312" s="168"/>
      <c r="BZ312" s="168"/>
      <c r="CA312" s="168"/>
      <c r="CB312" s="168"/>
      <c r="CC312" s="168"/>
      <c r="CD312" s="168"/>
      <c r="CE312" s="168"/>
      <c r="CF312" s="168"/>
      <c r="CG312" s="168"/>
      <c r="CH312" s="168"/>
      <c r="CI312" s="168"/>
      <c r="CJ312" s="168"/>
      <c r="CK312" s="168"/>
      <c r="CL312" s="168"/>
      <c r="CM312" s="168"/>
      <c r="CN312" s="168"/>
      <c r="CO312" s="168"/>
      <c r="CP312" s="168"/>
      <c r="CQ312" s="168"/>
      <c r="CR312" s="168"/>
      <c r="CS312" s="168"/>
      <c r="CT312" s="168"/>
      <c r="CU312" s="168"/>
      <c r="CV312" s="168"/>
      <c r="CW312" s="168"/>
      <c r="CX312" s="168"/>
    </row>
    <row r="313" spans="1:102" x14ac:dyDescent="0.25">
      <c r="A313" s="182"/>
      <c r="B313" s="182"/>
      <c r="C313" s="171"/>
      <c r="D313" s="171"/>
      <c r="E313" s="160"/>
      <c r="F313" s="171"/>
      <c r="G313" s="171"/>
      <c r="H313"/>
      <c r="I313" s="171"/>
      <c r="J313"/>
      <c r="K313"/>
      <c r="L313" s="247"/>
      <c r="M313" s="247"/>
      <c r="N313" s="171"/>
      <c r="O313" s="160"/>
      <c r="P313" s="171"/>
      <c r="Q313" s="160"/>
      <c r="R313" s="160"/>
      <c r="S313" s="171"/>
      <c r="T313" s="171"/>
      <c r="Y313" s="171"/>
      <c r="Z313" s="171"/>
      <c r="AA313" s="171"/>
      <c r="AB313" s="171"/>
      <c r="AC313" s="171"/>
      <c r="AD313" s="171"/>
      <c r="AE313" s="171"/>
      <c r="AF313" s="171"/>
      <c r="AN313" s="171"/>
      <c r="AO313" s="171"/>
      <c r="AP313" s="171"/>
      <c r="AQ313" s="171"/>
      <c r="AR313" s="171"/>
      <c r="AS313" s="171"/>
      <c r="AT313" s="171"/>
      <c r="AU313" s="171"/>
      <c r="AX313" s="171"/>
      <c r="AY313" s="171"/>
      <c r="BA313" s="171"/>
      <c r="BB313" s="171"/>
      <c r="BF313" s="171"/>
      <c r="BH313" s="171"/>
    </row>
    <row r="314" spans="1:102" x14ac:dyDescent="0.25">
      <c r="A314" s="182"/>
      <c r="B314" s="182"/>
      <c r="C314" s="171"/>
      <c r="D314" s="171"/>
      <c r="E314" s="160"/>
      <c r="F314" s="171"/>
      <c r="G314"/>
      <c r="H314"/>
      <c r="I314" s="171"/>
      <c r="J314"/>
      <c r="K314"/>
      <c r="L314" s="247"/>
      <c r="M314" s="247"/>
      <c r="N314" s="171"/>
      <c r="O314" s="160"/>
      <c r="P314" s="171"/>
      <c r="Q314" s="160"/>
      <c r="R314" s="160"/>
      <c r="S314" s="171"/>
      <c r="T314" s="171"/>
      <c r="Y314" s="171"/>
      <c r="Z314" s="171"/>
      <c r="AA314" s="171"/>
      <c r="AB314" s="171"/>
      <c r="AC314" s="171"/>
      <c r="AD314" s="171"/>
      <c r="AE314" s="171"/>
      <c r="AF314" s="171"/>
      <c r="AN314" s="171"/>
      <c r="AO314" s="171"/>
      <c r="AP314" s="171"/>
      <c r="AQ314" s="171"/>
      <c r="AR314" s="171"/>
      <c r="AS314" s="171"/>
      <c r="AT314" s="171"/>
      <c r="AU314" s="171"/>
      <c r="AX314" s="171"/>
      <c r="BA314" s="171"/>
      <c r="BB314" s="171"/>
      <c r="BF314" s="171"/>
      <c r="BH314" s="171"/>
    </row>
    <row r="315" spans="1:102" x14ac:dyDescent="0.25">
      <c r="A315" s="182"/>
      <c r="B315" s="182"/>
      <c r="C315" s="171"/>
      <c r="D315" s="171"/>
      <c r="E315" s="160"/>
      <c r="F315" s="171"/>
      <c r="G315" s="171"/>
      <c r="H315"/>
      <c r="I315" s="171"/>
      <c r="J315"/>
      <c r="K315"/>
      <c r="L315" s="247"/>
      <c r="M315" s="247"/>
      <c r="N315" s="171"/>
      <c r="O315" s="160"/>
      <c r="P315" s="171"/>
      <c r="Q315" s="160"/>
      <c r="R315" s="160"/>
      <c r="S315" s="171"/>
      <c r="T315" s="171"/>
      <c r="Y315" s="171"/>
      <c r="Z315" s="171"/>
      <c r="AA315" s="171"/>
      <c r="AB315" s="171"/>
      <c r="AC315" s="171"/>
      <c r="AD315" s="171"/>
      <c r="AE315" s="171"/>
      <c r="AF315" s="171"/>
      <c r="AN315" s="171"/>
      <c r="AO315" s="171"/>
      <c r="AP315" s="171"/>
      <c r="AQ315" s="171"/>
      <c r="AR315" s="171"/>
      <c r="AS315" s="171"/>
      <c r="AT315" s="171"/>
      <c r="AU315" s="171"/>
      <c r="AX315" s="171"/>
      <c r="AY315" s="171"/>
      <c r="BA315" s="171"/>
      <c r="BB315" s="171"/>
      <c r="BF315" s="171"/>
      <c r="BH315" s="171"/>
    </row>
    <row r="316" spans="1:102" x14ac:dyDescent="0.25">
      <c r="A316" s="182"/>
      <c r="B316" s="182"/>
      <c r="C316" s="171"/>
      <c r="D316" s="171"/>
      <c r="E316" s="160"/>
      <c r="F316" s="171"/>
      <c r="G316" s="171"/>
      <c r="H316"/>
      <c r="I316" s="171"/>
      <c r="J316"/>
      <c r="K316"/>
      <c r="L316" s="247"/>
      <c r="M316" s="247"/>
      <c r="N316" s="171"/>
      <c r="O316" s="160"/>
      <c r="P316" s="171"/>
      <c r="Q316" s="160"/>
      <c r="R316" s="160"/>
      <c r="S316" s="171"/>
      <c r="T316" s="171"/>
      <c r="Y316" s="171"/>
      <c r="Z316" s="171"/>
      <c r="AA316" s="171"/>
      <c r="AB316" s="171"/>
      <c r="AC316" s="171"/>
      <c r="AD316" s="171"/>
      <c r="AE316" s="171"/>
      <c r="AF316" s="171"/>
      <c r="AN316" s="171"/>
      <c r="AO316" s="171"/>
      <c r="AP316" s="171"/>
      <c r="AQ316" s="171"/>
      <c r="AR316" s="171"/>
      <c r="AS316" s="171"/>
      <c r="AT316" s="171"/>
      <c r="AU316" s="171"/>
      <c r="AX316" s="171"/>
      <c r="AY316" s="171"/>
      <c r="BA316" s="171"/>
      <c r="BB316" s="171"/>
      <c r="BF316" s="171"/>
      <c r="BH316" s="171"/>
    </row>
    <row r="317" spans="1:102" x14ac:dyDescent="0.25">
      <c r="A317" s="182"/>
      <c r="B317" s="182"/>
      <c r="C317" s="171"/>
      <c r="D317" s="171"/>
      <c r="E317" s="160"/>
      <c r="F317" s="171"/>
      <c r="G317" s="171"/>
      <c r="H317"/>
      <c r="I317" s="171"/>
      <c r="J317"/>
      <c r="K317"/>
      <c r="L317" s="247"/>
      <c r="M317" s="247"/>
      <c r="N317" s="171"/>
      <c r="O317" s="160"/>
      <c r="P317" s="171"/>
      <c r="Q317" s="160"/>
      <c r="R317" s="160"/>
      <c r="S317" s="171"/>
      <c r="T317" s="171"/>
      <c r="Y317" s="171"/>
      <c r="Z317" s="171"/>
      <c r="AA317" s="171"/>
      <c r="AB317" s="171"/>
      <c r="AC317" s="171"/>
      <c r="AD317" s="171"/>
      <c r="AE317" s="171"/>
      <c r="AF317" s="171"/>
      <c r="AN317" s="171"/>
      <c r="AO317" s="171"/>
      <c r="AP317" s="171"/>
      <c r="AQ317" s="171"/>
      <c r="AR317" s="171"/>
      <c r="AS317" s="171"/>
      <c r="AT317" s="171"/>
      <c r="AU317" s="171"/>
      <c r="AX317" s="171"/>
      <c r="AY317" s="171"/>
      <c r="BA317" s="171"/>
      <c r="BB317" s="171"/>
      <c r="BF317" s="171"/>
      <c r="BH317" s="171"/>
    </row>
    <row r="318" spans="1:102" x14ac:dyDescent="0.25">
      <c r="A318" s="182"/>
      <c r="B318" s="182"/>
      <c r="C318" s="171"/>
      <c r="D318" s="171"/>
      <c r="E318" s="160"/>
      <c r="F318" s="171"/>
      <c r="G318" s="171"/>
      <c r="H318" s="171"/>
      <c r="I318" s="171"/>
      <c r="J318" s="171"/>
      <c r="K318" s="171"/>
      <c r="L318" s="629"/>
      <c r="M318" s="629"/>
      <c r="N318" s="171"/>
      <c r="O318" s="160"/>
      <c r="P318" s="171"/>
      <c r="Q318" s="160"/>
      <c r="R318" s="160"/>
      <c r="S318" s="171"/>
      <c r="T318" s="171"/>
      <c r="Y318" s="171"/>
      <c r="Z318" s="171"/>
      <c r="AA318" s="171"/>
      <c r="AB318" s="171"/>
      <c r="AC318" s="171"/>
      <c r="AD318" s="171"/>
      <c r="AE318" s="171"/>
      <c r="AF318" s="171"/>
      <c r="AN318" s="171"/>
      <c r="AO318" s="171"/>
      <c r="AP318" s="171"/>
      <c r="AQ318" s="171"/>
      <c r="AR318" s="171"/>
      <c r="AS318" s="171"/>
      <c r="AT318" s="171"/>
      <c r="AU318" s="171"/>
      <c r="AX318" s="171"/>
      <c r="AY318" s="171"/>
      <c r="AZ318" s="171"/>
      <c r="BA318" s="171"/>
      <c r="BB318" s="171"/>
      <c r="BC318" s="171"/>
      <c r="BD318" s="171"/>
      <c r="BF318" s="171"/>
      <c r="BH318" s="171"/>
      <c r="BI318" s="168"/>
      <c r="BL318" s="168"/>
      <c r="BM318" s="168"/>
      <c r="BN318" s="168"/>
      <c r="BO318" s="168"/>
      <c r="BP318" s="168"/>
      <c r="BQ318" s="168"/>
      <c r="BR318" s="168"/>
      <c r="BS318" s="168"/>
      <c r="BT318" s="168"/>
      <c r="BU318" s="168"/>
      <c r="BV318" s="168"/>
      <c r="BW318" s="168"/>
      <c r="BX318" s="168"/>
      <c r="BY318" s="168"/>
      <c r="BZ318" s="168"/>
      <c r="CA318" s="168"/>
      <c r="CB318" s="168"/>
      <c r="CC318" s="168"/>
      <c r="CD318" s="168"/>
      <c r="CE318" s="168"/>
      <c r="CF318" s="168"/>
      <c r="CG318" s="168"/>
      <c r="CH318" s="168"/>
      <c r="CI318" s="168"/>
      <c r="CJ318" s="168"/>
      <c r="CK318" s="168"/>
      <c r="CL318" s="168"/>
      <c r="CM318" s="168"/>
      <c r="CN318" s="168"/>
      <c r="CO318" s="168"/>
      <c r="CP318" s="168"/>
      <c r="CQ318" s="168"/>
      <c r="CR318" s="168"/>
      <c r="CS318" s="168"/>
      <c r="CT318" s="168"/>
      <c r="CU318" s="168"/>
      <c r="CV318" s="168"/>
      <c r="CW318" s="168"/>
      <c r="CX318" s="168"/>
    </row>
    <row r="319" spans="1:102" x14ac:dyDescent="0.25">
      <c r="A319" s="182"/>
      <c r="B319" s="182"/>
      <c r="C319" s="171"/>
      <c r="D319" s="171"/>
      <c r="E319" s="160"/>
      <c r="F319" s="171"/>
      <c r="G319" s="171"/>
      <c r="H319"/>
      <c r="I319" s="171"/>
      <c r="J319"/>
      <c r="K319"/>
      <c r="L319" s="247"/>
      <c r="M319" s="247"/>
      <c r="N319" s="171"/>
      <c r="O319" s="160"/>
      <c r="P319" s="171"/>
      <c r="Q319" s="160"/>
      <c r="R319" s="160"/>
      <c r="S319" s="171"/>
      <c r="T319" s="171"/>
      <c r="Y319" s="171"/>
      <c r="Z319" s="171"/>
      <c r="AA319" s="171"/>
      <c r="AB319" s="171"/>
      <c r="AC319" s="171"/>
      <c r="AD319" s="171"/>
      <c r="AE319" s="171"/>
      <c r="AF319" s="171"/>
      <c r="AN319" s="171"/>
      <c r="AO319" s="171"/>
      <c r="AP319" s="171"/>
      <c r="AQ319" s="171"/>
      <c r="AR319" s="171"/>
      <c r="AS319" s="171"/>
      <c r="AT319" s="171"/>
      <c r="AU319" s="171"/>
      <c r="AX319" s="171"/>
      <c r="AY319" s="171"/>
      <c r="BA319" s="171"/>
      <c r="BB319" s="171"/>
      <c r="BF319" s="171"/>
      <c r="BH319" s="171"/>
    </row>
    <row r="320" spans="1:102" x14ac:dyDescent="0.25">
      <c r="A320" s="182"/>
      <c r="B320" s="182"/>
      <c r="C320" s="171"/>
      <c r="D320" s="171"/>
      <c r="E320" s="160"/>
      <c r="F320" s="171"/>
      <c r="G320" s="171"/>
      <c r="H320"/>
      <c r="I320" s="171"/>
      <c r="J320"/>
      <c r="K320"/>
      <c r="L320" s="247"/>
      <c r="M320" s="247"/>
      <c r="N320" s="171"/>
      <c r="O320" s="160"/>
      <c r="P320" s="171"/>
      <c r="Q320" s="160"/>
      <c r="R320" s="160"/>
      <c r="S320" s="171"/>
      <c r="T320" s="171"/>
      <c r="Y320" s="171"/>
      <c r="Z320" s="171"/>
      <c r="AA320" s="171"/>
      <c r="AB320" s="171"/>
      <c r="AC320" s="171"/>
      <c r="AD320" s="171"/>
      <c r="AE320" s="171"/>
      <c r="AF320" s="171"/>
      <c r="AN320" s="171"/>
      <c r="AO320" s="171"/>
      <c r="AP320" s="171"/>
      <c r="AQ320" s="171"/>
      <c r="AR320" s="171"/>
      <c r="AS320" s="171"/>
      <c r="AT320" s="171"/>
      <c r="AU320" s="171"/>
      <c r="AX320" s="171"/>
      <c r="AY320" s="171"/>
      <c r="BA320" s="171"/>
      <c r="BB320" s="171"/>
      <c r="BF320" s="171"/>
      <c r="BH320" s="171"/>
    </row>
    <row r="321" spans="1:102" x14ac:dyDescent="0.25">
      <c r="A321" s="182"/>
      <c r="B321" s="182"/>
      <c r="C321" s="171"/>
      <c r="D321" s="171"/>
      <c r="E321" s="160"/>
      <c r="F321" s="171"/>
      <c r="G321" s="171"/>
      <c r="H321" s="171"/>
      <c r="I321" s="171"/>
      <c r="J321"/>
      <c r="K321"/>
      <c r="L321" s="247"/>
      <c r="M321" s="247"/>
      <c r="N321" s="171"/>
      <c r="O321" s="160"/>
      <c r="P321" s="171"/>
      <c r="Q321" s="160"/>
      <c r="R321" s="160"/>
      <c r="S321" s="171"/>
      <c r="T321" s="171"/>
      <c r="Y321" s="171"/>
      <c r="Z321" s="171"/>
      <c r="AA321" s="171"/>
      <c r="AB321" s="171"/>
      <c r="AC321" s="171"/>
      <c r="AD321" s="171"/>
      <c r="AE321" s="171"/>
      <c r="AF321" s="171"/>
      <c r="AN321" s="171"/>
      <c r="AO321" s="171"/>
      <c r="AP321" s="171"/>
      <c r="AQ321" s="171"/>
      <c r="AR321" s="171"/>
      <c r="AS321" s="171"/>
      <c r="AT321" s="171"/>
      <c r="AU321" s="171"/>
      <c r="AX321" s="171"/>
      <c r="AY321" s="171"/>
      <c r="BA321" s="171"/>
      <c r="BB321" s="171"/>
      <c r="BF321" s="171"/>
      <c r="BH321" s="171"/>
    </row>
    <row r="322" spans="1:102" x14ac:dyDescent="0.25">
      <c r="A322" s="182"/>
      <c r="B322" s="182"/>
      <c r="C322" s="171"/>
      <c r="D322" s="171"/>
      <c r="E322" s="160"/>
      <c r="F322" s="171"/>
      <c r="G322" s="171"/>
      <c r="H322"/>
      <c r="I322" s="171"/>
      <c r="J322"/>
      <c r="K322"/>
      <c r="L322" s="247"/>
      <c r="M322" s="247"/>
      <c r="N322" s="171"/>
      <c r="O322" s="160"/>
      <c r="P322" s="171"/>
      <c r="Q322" s="160"/>
      <c r="R322" s="160"/>
      <c r="S322" s="171"/>
      <c r="T322" s="171"/>
      <c r="Y322" s="171"/>
      <c r="Z322" s="171"/>
      <c r="AA322" s="171"/>
      <c r="AB322" s="171"/>
      <c r="AC322" s="171"/>
      <c r="AD322" s="171"/>
      <c r="AE322" s="171"/>
      <c r="AF322" s="171"/>
      <c r="AN322" s="171"/>
      <c r="AO322" s="171"/>
      <c r="AP322" s="171"/>
      <c r="AQ322" s="171"/>
      <c r="AR322" s="171"/>
      <c r="AS322" s="171"/>
      <c r="AT322" s="171"/>
      <c r="AU322" s="171"/>
      <c r="AX322" s="171"/>
      <c r="AY322" s="171"/>
      <c r="BA322" s="171"/>
      <c r="BB322" s="171"/>
      <c r="BF322" s="171"/>
      <c r="BH322" s="171"/>
    </row>
    <row r="323" spans="1:102" x14ac:dyDescent="0.25">
      <c r="A323" s="182"/>
      <c r="B323" s="182"/>
      <c r="C323" s="171"/>
      <c r="D323" s="171"/>
      <c r="E323" s="160"/>
      <c r="F323" s="171"/>
      <c r="G323" s="171"/>
      <c r="H323" s="171"/>
      <c r="I323" s="171"/>
      <c r="J323" s="171"/>
      <c r="K323" s="171"/>
      <c r="L323" s="629"/>
      <c r="M323" s="629"/>
      <c r="N323" s="171"/>
      <c r="O323" s="160"/>
      <c r="P323" s="171"/>
      <c r="Q323" s="160"/>
      <c r="R323" s="160"/>
      <c r="S323" s="171"/>
      <c r="T323" s="171"/>
      <c r="Y323" s="171"/>
      <c r="Z323" s="171"/>
      <c r="AA323" s="171"/>
      <c r="AB323" s="171"/>
      <c r="AC323" s="171"/>
      <c r="AD323" s="171"/>
      <c r="AE323" s="171"/>
      <c r="AF323" s="171"/>
      <c r="AN323" s="171"/>
      <c r="AO323" s="171"/>
      <c r="AP323" s="171"/>
      <c r="AQ323" s="171"/>
      <c r="AR323" s="171"/>
      <c r="AS323" s="171"/>
      <c r="AT323" s="171"/>
      <c r="AU323" s="171"/>
      <c r="AX323" s="171"/>
      <c r="AY323" s="171"/>
      <c r="AZ323" s="171"/>
      <c r="BA323" s="171"/>
      <c r="BB323" s="171"/>
      <c r="BC323" s="171"/>
      <c r="BD323" s="171"/>
      <c r="BF323" s="171"/>
      <c r="BH323" s="171"/>
      <c r="BI323" s="168"/>
      <c r="BM323" s="168"/>
      <c r="BN323" s="168"/>
      <c r="BO323" s="168"/>
      <c r="BP323" s="168"/>
      <c r="BQ323" s="168"/>
      <c r="BR323" s="168"/>
      <c r="BS323" s="168"/>
      <c r="BT323" s="168"/>
      <c r="BU323" s="168"/>
      <c r="BV323" s="168"/>
      <c r="BW323" s="168"/>
      <c r="BX323" s="168"/>
      <c r="BY323" s="168"/>
      <c r="BZ323" s="168"/>
      <c r="CA323" s="168"/>
      <c r="CB323" s="168"/>
      <c r="CC323" s="168"/>
      <c r="CD323" s="168"/>
      <c r="CE323" s="168"/>
      <c r="CF323" s="168"/>
      <c r="CG323" s="168"/>
      <c r="CH323" s="168"/>
      <c r="CI323" s="168"/>
      <c r="CJ323" s="168"/>
      <c r="CK323" s="168"/>
      <c r="CL323" s="168"/>
      <c r="CM323" s="168"/>
      <c r="CN323" s="168"/>
      <c r="CO323" s="168"/>
      <c r="CP323" s="168"/>
      <c r="CQ323" s="168"/>
      <c r="CR323" s="168"/>
      <c r="CS323" s="168"/>
      <c r="CT323" s="168"/>
      <c r="CU323" s="168"/>
      <c r="CV323" s="168"/>
      <c r="CW323" s="168"/>
      <c r="CX323" s="168"/>
    </row>
    <row r="324" spans="1:102" x14ac:dyDescent="0.25">
      <c r="A324" s="182"/>
      <c r="B324" s="182"/>
      <c r="C324" s="171"/>
      <c r="D324" s="171"/>
      <c r="E324" s="160"/>
      <c r="F324" s="171"/>
      <c r="G324" s="171"/>
      <c r="H324" s="171"/>
      <c r="I324" s="171"/>
      <c r="J324" s="171"/>
      <c r="K324" s="171"/>
      <c r="L324" s="629"/>
      <c r="M324" s="629"/>
      <c r="N324" s="171"/>
      <c r="O324" s="160"/>
      <c r="P324" s="171"/>
      <c r="Q324" s="160"/>
      <c r="R324" s="160"/>
      <c r="S324" s="171"/>
      <c r="T324" s="171"/>
      <c r="Y324" s="171"/>
      <c r="Z324" s="171"/>
      <c r="AA324" s="171"/>
      <c r="AB324" s="171"/>
      <c r="AC324" s="171"/>
      <c r="AD324" s="171"/>
      <c r="AE324" s="171"/>
      <c r="AF324" s="171"/>
      <c r="AN324" s="171"/>
      <c r="AO324" s="171"/>
      <c r="AP324" s="171"/>
      <c r="AQ324" s="171"/>
      <c r="AR324" s="171"/>
      <c r="AS324" s="171"/>
      <c r="AT324" s="171"/>
      <c r="AU324" s="171"/>
      <c r="AX324" s="171"/>
      <c r="AY324" s="171"/>
      <c r="AZ324" s="171"/>
      <c r="BA324" s="171"/>
      <c r="BB324" s="171"/>
      <c r="BC324" s="171"/>
      <c r="BD324" s="171"/>
      <c r="BF324" s="171"/>
      <c r="BH324" s="171"/>
      <c r="BI324" s="168"/>
      <c r="BL324" s="168"/>
      <c r="BM324" s="168"/>
      <c r="BN324" s="168"/>
      <c r="BO324" s="168"/>
      <c r="BP324" s="168"/>
      <c r="BQ324" s="168"/>
      <c r="BR324" s="168"/>
      <c r="BS324" s="168"/>
      <c r="BT324" s="168"/>
      <c r="BU324" s="168"/>
      <c r="BV324" s="168"/>
      <c r="BW324" s="168"/>
      <c r="BX324" s="168"/>
      <c r="BY324" s="168"/>
      <c r="BZ324" s="168"/>
      <c r="CA324" s="168"/>
      <c r="CB324" s="168"/>
      <c r="CC324" s="168"/>
      <c r="CD324" s="168"/>
      <c r="CE324" s="168"/>
      <c r="CF324" s="168"/>
      <c r="CG324" s="168"/>
      <c r="CH324" s="168"/>
      <c r="CI324" s="168"/>
      <c r="CJ324" s="168"/>
      <c r="CK324" s="168"/>
      <c r="CL324" s="168"/>
      <c r="CM324" s="168"/>
      <c r="CN324" s="168"/>
      <c r="CO324" s="168"/>
      <c r="CP324" s="168"/>
      <c r="CQ324" s="168"/>
      <c r="CR324" s="168"/>
      <c r="CS324" s="168"/>
      <c r="CT324" s="168"/>
      <c r="CU324" s="168"/>
      <c r="CV324" s="168"/>
      <c r="CW324" s="168"/>
      <c r="CX324" s="168"/>
    </row>
    <row r="325" spans="1:102" x14ac:dyDescent="0.25">
      <c r="A325" s="182"/>
      <c r="B325" s="182"/>
      <c r="C325" s="171"/>
      <c r="D325" s="171"/>
      <c r="E325" s="160"/>
      <c r="F325" s="171"/>
      <c r="G325" s="171"/>
      <c r="H325" s="171"/>
      <c r="I325" s="171"/>
      <c r="J325" s="171"/>
      <c r="K325" s="171"/>
      <c r="L325" s="629"/>
      <c r="M325" s="629"/>
      <c r="N325" s="171"/>
      <c r="O325" s="160"/>
      <c r="P325" s="171"/>
      <c r="Q325" s="160"/>
      <c r="R325" s="160"/>
      <c r="S325" s="171"/>
      <c r="T325" s="171"/>
      <c r="Y325" s="171"/>
      <c r="Z325" s="171"/>
      <c r="AA325" s="171"/>
      <c r="AB325" s="171"/>
      <c r="AC325" s="171"/>
      <c r="AD325" s="171"/>
      <c r="AE325" s="171"/>
      <c r="AF325" s="171"/>
      <c r="AN325" s="171"/>
      <c r="AO325" s="171"/>
      <c r="AP325" s="171"/>
      <c r="AQ325" s="171"/>
      <c r="AR325" s="171"/>
      <c r="AS325" s="171"/>
      <c r="AT325" s="171"/>
      <c r="AU325" s="171"/>
      <c r="AX325" s="171"/>
      <c r="AY325" s="171"/>
      <c r="AZ325" s="171"/>
      <c r="BA325" s="171"/>
      <c r="BB325" s="171"/>
      <c r="BC325" s="171"/>
      <c r="BD325" s="171"/>
      <c r="BF325" s="171"/>
      <c r="BH325" s="171"/>
      <c r="BI325" s="168"/>
      <c r="BL325" s="168"/>
      <c r="BM325" s="168"/>
      <c r="BN325" s="168"/>
      <c r="BO325" s="168"/>
      <c r="BP325" s="168"/>
      <c r="BQ325" s="168"/>
      <c r="BR325" s="168"/>
      <c r="BS325" s="168"/>
      <c r="BT325" s="168"/>
      <c r="BU325" s="168"/>
      <c r="BV325" s="168"/>
      <c r="BW325" s="168"/>
      <c r="BX325" s="168"/>
      <c r="BY325" s="168"/>
      <c r="BZ325" s="168"/>
      <c r="CA325" s="168"/>
      <c r="CB325" s="168"/>
      <c r="CC325" s="168"/>
      <c r="CD325" s="168"/>
      <c r="CE325" s="168"/>
      <c r="CF325" s="168"/>
      <c r="CG325" s="168"/>
      <c r="CH325" s="168"/>
      <c r="CI325" s="168"/>
      <c r="CJ325" s="168"/>
      <c r="CK325" s="168"/>
      <c r="CL325" s="168"/>
      <c r="CM325" s="168"/>
      <c r="CN325" s="168"/>
      <c r="CO325" s="168"/>
      <c r="CP325" s="168"/>
      <c r="CR325" s="168"/>
      <c r="CS325" s="168"/>
      <c r="CT325" s="168"/>
      <c r="CU325" s="168"/>
      <c r="CV325" s="168"/>
      <c r="CW325" s="168"/>
      <c r="CX325" s="168"/>
    </row>
    <row r="326" spans="1:102" x14ac:dyDescent="0.25">
      <c r="A326" s="182"/>
      <c r="B326" s="182"/>
      <c r="C326" s="171"/>
      <c r="D326" s="171"/>
      <c r="E326" s="160"/>
      <c r="F326" s="171"/>
      <c r="G326" s="171"/>
      <c r="H326"/>
      <c r="I326" s="171"/>
      <c r="J326"/>
      <c r="K326"/>
      <c r="L326" s="247"/>
      <c r="M326" s="247"/>
      <c r="N326" s="171"/>
      <c r="O326" s="160"/>
      <c r="P326" s="171"/>
      <c r="Q326" s="160"/>
      <c r="R326" s="160"/>
      <c r="S326" s="171"/>
      <c r="T326" s="171"/>
      <c r="Y326" s="171"/>
      <c r="Z326" s="171"/>
      <c r="AA326" s="171"/>
      <c r="AB326" s="171"/>
      <c r="AC326" s="171"/>
      <c r="AD326" s="171"/>
      <c r="AE326" s="171"/>
      <c r="AF326" s="171"/>
      <c r="AN326" s="171"/>
      <c r="AO326" s="171"/>
      <c r="AP326" s="171"/>
      <c r="AQ326" s="171"/>
      <c r="AR326" s="171"/>
      <c r="AS326" s="171"/>
      <c r="AT326" s="171"/>
      <c r="AU326" s="171"/>
      <c r="AX326" s="171"/>
      <c r="AY326" s="171"/>
      <c r="BA326" s="171"/>
      <c r="BB326" s="171"/>
      <c r="BF326" s="171"/>
      <c r="BH326" s="171"/>
    </row>
    <row r="327" spans="1:102" x14ac:dyDescent="0.25">
      <c r="A327" s="182"/>
      <c r="B327" s="182"/>
      <c r="C327" s="171"/>
      <c r="D327" s="171"/>
      <c r="E327" s="160"/>
      <c r="F327" s="171"/>
      <c r="G327" s="171"/>
      <c r="H327" s="171"/>
      <c r="I327" s="171"/>
      <c r="J327" s="171"/>
      <c r="K327" s="171"/>
      <c r="L327" s="629"/>
      <c r="M327" s="629"/>
      <c r="N327" s="171"/>
      <c r="O327" s="160"/>
      <c r="P327" s="171"/>
      <c r="Q327" s="160"/>
      <c r="R327" s="160"/>
      <c r="S327" s="171"/>
      <c r="T327" s="171"/>
      <c r="Y327" s="171"/>
      <c r="Z327" s="171"/>
      <c r="AA327" s="171"/>
      <c r="AB327" s="171"/>
      <c r="AC327" s="171"/>
      <c r="AD327" s="171"/>
      <c r="AE327" s="171"/>
      <c r="AF327" s="171"/>
      <c r="AN327" s="171"/>
      <c r="AO327" s="171"/>
      <c r="AP327" s="171"/>
      <c r="AQ327" s="171"/>
      <c r="AR327" s="171"/>
      <c r="AS327" s="171"/>
      <c r="AT327" s="171"/>
      <c r="AU327" s="171"/>
      <c r="AX327" s="171"/>
      <c r="AY327" s="171"/>
      <c r="AZ327" s="171"/>
      <c r="BA327" s="171"/>
      <c r="BB327" s="171"/>
      <c r="BC327" s="171"/>
      <c r="BD327" s="171"/>
      <c r="BF327" s="171"/>
      <c r="BH327" s="171"/>
      <c r="BI327" s="168"/>
      <c r="BL327" s="168"/>
      <c r="BM327" s="168"/>
      <c r="BN327" s="168"/>
      <c r="BO327" s="168"/>
      <c r="BP327" s="168"/>
      <c r="BQ327" s="168"/>
      <c r="BR327" s="168"/>
      <c r="BS327" s="168"/>
      <c r="BT327" s="168"/>
      <c r="BU327" s="168"/>
      <c r="BV327" s="168"/>
      <c r="BW327" s="168"/>
      <c r="BX327" s="168"/>
      <c r="BY327" s="168"/>
      <c r="BZ327" s="168"/>
      <c r="CA327" s="168"/>
      <c r="CB327" s="168"/>
      <c r="CC327" s="168"/>
      <c r="CD327" s="168"/>
      <c r="CE327" s="168"/>
      <c r="CF327" s="168"/>
      <c r="CG327" s="168"/>
      <c r="CH327" s="168"/>
      <c r="CI327" s="168"/>
      <c r="CJ327" s="168"/>
      <c r="CK327" s="168"/>
      <c r="CL327" s="168"/>
      <c r="CM327" s="168"/>
      <c r="CN327" s="168"/>
      <c r="CO327" s="168"/>
      <c r="CP327" s="168"/>
      <c r="CQ327" s="168"/>
      <c r="CR327" s="168"/>
      <c r="CS327" s="168"/>
      <c r="CT327" s="168"/>
      <c r="CU327" s="168"/>
      <c r="CV327" s="168"/>
      <c r="CW327" s="168"/>
      <c r="CX327" s="168"/>
    </row>
    <row r="328" spans="1:102" x14ac:dyDescent="0.25">
      <c r="A328" s="182"/>
      <c r="B328" s="182"/>
      <c r="C328" s="171"/>
      <c r="D328" s="171"/>
      <c r="E328" s="160"/>
      <c r="F328" s="171"/>
      <c r="G328" s="171"/>
      <c r="H328"/>
      <c r="I328" s="171"/>
      <c r="J328"/>
      <c r="K328"/>
      <c r="L328" s="247"/>
      <c r="M328" s="247"/>
      <c r="N328" s="171"/>
      <c r="O328" s="160"/>
      <c r="P328" s="171"/>
      <c r="Q328" s="160"/>
      <c r="R328" s="160"/>
      <c r="S328" s="171"/>
      <c r="T328" s="171"/>
      <c r="Y328" s="171"/>
      <c r="Z328" s="171"/>
      <c r="AA328" s="171"/>
      <c r="AB328" s="171"/>
      <c r="AC328" s="171"/>
      <c r="AD328" s="171"/>
      <c r="AE328" s="171"/>
      <c r="AF328" s="171"/>
      <c r="AN328" s="171"/>
      <c r="AO328" s="171"/>
      <c r="AP328" s="171"/>
      <c r="AQ328" s="171"/>
      <c r="AR328" s="171"/>
      <c r="AS328" s="171"/>
      <c r="AT328" s="171"/>
      <c r="AU328" s="171"/>
      <c r="AX328" s="171"/>
      <c r="AY328" s="171"/>
      <c r="BA328" s="171"/>
      <c r="BB328" s="171"/>
      <c r="BF328" s="171"/>
      <c r="BH328" s="171"/>
    </row>
    <row r="329" spans="1:102" x14ac:dyDescent="0.25">
      <c r="A329" s="182"/>
      <c r="B329" s="182"/>
      <c r="C329" s="171"/>
      <c r="D329" s="171"/>
      <c r="E329" s="160"/>
      <c r="F329" s="171"/>
      <c r="G329" s="171"/>
      <c r="H329"/>
      <c r="I329" s="171"/>
      <c r="J329"/>
      <c r="K329"/>
      <c r="L329" s="247"/>
      <c r="M329" s="247"/>
      <c r="N329" s="171"/>
      <c r="O329" s="160"/>
      <c r="P329" s="171"/>
      <c r="Q329" s="160"/>
      <c r="R329" s="160"/>
      <c r="S329" s="171"/>
      <c r="T329" s="171"/>
      <c r="Y329" s="171"/>
      <c r="Z329" s="171"/>
      <c r="AA329" s="171"/>
      <c r="AB329" s="171"/>
      <c r="AC329" s="171"/>
      <c r="AD329" s="171"/>
      <c r="AE329" s="171"/>
      <c r="AF329" s="171"/>
      <c r="AN329" s="171"/>
      <c r="AO329" s="171"/>
      <c r="AP329" s="171"/>
      <c r="AQ329" s="171"/>
      <c r="AR329" s="171"/>
      <c r="AS329" s="171"/>
      <c r="AT329" s="171"/>
      <c r="AU329" s="171"/>
      <c r="AX329" s="171"/>
      <c r="AY329" s="171"/>
      <c r="BA329" s="171"/>
      <c r="BB329" s="171"/>
      <c r="BF329" s="171"/>
      <c r="BH329" s="171"/>
    </row>
    <row r="330" spans="1:102" x14ac:dyDescent="0.25">
      <c r="A330" s="182"/>
      <c r="B330" s="182"/>
      <c r="C330" s="171"/>
      <c r="D330" s="171"/>
      <c r="E330" s="160"/>
      <c r="F330" s="171"/>
      <c r="G330" s="171"/>
      <c r="H330"/>
      <c r="I330" s="171"/>
      <c r="J330"/>
      <c r="K330"/>
      <c r="L330" s="247"/>
      <c r="M330" s="247"/>
      <c r="N330" s="171"/>
      <c r="O330" s="160"/>
      <c r="P330" s="171"/>
      <c r="Q330" s="160"/>
      <c r="R330" s="160"/>
      <c r="S330" s="171"/>
      <c r="T330" s="171"/>
      <c r="Y330" s="171"/>
      <c r="Z330" s="171"/>
      <c r="AA330" s="171"/>
      <c r="AB330" s="171"/>
      <c r="AC330" s="171"/>
      <c r="AD330" s="171"/>
      <c r="AE330" s="171"/>
      <c r="AF330" s="171"/>
      <c r="AN330" s="171"/>
      <c r="AO330" s="171"/>
      <c r="AP330" s="171"/>
      <c r="AQ330" s="171"/>
      <c r="AR330" s="171"/>
      <c r="AS330" s="171"/>
      <c r="AT330" s="171"/>
      <c r="AU330" s="171"/>
      <c r="AX330" s="171"/>
      <c r="AY330" s="171"/>
      <c r="BA330" s="171"/>
      <c r="BB330" s="171"/>
      <c r="BF330" s="171"/>
      <c r="BH330" s="171"/>
    </row>
    <row r="331" spans="1:102" x14ac:dyDescent="0.25">
      <c r="A331" s="182"/>
      <c r="B331" s="182"/>
      <c r="C331" s="171"/>
      <c r="D331" s="171"/>
      <c r="E331" s="160"/>
      <c r="F331" s="171"/>
      <c r="G331" s="171"/>
      <c r="H331" s="171"/>
      <c r="I331" s="171"/>
      <c r="J331"/>
      <c r="K331"/>
      <c r="L331" s="247"/>
      <c r="M331" s="247"/>
      <c r="N331" s="171"/>
      <c r="O331" s="160"/>
      <c r="P331" s="171"/>
      <c r="Q331" s="160"/>
      <c r="R331" s="160"/>
      <c r="S331" s="171"/>
      <c r="T331" s="171"/>
      <c r="Y331" s="171"/>
      <c r="Z331" s="171"/>
      <c r="AA331" s="171"/>
      <c r="AB331" s="171"/>
      <c r="AC331" s="171"/>
      <c r="AD331" s="171"/>
      <c r="AE331" s="171"/>
      <c r="AF331" s="171"/>
      <c r="AN331" s="171"/>
      <c r="AO331" s="171"/>
      <c r="AP331" s="171"/>
      <c r="AQ331" s="171"/>
      <c r="AR331" s="171"/>
      <c r="AS331" s="171"/>
      <c r="AT331" s="171"/>
      <c r="AU331" s="171"/>
      <c r="AX331" s="171"/>
      <c r="AY331" s="171"/>
      <c r="AZ331" s="171"/>
      <c r="BA331" s="171"/>
      <c r="BB331" s="171"/>
      <c r="BF331" s="171"/>
      <c r="BH331" s="171"/>
    </row>
    <row r="332" spans="1:102" x14ac:dyDescent="0.25">
      <c r="A332" s="182"/>
      <c r="B332" s="182"/>
      <c r="C332" s="171"/>
      <c r="D332" s="171"/>
      <c r="E332" s="160"/>
      <c r="F332" s="171"/>
      <c r="G332" s="171"/>
      <c r="H332"/>
      <c r="I332" s="171"/>
      <c r="J332"/>
      <c r="K332"/>
      <c r="L332" s="247"/>
      <c r="M332" s="247"/>
      <c r="N332" s="171"/>
      <c r="O332" s="160"/>
      <c r="P332" s="171"/>
      <c r="Q332" s="160"/>
      <c r="R332" s="160"/>
      <c r="S332" s="171"/>
      <c r="T332" s="171"/>
      <c r="Y332" s="171"/>
      <c r="Z332" s="171"/>
      <c r="AA332" s="171"/>
      <c r="AB332" s="171"/>
      <c r="AC332" s="171"/>
      <c r="AD332" s="171"/>
      <c r="AE332" s="171"/>
      <c r="AF332" s="171"/>
      <c r="AN332" s="171"/>
      <c r="AO332" s="171"/>
      <c r="AP332" s="171"/>
      <c r="AQ332" s="171"/>
      <c r="AR332" s="171"/>
      <c r="AS332" s="171"/>
      <c r="AT332" s="171"/>
      <c r="AU332" s="171"/>
      <c r="AX332" s="171"/>
      <c r="AY332" s="171"/>
      <c r="BA332" s="171"/>
      <c r="BB332" s="171"/>
      <c r="BF332" s="171"/>
      <c r="BH332" s="171"/>
    </row>
    <row r="333" spans="1:102" x14ac:dyDescent="0.25">
      <c r="A333" s="182"/>
      <c r="B333" s="182"/>
      <c r="C333" s="171"/>
      <c r="D333" s="171"/>
      <c r="E333" s="160"/>
      <c r="F333" s="171"/>
      <c r="G333" s="171"/>
      <c r="H333"/>
      <c r="I333" s="171"/>
      <c r="J333"/>
      <c r="K333"/>
      <c r="L333" s="247"/>
      <c r="M333" s="247"/>
      <c r="N333" s="171"/>
      <c r="O333" s="160"/>
      <c r="P333" s="171"/>
      <c r="Q333" s="160"/>
      <c r="R333" s="160"/>
      <c r="S333" s="171"/>
      <c r="T333" s="171"/>
      <c r="Y333" s="171"/>
      <c r="Z333" s="171"/>
      <c r="AA333" s="171"/>
      <c r="AB333" s="171"/>
      <c r="AC333" s="171"/>
      <c r="AD333" s="171"/>
      <c r="AE333" s="171"/>
      <c r="AF333" s="171"/>
      <c r="AN333" s="171"/>
      <c r="AO333" s="171"/>
      <c r="AP333" s="171"/>
      <c r="AQ333" s="171"/>
      <c r="AR333" s="171"/>
      <c r="AS333" s="171"/>
      <c r="AT333" s="171"/>
      <c r="AU333" s="171"/>
      <c r="AX333" s="171"/>
      <c r="AY333" s="171"/>
      <c r="BA333" s="171"/>
      <c r="BB333" s="171"/>
      <c r="BF333" s="171"/>
      <c r="BH333" s="171"/>
    </row>
    <row r="334" spans="1:102" x14ac:dyDescent="0.25">
      <c r="A334" s="182"/>
      <c r="B334" s="182"/>
      <c r="C334" s="171"/>
      <c r="D334" s="171"/>
      <c r="E334" s="160"/>
      <c r="F334" s="171"/>
      <c r="G334" s="171"/>
      <c r="H334"/>
      <c r="I334" s="171"/>
      <c r="J334"/>
      <c r="K334"/>
      <c r="L334" s="247"/>
      <c r="M334" s="247"/>
      <c r="N334" s="171"/>
      <c r="O334" s="160"/>
      <c r="P334" s="171"/>
      <c r="Q334" s="160"/>
      <c r="R334" s="160"/>
      <c r="S334" s="171"/>
      <c r="T334" s="171"/>
      <c r="Y334" s="171"/>
      <c r="Z334" s="171"/>
      <c r="AA334" s="171"/>
      <c r="AB334" s="171"/>
      <c r="AC334" s="171"/>
      <c r="AD334" s="171"/>
      <c r="AE334" s="171"/>
      <c r="AF334" s="171"/>
      <c r="AN334" s="171"/>
      <c r="AO334" s="171"/>
      <c r="AP334" s="171"/>
      <c r="AQ334" s="171"/>
      <c r="AR334" s="171"/>
      <c r="AS334" s="171"/>
      <c r="AT334" s="171"/>
      <c r="AU334" s="171"/>
      <c r="AX334" s="171"/>
      <c r="AY334" s="171"/>
      <c r="BA334" s="171"/>
      <c r="BB334" s="171"/>
      <c r="BF334" s="171"/>
      <c r="BH334" s="171"/>
    </row>
    <row r="335" spans="1:102" x14ac:dyDescent="0.25">
      <c r="A335" s="182"/>
      <c r="B335" s="182"/>
      <c r="C335" s="171"/>
      <c r="D335" s="171"/>
      <c r="E335" s="160"/>
      <c r="F335" s="171"/>
      <c r="G335" s="171"/>
      <c r="H335"/>
      <c r="I335" s="171"/>
      <c r="J335"/>
      <c r="K335"/>
      <c r="L335" s="247"/>
      <c r="M335" s="247"/>
      <c r="N335" s="171"/>
      <c r="O335" s="160"/>
      <c r="P335" s="171"/>
      <c r="Q335" s="160"/>
      <c r="R335" s="160"/>
      <c r="S335" s="171"/>
      <c r="T335" s="171"/>
      <c r="Y335" s="171"/>
      <c r="Z335" s="171"/>
      <c r="AA335" s="171"/>
      <c r="AB335" s="171"/>
      <c r="AC335" s="171"/>
      <c r="AD335" s="171"/>
      <c r="AE335" s="171"/>
      <c r="AF335" s="171"/>
      <c r="AN335" s="171"/>
      <c r="AO335" s="171"/>
      <c r="AP335" s="171"/>
      <c r="AQ335" s="171"/>
      <c r="AR335" s="171"/>
      <c r="AS335" s="171"/>
      <c r="AT335" s="171"/>
      <c r="AU335" s="171"/>
      <c r="AX335" s="171"/>
      <c r="AY335" s="171"/>
      <c r="BA335" s="171"/>
      <c r="BB335" s="171"/>
      <c r="BF335" s="171"/>
      <c r="BH335" s="171"/>
    </row>
    <row r="336" spans="1:102" x14ac:dyDescent="0.25">
      <c r="A336" s="182"/>
      <c r="B336" s="182"/>
      <c r="C336" s="171"/>
      <c r="D336" s="171"/>
      <c r="E336" s="160"/>
      <c r="F336" s="171"/>
      <c r="G336" s="171"/>
      <c r="H336"/>
      <c r="I336" s="171"/>
      <c r="J336"/>
      <c r="K336"/>
      <c r="L336" s="247"/>
      <c r="M336" s="247"/>
      <c r="N336" s="171"/>
      <c r="O336" s="160"/>
      <c r="P336" s="171"/>
      <c r="Q336" s="160"/>
      <c r="R336" s="160"/>
      <c r="S336" s="171"/>
      <c r="T336" s="171"/>
      <c r="Y336" s="171"/>
      <c r="Z336" s="171"/>
      <c r="AA336" s="171"/>
      <c r="AB336" s="171"/>
      <c r="AC336" s="171"/>
      <c r="AD336" s="171"/>
      <c r="AE336" s="171"/>
      <c r="AF336" s="171"/>
      <c r="AN336" s="171"/>
      <c r="AO336" s="171"/>
      <c r="AP336" s="171"/>
      <c r="AQ336" s="171"/>
      <c r="AR336" s="171"/>
      <c r="AS336" s="171"/>
      <c r="AT336" s="171"/>
      <c r="AU336" s="171"/>
      <c r="AX336" s="171"/>
      <c r="AY336" s="171"/>
      <c r="BA336" s="171"/>
      <c r="BB336" s="171"/>
      <c r="BF336" s="171"/>
      <c r="BH336" s="171"/>
    </row>
    <row r="337" spans="1:102" x14ac:dyDescent="0.25">
      <c r="A337" s="182"/>
      <c r="B337" s="182"/>
      <c r="C337" s="171"/>
      <c r="D337" s="171"/>
      <c r="E337" s="160"/>
      <c r="F337" s="171"/>
      <c r="G337" s="171"/>
      <c r="H337" s="171"/>
      <c r="I337" s="171"/>
      <c r="J337" s="171"/>
      <c r="K337" s="171"/>
      <c r="L337" s="629"/>
      <c r="M337" s="629"/>
      <c r="N337" s="171"/>
      <c r="O337" s="160"/>
      <c r="P337" s="171"/>
      <c r="Q337" s="160"/>
      <c r="R337" s="160"/>
      <c r="S337" s="171"/>
      <c r="T337" s="171"/>
      <c r="Y337" s="171"/>
      <c r="Z337" s="171"/>
      <c r="AA337" s="171"/>
      <c r="AB337" s="171"/>
      <c r="AC337" s="171"/>
      <c r="AD337" s="171"/>
      <c r="AE337" s="171"/>
      <c r="AF337" s="171"/>
      <c r="AN337" s="171"/>
      <c r="AO337" s="171"/>
      <c r="AP337" s="171"/>
      <c r="AQ337" s="171"/>
      <c r="AR337" s="171"/>
      <c r="AS337" s="171"/>
      <c r="AT337" s="171"/>
      <c r="AU337" s="171"/>
      <c r="AX337" s="171"/>
      <c r="AY337" s="171"/>
      <c r="AZ337" s="171"/>
      <c r="BA337" s="171"/>
      <c r="BB337" s="171"/>
      <c r="BC337" s="171"/>
      <c r="BD337" s="171"/>
      <c r="BF337" s="171"/>
      <c r="BH337" s="171"/>
      <c r="BI337" s="168"/>
      <c r="BL337" s="168"/>
      <c r="BM337" s="168"/>
      <c r="BN337" s="168"/>
      <c r="BO337" s="168"/>
      <c r="BP337" s="168"/>
      <c r="BQ337" s="168"/>
      <c r="BR337" s="168"/>
      <c r="BS337" s="168"/>
      <c r="BT337" s="168"/>
      <c r="BU337" s="168"/>
      <c r="BV337" s="168"/>
      <c r="BW337" s="168"/>
      <c r="BX337" s="168"/>
      <c r="BY337" s="168"/>
      <c r="BZ337" s="168"/>
      <c r="CA337" s="168"/>
      <c r="CB337" s="168"/>
      <c r="CC337" s="168"/>
      <c r="CD337" s="168"/>
      <c r="CE337" s="168"/>
      <c r="CF337" s="168"/>
      <c r="CG337" s="168"/>
      <c r="CH337" s="168"/>
      <c r="CI337" s="168"/>
      <c r="CJ337" s="168"/>
      <c r="CK337" s="168"/>
      <c r="CL337" s="168"/>
      <c r="CM337" s="168"/>
      <c r="CN337" s="168"/>
      <c r="CO337" s="168"/>
      <c r="CP337" s="168"/>
      <c r="CQ337" s="168"/>
      <c r="CR337" s="168"/>
      <c r="CS337" s="168"/>
      <c r="CT337" s="168"/>
      <c r="CU337" s="168"/>
      <c r="CV337" s="168"/>
      <c r="CW337" s="168"/>
      <c r="CX337" s="168"/>
    </row>
    <row r="338" spans="1:102" x14ac:dyDescent="0.25">
      <c r="A338" s="182"/>
      <c r="B338" s="182"/>
      <c r="C338" s="171"/>
      <c r="D338" s="171"/>
      <c r="E338" s="160"/>
      <c r="F338" s="171"/>
      <c r="G338" s="171"/>
      <c r="H338"/>
      <c r="I338" s="171"/>
      <c r="J338"/>
      <c r="K338"/>
      <c r="L338" s="247"/>
      <c r="M338" s="247"/>
      <c r="N338" s="171"/>
      <c r="O338" s="160"/>
      <c r="P338" s="171"/>
      <c r="Q338" s="160"/>
      <c r="R338" s="160"/>
      <c r="S338" s="171"/>
      <c r="T338" s="171"/>
      <c r="Y338" s="171"/>
      <c r="Z338" s="171"/>
      <c r="AA338" s="171"/>
      <c r="AB338" s="171"/>
      <c r="AC338" s="171"/>
      <c r="AD338" s="171"/>
      <c r="AE338" s="171"/>
      <c r="AF338" s="171"/>
      <c r="AN338" s="171"/>
      <c r="AO338" s="171"/>
      <c r="AP338" s="171"/>
      <c r="AQ338" s="171"/>
      <c r="AR338" s="171"/>
      <c r="AS338" s="171"/>
      <c r="AT338" s="171"/>
      <c r="AU338" s="171"/>
      <c r="AX338" s="171"/>
      <c r="AY338" s="171"/>
      <c r="BA338" s="171"/>
      <c r="BB338" s="171"/>
      <c r="BF338" s="171"/>
      <c r="BH338" s="171"/>
    </row>
    <row r="339" spans="1:102" x14ac:dyDescent="0.25">
      <c r="A339" s="182"/>
      <c r="B339" s="182"/>
      <c r="C339" s="171"/>
      <c r="D339" s="171"/>
      <c r="E339" s="160"/>
      <c r="F339" s="171"/>
      <c r="G339" s="171"/>
      <c r="H339"/>
      <c r="I339" s="171"/>
      <c r="J339"/>
      <c r="K339"/>
      <c r="L339" s="247"/>
      <c r="M339" s="247"/>
      <c r="N339" s="171"/>
      <c r="O339" s="160"/>
      <c r="P339" s="171"/>
      <c r="Q339" s="160"/>
      <c r="R339" s="160"/>
      <c r="S339" s="171"/>
      <c r="T339" s="171"/>
      <c r="Y339" s="171"/>
      <c r="Z339" s="171"/>
      <c r="AA339" s="171"/>
      <c r="AB339" s="171"/>
      <c r="AC339" s="171"/>
      <c r="AD339" s="171"/>
      <c r="AE339" s="171"/>
      <c r="AF339" s="171"/>
      <c r="AN339" s="171"/>
      <c r="AO339" s="171"/>
      <c r="AP339" s="171"/>
      <c r="AQ339" s="171"/>
      <c r="AR339" s="171"/>
      <c r="AS339" s="171"/>
      <c r="AT339" s="171"/>
      <c r="AU339" s="171"/>
      <c r="AX339" s="171"/>
      <c r="AY339" s="171"/>
      <c r="BA339" s="171"/>
      <c r="BB339" s="171"/>
      <c r="BF339" s="171"/>
      <c r="BH339" s="171"/>
    </row>
    <row r="340" spans="1:102" x14ac:dyDescent="0.25">
      <c r="A340" s="182"/>
      <c r="B340" s="182"/>
      <c r="C340" s="171"/>
      <c r="D340" s="171"/>
      <c r="E340" s="160"/>
      <c r="F340" s="171"/>
      <c r="G340" s="171"/>
      <c r="H340"/>
      <c r="I340" s="171"/>
      <c r="J340"/>
      <c r="K340"/>
      <c r="L340" s="247"/>
      <c r="M340" s="247"/>
      <c r="N340" s="171"/>
      <c r="O340" s="160"/>
      <c r="P340" s="171"/>
      <c r="Q340" s="160"/>
      <c r="R340" s="160"/>
      <c r="S340" s="171"/>
      <c r="T340" s="171"/>
      <c r="Y340" s="171"/>
      <c r="Z340" s="171"/>
      <c r="AA340" s="171"/>
      <c r="AB340" s="171"/>
      <c r="AC340" s="171"/>
      <c r="AD340" s="171"/>
      <c r="AE340" s="171"/>
      <c r="AF340" s="171"/>
      <c r="AN340" s="171"/>
      <c r="AO340" s="171"/>
      <c r="AP340" s="171"/>
      <c r="AQ340" s="171"/>
      <c r="AR340" s="171"/>
      <c r="AS340" s="171"/>
      <c r="AT340" s="171"/>
      <c r="AU340" s="171"/>
      <c r="AX340" s="171"/>
      <c r="AY340" s="171"/>
      <c r="BA340" s="171"/>
      <c r="BB340" s="171"/>
      <c r="BF340" s="171"/>
      <c r="BH340" s="171"/>
    </row>
    <row r="341" spans="1:102" x14ac:dyDescent="0.25">
      <c r="A341" s="182"/>
      <c r="B341" s="182"/>
      <c r="C341" s="171"/>
      <c r="D341" s="171"/>
      <c r="E341" s="160"/>
      <c r="F341" s="171"/>
      <c r="G341" s="171"/>
      <c r="H341"/>
      <c r="I341" s="171"/>
      <c r="J341"/>
      <c r="K341"/>
      <c r="L341" s="247"/>
      <c r="M341" s="247"/>
      <c r="N341" s="171"/>
      <c r="O341" s="160"/>
      <c r="P341" s="171"/>
      <c r="Q341" s="160"/>
      <c r="R341" s="160"/>
      <c r="S341" s="171"/>
      <c r="T341" s="171"/>
      <c r="Y341" s="171"/>
      <c r="Z341" s="171"/>
      <c r="AA341" s="171"/>
      <c r="AB341" s="171"/>
      <c r="AC341" s="171"/>
      <c r="AD341" s="171"/>
      <c r="AE341" s="171"/>
      <c r="AF341" s="171"/>
      <c r="AN341" s="171"/>
      <c r="AO341" s="171"/>
      <c r="AP341" s="171"/>
      <c r="AQ341" s="171"/>
      <c r="AR341" s="171"/>
      <c r="AS341" s="171"/>
      <c r="AT341" s="171"/>
      <c r="AU341" s="171"/>
      <c r="AX341" s="171"/>
      <c r="AY341" s="171"/>
      <c r="BA341" s="171"/>
      <c r="BB341" s="171"/>
      <c r="BF341" s="171"/>
      <c r="BH341" s="171"/>
    </row>
    <row r="342" spans="1:102" x14ac:dyDescent="0.25">
      <c r="A342" s="182"/>
      <c r="B342" s="182"/>
      <c r="C342" s="171"/>
      <c r="D342" s="171"/>
      <c r="E342" s="160"/>
      <c r="F342" s="171"/>
      <c r="G342" s="171"/>
      <c r="H342" s="171"/>
      <c r="I342" s="171"/>
      <c r="J342" s="171"/>
      <c r="K342" s="171"/>
      <c r="L342" s="629"/>
      <c r="M342" s="629"/>
      <c r="N342" s="171"/>
      <c r="O342" s="160"/>
      <c r="P342" s="171"/>
      <c r="Q342" s="160"/>
      <c r="R342" s="160"/>
      <c r="S342" s="171"/>
      <c r="T342" s="171"/>
      <c r="Y342" s="171"/>
      <c r="Z342" s="171"/>
      <c r="AA342" s="171"/>
      <c r="AB342" s="171"/>
      <c r="AC342" s="171"/>
      <c r="AD342" s="171"/>
      <c r="AE342" s="171"/>
      <c r="AF342" s="171"/>
      <c r="AN342" s="171"/>
      <c r="AO342" s="171"/>
      <c r="AP342" s="171"/>
      <c r="AQ342" s="171"/>
      <c r="AR342" s="171"/>
      <c r="AS342" s="171"/>
      <c r="AT342" s="171"/>
      <c r="AU342" s="171"/>
      <c r="AX342" s="171"/>
      <c r="AY342" s="171"/>
      <c r="AZ342" s="171"/>
      <c r="BA342" s="171"/>
      <c r="BB342" s="171"/>
      <c r="BC342" s="171"/>
      <c r="BD342" s="171"/>
      <c r="BF342" s="171"/>
      <c r="BH342" s="171"/>
      <c r="BI342" s="168"/>
      <c r="BL342" s="168"/>
      <c r="BM342" s="168"/>
      <c r="BN342" s="168"/>
      <c r="BO342" s="168"/>
      <c r="BP342" s="168"/>
      <c r="BQ342" s="168"/>
      <c r="BR342" s="168"/>
      <c r="BS342" s="168"/>
      <c r="BT342" s="168"/>
      <c r="BU342" s="168"/>
      <c r="BV342" s="168"/>
      <c r="BW342" s="168"/>
      <c r="BX342" s="168"/>
      <c r="BY342" s="168"/>
      <c r="BZ342" s="168"/>
      <c r="CA342" s="168"/>
      <c r="CB342" s="168"/>
      <c r="CC342" s="168"/>
      <c r="CD342" s="168"/>
      <c r="CE342" s="168"/>
      <c r="CF342" s="168"/>
      <c r="CG342" s="168"/>
      <c r="CH342" s="168"/>
      <c r="CI342" s="168"/>
      <c r="CJ342" s="168"/>
      <c r="CK342" s="168"/>
      <c r="CL342" s="168"/>
      <c r="CM342" s="168"/>
      <c r="CN342" s="168"/>
      <c r="CO342" s="168"/>
      <c r="CP342" s="168"/>
      <c r="CQ342" s="168"/>
      <c r="CR342" s="168"/>
      <c r="CS342" s="168"/>
      <c r="CT342" s="168"/>
      <c r="CU342" s="168"/>
      <c r="CV342" s="168"/>
      <c r="CW342" s="168"/>
      <c r="CX342" s="168"/>
    </row>
    <row r="343" spans="1:102" x14ac:dyDescent="0.25">
      <c r="A343" s="182"/>
      <c r="B343" s="182"/>
      <c r="C343" s="171"/>
      <c r="D343" s="171"/>
      <c r="E343" s="160"/>
      <c r="F343" s="171"/>
      <c r="G343"/>
      <c r="H343"/>
      <c r="I343" s="171"/>
      <c r="J343"/>
      <c r="K343"/>
      <c r="L343" s="247"/>
      <c r="M343" s="247"/>
      <c r="N343" s="171"/>
      <c r="O343" s="160"/>
      <c r="P343" s="171"/>
      <c r="Q343" s="160"/>
      <c r="R343" s="160"/>
      <c r="S343" s="171"/>
      <c r="T343" s="171"/>
      <c r="Y343" s="171"/>
      <c r="Z343" s="171"/>
      <c r="AA343" s="171"/>
      <c r="AB343" s="171"/>
      <c r="AC343" s="171"/>
      <c r="AD343" s="171"/>
      <c r="AE343" s="171"/>
      <c r="AF343" s="171"/>
      <c r="AN343" s="171"/>
      <c r="AO343" s="171"/>
      <c r="AP343" s="171"/>
      <c r="AQ343" s="171"/>
      <c r="AR343" s="171"/>
      <c r="AS343" s="171"/>
      <c r="AT343" s="171"/>
      <c r="AU343" s="171"/>
      <c r="AX343" s="171"/>
      <c r="BA343" s="171"/>
      <c r="BB343" s="171"/>
      <c r="BF343" s="171"/>
      <c r="BH343" s="171"/>
    </row>
    <row r="344" spans="1:102" x14ac:dyDescent="0.25">
      <c r="A344" s="182"/>
      <c r="B344" s="182"/>
      <c r="C344" s="171"/>
      <c r="D344" s="171"/>
      <c r="E344" s="160"/>
      <c r="F344" s="171"/>
      <c r="G344" s="171"/>
      <c r="H344"/>
      <c r="I344" s="171"/>
      <c r="J344"/>
      <c r="K344"/>
      <c r="L344" s="247"/>
      <c r="M344" s="247"/>
      <c r="N344" s="171"/>
      <c r="O344" s="160"/>
      <c r="P344" s="171"/>
      <c r="Q344" s="160"/>
      <c r="R344" s="160"/>
      <c r="S344" s="171"/>
      <c r="T344" s="171"/>
      <c r="Y344" s="171"/>
      <c r="Z344" s="171"/>
      <c r="AA344" s="171"/>
      <c r="AB344" s="171"/>
      <c r="AC344" s="171"/>
      <c r="AD344" s="171"/>
      <c r="AE344" s="171"/>
      <c r="AF344" s="171"/>
      <c r="AN344" s="171"/>
      <c r="AO344" s="171"/>
      <c r="AP344" s="171"/>
      <c r="AQ344" s="171"/>
      <c r="AR344" s="171"/>
      <c r="AS344" s="171"/>
      <c r="AT344" s="171"/>
      <c r="AU344" s="171"/>
      <c r="AX344" s="171"/>
      <c r="AY344" s="171"/>
      <c r="BA344" s="171"/>
      <c r="BB344" s="171"/>
      <c r="BF344" s="171"/>
      <c r="BH344" s="171"/>
    </row>
    <row r="345" spans="1:102" x14ac:dyDescent="0.25">
      <c r="A345" s="182"/>
      <c r="B345" s="182"/>
      <c r="C345" s="171"/>
      <c r="D345" s="171"/>
      <c r="E345" s="160"/>
      <c r="F345" s="171"/>
      <c r="G345" s="171"/>
      <c r="H345"/>
      <c r="I345" s="171"/>
      <c r="J345"/>
      <c r="K345"/>
      <c r="L345" s="247"/>
      <c r="M345" s="247"/>
      <c r="N345" s="171"/>
      <c r="O345" s="160"/>
      <c r="P345" s="171"/>
      <c r="Q345" s="160"/>
      <c r="R345" s="160"/>
      <c r="S345" s="171"/>
      <c r="T345" s="171"/>
      <c r="Y345" s="171"/>
      <c r="Z345" s="171"/>
      <c r="AA345" s="171"/>
      <c r="AB345" s="171"/>
      <c r="AC345" s="171"/>
      <c r="AD345" s="171"/>
      <c r="AE345" s="171"/>
      <c r="AF345" s="171"/>
      <c r="AN345" s="171"/>
      <c r="AO345" s="171"/>
      <c r="AP345" s="171"/>
      <c r="AQ345" s="171"/>
      <c r="AR345" s="171"/>
      <c r="AS345" s="171"/>
      <c r="AT345" s="171"/>
      <c r="AU345" s="171"/>
      <c r="AX345" s="171"/>
      <c r="AY345" s="171"/>
      <c r="BA345" s="171"/>
      <c r="BB345" s="171"/>
      <c r="BF345" s="171"/>
      <c r="BH345" s="171"/>
    </row>
    <row r="346" spans="1:102" x14ac:dyDescent="0.25">
      <c r="A346" s="182"/>
      <c r="B346" s="182"/>
      <c r="C346" s="171"/>
      <c r="D346" s="171"/>
      <c r="E346" s="160"/>
      <c r="F346" s="171"/>
      <c r="G346" s="171"/>
      <c r="H346"/>
      <c r="I346" s="171"/>
      <c r="J346"/>
      <c r="K346"/>
      <c r="L346" s="247"/>
      <c r="M346" s="247"/>
      <c r="N346" s="171"/>
      <c r="O346" s="160"/>
      <c r="P346" s="171"/>
      <c r="Q346" s="160"/>
      <c r="R346" s="160"/>
      <c r="S346" s="171"/>
      <c r="T346" s="171"/>
      <c r="Y346" s="171"/>
      <c r="Z346" s="171"/>
      <c r="AA346" s="171"/>
      <c r="AB346" s="171"/>
      <c r="AC346" s="171"/>
      <c r="AD346" s="171"/>
      <c r="AE346" s="171"/>
      <c r="AF346" s="171"/>
      <c r="AN346" s="171"/>
      <c r="AO346" s="171"/>
      <c r="AP346" s="171"/>
      <c r="AQ346" s="171"/>
      <c r="AR346" s="171"/>
      <c r="AS346" s="171"/>
      <c r="AT346" s="171"/>
      <c r="AU346" s="171"/>
      <c r="AX346" s="171"/>
      <c r="AY346" s="171"/>
      <c r="BA346" s="171"/>
      <c r="BB346" s="171"/>
      <c r="BF346" s="171"/>
      <c r="BH346" s="171"/>
    </row>
    <row r="347" spans="1:102" x14ac:dyDescent="0.25">
      <c r="A347" s="182"/>
      <c r="B347" s="182"/>
      <c r="C347" s="171"/>
      <c r="D347" s="171"/>
      <c r="E347" s="160"/>
      <c r="F347" s="171"/>
      <c r="G347" s="171"/>
      <c r="H347"/>
      <c r="I347" s="171"/>
      <c r="J347"/>
      <c r="K347"/>
      <c r="L347" s="247"/>
      <c r="M347" s="247"/>
      <c r="N347" s="171"/>
      <c r="O347" s="160"/>
      <c r="P347" s="171"/>
      <c r="Q347" s="160"/>
      <c r="R347" s="160"/>
      <c r="S347" s="171"/>
      <c r="T347" s="171"/>
      <c r="Y347" s="171"/>
      <c r="Z347" s="171"/>
      <c r="AA347" s="171"/>
      <c r="AB347" s="171"/>
      <c r="AC347" s="171"/>
      <c r="AD347" s="171"/>
      <c r="AE347" s="171"/>
      <c r="AF347" s="171"/>
      <c r="AN347" s="171"/>
      <c r="AO347" s="171"/>
      <c r="AP347" s="171"/>
      <c r="AQ347" s="171"/>
      <c r="AR347" s="171"/>
      <c r="AS347" s="171"/>
      <c r="AT347" s="171"/>
      <c r="AU347" s="171"/>
      <c r="AX347" s="171"/>
      <c r="AY347" s="171"/>
      <c r="BA347" s="171"/>
      <c r="BB347" s="171"/>
      <c r="BF347" s="171"/>
      <c r="BH347" s="171"/>
    </row>
    <row r="348" spans="1:102" x14ac:dyDescent="0.25">
      <c r="A348" s="182"/>
      <c r="B348" s="182"/>
      <c r="C348" s="171"/>
      <c r="D348" s="171"/>
      <c r="E348" s="160"/>
      <c r="F348" s="171"/>
      <c r="G348" s="171"/>
      <c r="H348"/>
      <c r="I348" s="171"/>
      <c r="J348"/>
      <c r="K348"/>
      <c r="L348" s="247"/>
      <c r="M348" s="247"/>
      <c r="N348" s="171"/>
      <c r="O348" s="160"/>
      <c r="P348" s="171"/>
      <c r="Q348" s="160"/>
      <c r="R348" s="160"/>
      <c r="S348" s="171"/>
      <c r="T348" s="171"/>
      <c r="Y348" s="171"/>
      <c r="Z348" s="171"/>
      <c r="AA348" s="171"/>
      <c r="AB348" s="171"/>
      <c r="AC348" s="171"/>
      <c r="AD348" s="171"/>
      <c r="AE348" s="171"/>
      <c r="AF348" s="171"/>
      <c r="AN348" s="171"/>
      <c r="AO348" s="171"/>
      <c r="AP348" s="171"/>
      <c r="AQ348" s="171"/>
      <c r="AR348" s="171"/>
      <c r="AS348" s="171"/>
      <c r="AT348" s="171"/>
      <c r="AU348" s="171"/>
      <c r="AX348" s="171"/>
      <c r="AY348" s="171"/>
      <c r="BA348" s="171"/>
      <c r="BB348" s="171"/>
      <c r="BF348" s="171"/>
      <c r="BH348" s="171"/>
    </row>
    <row r="349" spans="1:102" x14ac:dyDescent="0.25">
      <c r="A349" s="182"/>
      <c r="B349" s="182"/>
      <c r="C349" s="171"/>
      <c r="D349" s="171"/>
      <c r="E349" s="160"/>
      <c r="F349" s="171"/>
      <c r="G349" s="171"/>
      <c r="H349"/>
      <c r="I349" s="171"/>
      <c r="J349"/>
      <c r="K349"/>
      <c r="L349" s="247"/>
      <c r="M349" s="247"/>
      <c r="N349" s="171"/>
      <c r="O349" s="160"/>
      <c r="P349" s="171"/>
      <c r="Q349" s="160"/>
      <c r="R349" s="160"/>
      <c r="S349" s="171"/>
      <c r="T349" s="171"/>
      <c r="Y349" s="171"/>
      <c r="Z349" s="171"/>
      <c r="AA349" s="171"/>
      <c r="AB349" s="171"/>
      <c r="AC349" s="171"/>
      <c r="AD349" s="171"/>
      <c r="AE349" s="171"/>
      <c r="AF349" s="171"/>
      <c r="AN349" s="171"/>
      <c r="AO349" s="171"/>
      <c r="AP349" s="171"/>
      <c r="AQ349" s="171"/>
      <c r="AR349" s="171"/>
      <c r="AS349" s="171"/>
      <c r="AT349" s="171"/>
      <c r="AU349" s="171"/>
      <c r="AX349" s="171"/>
      <c r="AY349" s="171"/>
      <c r="BA349" s="171"/>
      <c r="BB349" s="171"/>
      <c r="BF349" s="171"/>
      <c r="BH349" s="171"/>
    </row>
    <row r="350" spans="1:102" x14ac:dyDescent="0.25">
      <c r="A350" s="182"/>
      <c r="B350" s="182"/>
      <c r="C350" s="171"/>
      <c r="D350" s="171"/>
      <c r="E350" s="160"/>
      <c r="F350" s="171"/>
      <c r="G350" s="171"/>
      <c r="H350"/>
      <c r="I350" s="171"/>
      <c r="J350"/>
      <c r="K350"/>
      <c r="L350" s="247"/>
      <c r="M350" s="247"/>
      <c r="N350" s="171"/>
      <c r="O350" s="160"/>
      <c r="P350" s="171"/>
      <c r="Q350" s="160"/>
      <c r="R350" s="160"/>
      <c r="S350" s="171"/>
      <c r="T350" s="171"/>
      <c r="Y350" s="171"/>
      <c r="Z350" s="171"/>
      <c r="AA350" s="171"/>
      <c r="AB350" s="171"/>
      <c r="AC350" s="171"/>
      <c r="AD350" s="171"/>
      <c r="AE350" s="171"/>
      <c r="AF350" s="171"/>
      <c r="AN350" s="171"/>
      <c r="AO350" s="171"/>
      <c r="AP350" s="171"/>
      <c r="AQ350" s="171"/>
      <c r="AR350" s="171"/>
      <c r="AS350" s="171"/>
      <c r="AT350" s="171"/>
      <c r="AU350" s="171"/>
      <c r="AX350" s="171"/>
      <c r="AY350" s="171"/>
      <c r="BA350" s="171"/>
      <c r="BB350" s="171"/>
      <c r="BF350" s="171"/>
      <c r="BH350" s="171"/>
    </row>
    <row r="351" spans="1:102" x14ac:dyDescent="0.25">
      <c r="A351" s="182"/>
      <c r="B351" s="182"/>
      <c r="C351" s="171"/>
      <c r="D351" s="171"/>
      <c r="E351" s="160"/>
      <c r="F351" s="171"/>
      <c r="G351" s="171"/>
      <c r="H351"/>
      <c r="I351" s="171"/>
      <c r="J351"/>
      <c r="K351"/>
      <c r="L351" s="247"/>
      <c r="M351" s="247"/>
      <c r="N351" s="171"/>
      <c r="O351" s="160"/>
      <c r="P351" s="171"/>
      <c r="Q351" s="160"/>
      <c r="R351" s="160"/>
      <c r="S351" s="171"/>
      <c r="T351" s="171"/>
      <c r="Y351" s="171"/>
      <c r="Z351" s="171"/>
      <c r="AA351" s="171"/>
      <c r="AB351" s="171"/>
      <c r="AC351" s="171"/>
      <c r="AD351" s="171"/>
      <c r="AE351" s="171"/>
      <c r="AF351" s="171"/>
      <c r="AN351" s="171"/>
      <c r="AO351" s="171"/>
      <c r="AP351" s="171"/>
      <c r="AQ351" s="171"/>
      <c r="AR351" s="171"/>
      <c r="AS351" s="171"/>
      <c r="AT351" s="171"/>
      <c r="AU351" s="171"/>
      <c r="AX351" s="171"/>
      <c r="AY351" s="171"/>
      <c r="BA351" s="171"/>
      <c r="BB351" s="171"/>
      <c r="BF351" s="171"/>
      <c r="BH351" s="171"/>
    </row>
    <row r="352" spans="1:102" x14ac:dyDescent="0.25">
      <c r="A352" s="182"/>
      <c r="B352" s="182"/>
      <c r="C352" s="171"/>
      <c r="D352" s="171"/>
      <c r="E352" s="160"/>
      <c r="F352" s="171"/>
      <c r="G352" s="171"/>
      <c r="H352"/>
      <c r="I352" s="171"/>
      <c r="J352"/>
      <c r="K352"/>
      <c r="L352" s="247"/>
      <c r="M352" s="247"/>
      <c r="N352" s="171"/>
      <c r="O352" s="160"/>
      <c r="P352" s="171"/>
      <c r="Q352" s="160"/>
      <c r="R352" s="160"/>
      <c r="S352" s="171"/>
      <c r="T352" s="171"/>
      <c r="Y352" s="171"/>
      <c r="Z352" s="171"/>
      <c r="AA352" s="171"/>
      <c r="AB352" s="171"/>
      <c r="AC352" s="171"/>
      <c r="AD352" s="171"/>
      <c r="AE352" s="171"/>
      <c r="AF352" s="171"/>
      <c r="AN352" s="171"/>
      <c r="AO352" s="171"/>
      <c r="AP352" s="171"/>
      <c r="AQ352" s="171"/>
      <c r="AR352" s="171"/>
      <c r="AS352" s="171"/>
      <c r="AT352" s="171"/>
      <c r="AU352" s="171"/>
      <c r="AX352" s="171"/>
      <c r="AY352" s="171"/>
      <c r="BA352" s="171"/>
      <c r="BB352" s="171"/>
      <c r="BF352" s="171"/>
      <c r="BH352" s="171"/>
    </row>
    <row r="353" spans="1:60" x14ac:dyDescent="0.25">
      <c r="A353" s="182"/>
      <c r="B353" s="182"/>
      <c r="C353" s="171"/>
      <c r="D353" s="171"/>
      <c r="E353" s="160"/>
      <c r="F353" s="171"/>
      <c r="G353" s="171"/>
      <c r="H353"/>
      <c r="I353" s="171"/>
      <c r="J353"/>
      <c r="K353"/>
      <c r="L353" s="247"/>
      <c r="M353" s="247"/>
      <c r="N353" s="171"/>
      <c r="O353" s="160"/>
      <c r="P353" s="171"/>
      <c r="Q353" s="160"/>
      <c r="R353" s="160"/>
      <c r="S353" s="171"/>
      <c r="T353" s="171"/>
      <c r="Y353" s="171"/>
      <c r="Z353" s="171"/>
      <c r="AA353" s="171"/>
      <c r="AB353" s="171"/>
      <c r="AC353" s="171"/>
      <c r="AD353" s="171"/>
      <c r="AE353" s="171"/>
      <c r="AF353" s="171"/>
      <c r="AN353" s="171"/>
      <c r="AO353" s="171"/>
      <c r="AP353" s="171"/>
      <c r="AQ353" s="171"/>
      <c r="AR353" s="171"/>
      <c r="AS353" s="171"/>
      <c r="AT353" s="171"/>
      <c r="AU353" s="171"/>
      <c r="AX353" s="171"/>
      <c r="AY353" s="171"/>
      <c r="BA353" s="171"/>
      <c r="BB353" s="171"/>
      <c r="BF353" s="171"/>
      <c r="BH353" s="171"/>
    </row>
    <row r="354" spans="1:60" x14ac:dyDescent="0.25">
      <c r="A354" s="182"/>
      <c r="B354" s="182"/>
      <c r="C354" s="171"/>
      <c r="D354" s="171"/>
      <c r="E354" s="160"/>
      <c r="F354" s="171"/>
      <c r="G354" s="171"/>
      <c r="H354"/>
      <c r="I354" s="171"/>
      <c r="J354"/>
      <c r="K354"/>
      <c r="L354" s="247"/>
      <c r="M354" s="247"/>
      <c r="N354" s="171"/>
      <c r="O354" s="160"/>
      <c r="P354" s="171"/>
      <c r="Q354" s="160"/>
      <c r="R354" s="160"/>
      <c r="S354" s="171"/>
      <c r="T354" s="171"/>
      <c r="Y354" s="171"/>
      <c r="Z354" s="171"/>
      <c r="AA354" s="171"/>
      <c r="AB354" s="171"/>
      <c r="AC354" s="171"/>
      <c r="AD354" s="171"/>
      <c r="AE354" s="171"/>
      <c r="AF354" s="171"/>
      <c r="AN354" s="171"/>
      <c r="AO354" s="171"/>
      <c r="AP354" s="171"/>
      <c r="AQ354" s="171"/>
      <c r="AR354" s="171"/>
      <c r="AS354" s="171"/>
      <c r="AT354" s="171"/>
      <c r="AU354" s="171"/>
      <c r="AX354" s="171"/>
      <c r="AY354" s="171"/>
      <c r="BA354" s="171"/>
      <c r="BB354" s="171"/>
      <c r="BF354" s="171"/>
      <c r="BH354" s="171"/>
    </row>
    <row r="355" spans="1:60" x14ac:dyDescent="0.25">
      <c r="A355" s="182"/>
      <c r="B355" s="182"/>
      <c r="C355" s="171"/>
      <c r="D355" s="171"/>
      <c r="E355" s="160"/>
      <c r="F355" s="171"/>
      <c r="G355" s="171"/>
      <c r="H355"/>
      <c r="I355" s="171"/>
      <c r="J355"/>
      <c r="K355"/>
      <c r="L355" s="247"/>
      <c r="M355" s="247"/>
      <c r="N355" s="171"/>
      <c r="O355" s="160"/>
      <c r="P355" s="171"/>
      <c r="Q355" s="160"/>
      <c r="R355" s="160"/>
      <c r="S355" s="171"/>
      <c r="T355" s="171"/>
      <c r="Y355" s="171"/>
      <c r="Z355" s="171"/>
      <c r="AA355" s="171"/>
      <c r="AB355" s="171"/>
      <c r="AC355" s="171"/>
      <c r="AD355" s="171"/>
      <c r="AE355" s="171"/>
      <c r="AF355" s="171"/>
      <c r="AN355" s="171"/>
      <c r="AO355" s="171"/>
      <c r="AP355" s="171"/>
      <c r="AQ355" s="171"/>
      <c r="AR355" s="171"/>
      <c r="AS355" s="171"/>
      <c r="AT355" s="171"/>
      <c r="AU355" s="171"/>
      <c r="AX355" s="171"/>
      <c r="AY355" s="171"/>
      <c r="BA355" s="171"/>
      <c r="BB355" s="171"/>
      <c r="BF355" s="171"/>
      <c r="BH355" s="171"/>
    </row>
    <row r="356" spans="1:60" x14ac:dyDescent="0.25">
      <c r="A356" s="182"/>
      <c r="B356" s="182"/>
      <c r="C356" s="171"/>
      <c r="D356" s="171"/>
      <c r="E356" s="160"/>
      <c r="F356" s="171"/>
      <c r="G356" s="171"/>
      <c r="H356"/>
      <c r="I356" s="171"/>
      <c r="J356"/>
      <c r="K356"/>
      <c r="L356" s="247"/>
      <c r="M356" s="247"/>
      <c r="N356" s="171"/>
      <c r="O356" s="160"/>
      <c r="P356" s="171"/>
      <c r="Q356" s="160"/>
      <c r="R356" s="160"/>
      <c r="S356" s="171"/>
      <c r="T356" s="171"/>
      <c r="Y356" s="171"/>
      <c r="Z356" s="171"/>
      <c r="AA356" s="171"/>
      <c r="AB356" s="171"/>
      <c r="AC356" s="171"/>
      <c r="AD356" s="171"/>
      <c r="AE356" s="171"/>
      <c r="AF356" s="171"/>
      <c r="AN356" s="171"/>
      <c r="AO356" s="171"/>
      <c r="AP356" s="171"/>
      <c r="AQ356" s="171"/>
      <c r="AR356" s="171"/>
      <c r="AS356" s="171"/>
      <c r="AT356" s="171"/>
      <c r="AU356" s="171"/>
      <c r="AX356" s="171"/>
      <c r="AY356" s="171"/>
      <c r="BA356" s="171"/>
      <c r="BB356" s="171"/>
      <c r="BF356" s="171"/>
      <c r="BH356" s="171"/>
    </row>
    <row r="357" spans="1:60" x14ac:dyDescent="0.25">
      <c r="A357" s="182"/>
      <c r="B357" s="182"/>
      <c r="C357" s="171"/>
      <c r="D357" s="171"/>
      <c r="E357" s="160"/>
      <c r="F357" s="171"/>
      <c r="G357" s="171"/>
      <c r="H357"/>
      <c r="I357" s="171"/>
      <c r="J357"/>
      <c r="K357"/>
      <c r="L357" s="247"/>
      <c r="M357" s="247"/>
      <c r="N357" s="171"/>
      <c r="O357" s="160"/>
      <c r="P357" s="171"/>
      <c r="Q357" s="160"/>
      <c r="R357" s="160"/>
      <c r="S357" s="171"/>
      <c r="T357" s="171"/>
      <c r="Y357" s="171"/>
      <c r="Z357" s="171"/>
      <c r="AA357" s="171"/>
      <c r="AB357" s="171"/>
      <c r="AC357" s="171"/>
      <c r="AD357" s="171"/>
      <c r="AE357" s="171"/>
      <c r="AF357" s="171"/>
      <c r="AN357" s="171"/>
      <c r="AO357" s="171"/>
      <c r="AP357" s="171"/>
      <c r="AQ357" s="171"/>
      <c r="AR357" s="171"/>
      <c r="AS357" s="171"/>
      <c r="AT357" s="171"/>
      <c r="AU357" s="171"/>
      <c r="AX357" s="171"/>
      <c r="AY357" s="171"/>
      <c r="BA357" s="171"/>
      <c r="BB357" s="171"/>
      <c r="BF357" s="171"/>
      <c r="BH357" s="171"/>
    </row>
    <row r="358" spans="1:60" x14ac:dyDescent="0.25">
      <c r="A358" s="182"/>
      <c r="B358" s="182"/>
      <c r="C358" s="171"/>
      <c r="D358" s="171"/>
      <c r="E358" s="160"/>
      <c r="F358" s="171"/>
      <c r="G358" s="171"/>
      <c r="H358"/>
      <c r="I358" s="171"/>
      <c r="J358"/>
      <c r="K358"/>
      <c r="L358" s="247"/>
      <c r="M358" s="247"/>
      <c r="N358" s="171"/>
      <c r="O358" s="160"/>
      <c r="P358" s="171"/>
      <c r="Q358" s="160"/>
      <c r="R358" s="160"/>
      <c r="S358" s="171"/>
      <c r="T358" s="171"/>
      <c r="Y358" s="171"/>
      <c r="Z358" s="171"/>
      <c r="AA358" s="171"/>
      <c r="AB358" s="171"/>
      <c r="AC358" s="171"/>
      <c r="AD358" s="171"/>
      <c r="AE358" s="171"/>
      <c r="AF358" s="171"/>
      <c r="AN358" s="171"/>
      <c r="AO358" s="171"/>
      <c r="AP358" s="171"/>
      <c r="AQ358" s="171"/>
      <c r="AR358" s="171"/>
      <c r="AS358" s="171"/>
      <c r="AT358" s="171"/>
      <c r="AU358" s="171"/>
      <c r="AX358" s="171"/>
      <c r="AY358" s="171"/>
      <c r="BA358" s="171"/>
      <c r="BB358" s="171"/>
      <c r="BF358" s="171"/>
      <c r="BH358" s="171"/>
    </row>
    <row r="359" spans="1:60" x14ac:dyDescent="0.25">
      <c r="A359" s="182"/>
      <c r="B359" s="182"/>
      <c r="C359" s="171"/>
      <c r="D359" s="171"/>
      <c r="E359" s="160"/>
      <c r="F359" s="171"/>
      <c r="G359" s="171"/>
      <c r="H359"/>
      <c r="I359" s="171"/>
      <c r="J359"/>
      <c r="K359"/>
      <c r="L359" s="247"/>
      <c r="M359" s="247"/>
      <c r="N359" s="171"/>
      <c r="O359" s="160"/>
      <c r="P359" s="171"/>
      <c r="Q359" s="160"/>
      <c r="R359" s="160"/>
      <c r="S359" s="171"/>
      <c r="T359" s="171"/>
      <c r="Y359" s="171"/>
      <c r="Z359" s="171"/>
      <c r="AA359" s="171"/>
      <c r="AB359" s="171"/>
      <c r="AC359" s="171"/>
      <c r="AD359" s="171"/>
      <c r="AE359" s="171"/>
      <c r="AF359" s="171"/>
      <c r="AN359" s="171"/>
      <c r="AO359" s="171"/>
      <c r="AP359" s="171"/>
      <c r="AQ359" s="171"/>
      <c r="AR359" s="171"/>
      <c r="AS359" s="171"/>
      <c r="AT359" s="171"/>
      <c r="AU359" s="171"/>
      <c r="AX359" s="171"/>
      <c r="AY359" s="171"/>
      <c r="BA359" s="171"/>
      <c r="BB359" s="171"/>
      <c r="BF359" s="171"/>
      <c r="BH359" s="171"/>
    </row>
    <row r="360" spans="1:60" x14ac:dyDescent="0.25">
      <c r="A360" s="182"/>
      <c r="B360" s="182"/>
      <c r="C360" s="171"/>
      <c r="D360" s="171"/>
      <c r="E360" s="160"/>
      <c r="F360" s="171"/>
      <c r="G360"/>
      <c r="H360"/>
      <c r="I360" s="171"/>
      <c r="J360"/>
      <c r="K360"/>
      <c r="L360" s="247"/>
      <c r="M360" s="247"/>
      <c r="N360" s="171"/>
      <c r="O360" s="160"/>
      <c r="P360" s="171"/>
      <c r="Q360" s="160"/>
      <c r="R360" s="160"/>
      <c r="S360" s="171"/>
      <c r="T360" s="171"/>
      <c r="Y360" s="171"/>
      <c r="Z360" s="171"/>
      <c r="AA360" s="171"/>
      <c r="AB360" s="171"/>
      <c r="AC360" s="171"/>
      <c r="AD360" s="171"/>
      <c r="AE360" s="171"/>
      <c r="AF360" s="171"/>
      <c r="AN360" s="171"/>
      <c r="AO360" s="171"/>
      <c r="AP360" s="171"/>
      <c r="AQ360" s="171"/>
      <c r="AR360" s="171"/>
      <c r="AS360" s="171"/>
      <c r="AT360" s="171"/>
      <c r="AU360" s="171"/>
      <c r="AX360" s="171"/>
      <c r="BA360" s="171"/>
      <c r="BB360" s="171"/>
      <c r="BF360" s="171"/>
      <c r="BH360" s="171"/>
    </row>
    <row r="361" spans="1:60" x14ac:dyDescent="0.25">
      <c r="A361" s="182"/>
      <c r="B361" s="182"/>
      <c r="C361" s="171"/>
      <c r="D361" s="171"/>
      <c r="E361" s="160"/>
      <c r="F361" s="171"/>
      <c r="G361" s="171"/>
      <c r="H361"/>
      <c r="I361" s="171"/>
      <c r="J361"/>
      <c r="K361"/>
      <c r="L361" s="247"/>
      <c r="M361" s="247"/>
      <c r="N361" s="171"/>
      <c r="O361" s="160"/>
      <c r="P361" s="171"/>
      <c r="Q361" s="160"/>
      <c r="R361" s="160"/>
      <c r="S361" s="171"/>
      <c r="T361" s="171"/>
      <c r="Y361" s="171"/>
      <c r="Z361" s="171"/>
      <c r="AA361" s="171"/>
      <c r="AB361" s="171"/>
      <c r="AC361" s="171"/>
      <c r="AD361" s="171"/>
      <c r="AE361" s="171"/>
      <c r="AF361" s="171"/>
      <c r="AN361" s="171"/>
      <c r="AO361" s="171"/>
      <c r="AP361" s="171"/>
      <c r="AQ361" s="171"/>
      <c r="AR361" s="171"/>
      <c r="AS361" s="171"/>
      <c r="AT361" s="171"/>
      <c r="AU361" s="171"/>
      <c r="AX361" s="171"/>
      <c r="AY361" s="171"/>
      <c r="BA361" s="171"/>
      <c r="BB361" s="171"/>
      <c r="BF361" s="171"/>
      <c r="BH361" s="171"/>
    </row>
    <row r="362" spans="1:60" x14ac:dyDescent="0.25">
      <c r="A362" s="182"/>
      <c r="B362" s="182"/>
      <c r="C362" s="171"/>
      <c r="D362" s="171"/>
      <c r="E362" s="160"/>
      <c r="F362" s="171"/>
      <c r="G362" s="171"/>
      <c r="H362"/>
      <c r="I362" s="171"/>
      <c r="J362"/>
      <c r="K362"/>
      <c r="L362" s="247"/>
      <c r="M362" s="247"/>
      <c r="N362" s="171"/>
      <c r="O362" s="160"/>
      <c r="P362" s="171"/>
      <c r="Q362" s="160"/>
      <c r="R362" s="160"/>
      <c r="S362" s="171"/>
      <c r="T362" s="171"/>
      <c r="Y362" s="171"/>
      <c r="Z362" s="171"/>
      <c r="AA362" s="171"/>
      <c r="AB362" s="171"/>
      <c r="AC362" s="171"/>
      <c r="AD362" s="171"/>
      <c r="AE362" s="171"/>
      <c r="AF362" s="171"/>
      <c r="AN362" s="171"/>
      <c r="AO362" s="171"/>
      <c r="AP362" s="171"/>
      <c r="AQ362" s="171"/>
      <c r="AR362" s="171"/>
      <c r="AS362" s="171"/>
      <c r="AT362" s="171"/>
      <c r="AU362" s="171"/>
      <c r="AX362" s="171"/>
      <c r="AY362" s="171"/>
      <c r="BA362" s="171"/>
      <c r="BB362" s="171"/>
      <c r="BF362" s="171"/>
      <c r="BH362" s="171"/>
    </row>
    <row r="363" spans="1:60" x14ac:dyDescent="0.25">
      <c r="A363" s="182"/>
      <c r="B363" s="182"/>
      <c r="C363" s="171"/>
      <c r="D363" s="171"/>
      <c r="E363" s="160"/>
      <c r="F363" s="171"/>
      <c r="G363" s="171"/>
      <c r="H363"/>
      <c r="I363" s="171"/>
      <c r="J363"/>
      <c r="K363"/>
      <c r="L363" s="247"/>
      <c r="M363" s="247"/>
      <c r="N363" s="171"/>
      <c r="O363" s="160"/>
      <c r="P363" s="171"/>
      <c r="Q363" s="160"/>
      <c r="R363" s="160"/>
      <c r="S363" s="171"/>
      <c r="T363" s="171"/>
      <c r="Y363" s="171"/>
      <c r="Z363" s="171"/>
      <c r="AA363" s="171"/>
      <c r="AB363" s="171"/>
      <c r="AC363" s="171"/>
      <c r="AD363" s="171"/>
      <c r="AE363" s="171"/>
      <c r="AF363" s="171"/>
      <c r="AN363" s="171"/>
      <c r="AO363" s="171"/>
      <c r="AP363" s="171"/>
      <c r="AQ363" s="171"/>
      <c r="AR363" s="171"/>
      <c r="AS363" s="171"/>
      <c r="AT363" s="171"/>
      <c r="AU363" s="171"/>
      <c r="AX363" s="171"/>
      <c r="AY363" s="171"/>
      <c r="BA363" s="171"/>
      <c r="BB363" s="171"/>
      <c r="BF363" s="171"/>
      <c r="BH363" s="171"/>
    </row>
    <row r="364" spans="1:60" x14ac:dyDescent="0.25">
      <c r="A364" s="182"/>
      <c r="B364" s="182"/>
      <c r="C364" s="171"/>
      <c r="D364" s="171"/>
      <c r="E364" s="160"/>
      <c r="F364" s="171"/>
      <c r="G364" s="171"/>
      <c r="H364"/>
      <c r="I364" s="171"/>
      <c r="J364"/>
      <c r="K364"/>
      <c r="L364" s="247"/>
      <c r="M364" s="247"/>
      <c r="N364" s="171"/>
      <c r="O364" s="160"/>
      <c r="P364" s="171"/>
      <c r="Q364" s="160"/>
      <c r="R364" s="160"/>
      <c r="S364" s="171"/>
      <c r="T364" s="171"/>
      <c r="Y364" s="171"/>
      <c r="Z364" s="171"/>
      <c r="AA364" s="171"/>
      <c r="AB364" s="171"/>
      <c r="AC364" s="171"/>
      <c r="AD364" s="171"/>
      <c r="AE364" s="171"/>
      <c r="AF364" s="171"/>
      <c r="AN364" s="171"/>
      <c r="AO364" s="171"/>
      <c r="AP364" s="171"/>
      <c r="AQ364" s="171"/>
      <c r="AR364" s="171"/>
      <c r="AS364" s="171"/>
      <c r="AT364" s="171"/>
      <c r="AU364" s="171"/>
      <c r="AX364" s="171"/>
      <c r="AY364" s="171"/>
      <c r="BA364" s="171"/>
      <c r="BB364" s="171"/>
      <c r="BF364" s="171"/>
      <c r="BH364" s="171"/>
    </row>
    <row r="365" spans="1:60" x14ac:dyDescent="0.25">
      <c r="A365" s="182"/>
      <c r="B365" s="182"/>
      <c r="C365" s="171"/>
      <c r="D365" s="171"/>
      <c r="E365" s="160"/>
      <c r="F365" s="171"/>
      <c r="G365" s="171"/>
      <c r="H365"/>
      <c r="I365" s="171"/>
      <c r="J365"/>
      <c r="K365"/>
      <c r="L365" s="247"/>
      <c r="M365" s="247"/>
      <c r="N365" s="171"/>
      <c r="O365" s="160"/>
      <c r="P365" s="171"/>
      <c r="Q365" s="160"/>
      <c r="R365" s="160"/>
      <c r="S365" s="171"/>
      <c r="T365" s="171"/>
      <c r="Y365" s="171"/>
      <c r="Z365" s="171"/>
      <c r="AA365" s="171"/>
      <c r="AB365" s="171"/>
      <c r="AC365" s="171"/>
      <c r="AD365" s="171"/>
      <c r="AE365" s="171"/>
      <c r="AF365" s="171"/>
      <c r="AN365" s="171"/>
      <c r="AO365" s="171"/>
      <c r="AP365" s="171"/>
      <c r="AQ365" s="171"/>
      <c r="AR365" s="171"/>
      <c r="AS365" s="171"/>
      <c r="AT365" s="171"/>
      <c r="AU365" s="171"/>
      <c r="AX365" s="171"/>
      <c r="AY365" s="171"/>
      <c r="BA365" s="171"/>
      <c r="BB365" s="171"/>
      <c r="BF365" s="171"/>
      <c r="BH365" s="171"/>
    </row>
    <row r="366" spans="1:60" x14ac:dyDescent="0.25">
      <c r="A366" s="182"/>
      <c r="B366" s="182"/>
      <c r="C366" s="171"/>
      <c r="D366" s="171"/>
      <c r="E366" s="160"/>
      <c r="F366" s="171"/>
      <c r="G366" s="171"/>
      <c r="H366"/>
      <c r="I366" s="171"/>
      <c r="J366"/>
      <c r="K366"/>
      <c r="L366" s="247"/>
      <c r="M366" s="247"/>
      <c r="N366" s="171"/>
      <c r="O366" s="160"/>
      <c r="P366" s="171"/>
      <c r="Q366" s="160"/>
      <c r="R366" s="160"/>
      <c r="S366" s="171"/>
      <c r="T366" s="171"/>
      <c r="Y366" s="171"/>
      <c r="Z366" s="171"/>
      <c r="AA366" s="171"/>
      <c r="AB366" s="171"/>
      <c r="AC366" s="171"/>
      <c r="AD366" s="171"/>
      <c r="AE366" s="171"/>
      <c r="AF366" s="171"/>
      <c r="AN366" s="171"/>
      <c r="AO366" s="171"/>
      <c r="AP366" s="171"/>
      <c r="AQ366" s="171"/>
      <c r="AR366" s="171"/>
      <c r="AS366" s="171"/>
      <c r="AT366" s="171"/>
      <c r="AU366" s="171"/>
      <c r="AX366" s="171"/>
      <c r="AY366" s="171"/>
      <c r="BA366" s="171"/>
      <c r="BB366" s="171"/>
      <c r="BF366" s="171"/>
      <c r="BH366" s="171"/>
    </row>
    <row r="367" spans="1:60" x14ac:dyDescent="0.25">
      <c r="A367" s="182"/>
      <c r="B367" s="182"/>
      <c r="C367" s="171"/>
      <c r="D367" s="171"/>
      <c r="E367" s="160"/>
      <c r="F367" s="171"/>
      <c r="G367" s="171"/>
      <c r="H367"/>
      <c r="I367" s="171"/>
      <c r="J367"/>
      <c r="K367"/>
      <c r="L367" s="247"/>
      <c r="M367" s="247"/>
      <c r="N367" s="171"/>
      <c r="O367" s="160"/>
      <c r="P367" s="171"/>
      <c r="Q367" s="160"/>
      <c r="R367" s="160"/>
      <c r="S367" s="171"/>
      <c r="T367" s="171"/>
      <c r="Y367" s="171"/>
      <c r="Z367" s="171"/>
      <c r="AA367" s="171"/>
      <c r="AB367" s="171"/>
      <c r="AC367" s="171"/>
      <c r="AD367" s="171"/>
      <c r="AE367" s="171"/>
      <c r="AF367" s="171"/>
      <c r="AN367" s="171"/>
      <c r="AO367" s="171"/>
      <c r="AP367" s="171"/>
      <c r="AQ367" s="171"/>
      <c r="AR367" s="171"/>
      <c r="AS367" s="171"/>
      <c r="AT367" s="171"/>
      <c r="AU367" s="171"/>
      <c r="AX367" s="171"/>
      <c r="AY367" s="171"/>
      <c r="BA367" s="171"/>
      <c r="BB367" s="171"/>
      <c r="BF367" s="171"/>
      <c r="BH367" s="171"/>
    </row>
    <row r="368" spans="1:60" x14ac:dyDescent="0.25">
      <c r="A368" s="182"/>
      <c r="B368" s="182"/>
      <c r="C368" s="171"/>
      <c r="D368" s="171"/>
      <c r="E368" s="160"/>
      <c r="F368" s="171"/>
      <c r="G368"/>
      <c r="H368"/>
      <c r="I368" s="171"/>
      <c r="J368"/>
      <c r="K368"/>
      <c r="L368" s="247"/>
      <c r="M368" s="247"/>
      <c r="N368" s="171"/>
      <c r="O368" s="160"/>
      <c r="P368" s="171"/>
      <c r="Q368" s="160"/>
      <c r="R368" s="160"/>
      <c r="S368" s="171"/>
      <c r="T368" s="171"/>
      <c r="Y368" s="171"/>
      <c r="Z368" s="171"/>
      <c r="AA368" s="171"/>
      <c r="AB368" s="171"/>
      <c r="AC368" s="171"/>
      <c r="AD368" s="171"/>
      <c r="AE368" s="171"/>
      <c r="AF368" s="171"/>
      <c r="AN368" s="171"/>
      <c r="AO368" s="171"/>
      <c r="AP368" s="171"/>
      <c r="AQ368" s="171"/>
      <c r="AR368" s="171"/>
      <c r="AS368" s="171"/>
      <c r="AT368" s="171"/>
      <c r="AU368" s="171"/>
      <c r="AX368" s="171"/>
      <c r="BA368" s="171"/>
      <c r="BB368" s="171"/>
      <c r="BF368" s="171"/>
      <c r="BH368" s="171"/>
    </row>
    <row r="369" spans="1:60" x14ac:dyDescent="0.25">
      <c r="A369" s="182"/>
      <c r="B369" s="182"/>
      <c r="C369" s="171"/>
      <c r="D369" s="171"/>
      <c r="E369" s="160"/>
      <c r="F369" s="171"/>
      <c r="G369" s="171"/>
      <c r="H369"/>
      <c r="I369" s="171"/>
      <c r="J369"/>
      <c r="K369"/>
      <c r="L369" s="247"/>
      <c r="M369" s="247"/>
      <c r="N369" s="171"/>
      <c r="O369" s="160"/>
      <c r="P369" s="171"/>
      <c r="Q369" s="160"/>
      <c r="R369" s="160"/>
      <c r="S369" s="171"/>
      <c r="T369" s="171"/>
      <c r="Y369" s="171"/>
      <c r="Z369" s="171"/>
      <c r="AA369" s="171"/>
      <c r="AB369" s="171"/>
      <c r="AC369" s="171"/>
      <c r="AD369" s="171"/>
      <c r="AE369" s="171"/>
      <c r="AF369" s="171"/>
      <c r="AN369" s="171"/>
      <c r="AO369" s="171"/>
      <c r="AP369" s="171"/>
      <c r="AQ369" s="171"/>
      <c r="AR369" s="171"/>
      <c r="AS369" s="171"/>
      <c r="AT369" s="171"/>
      <c r="AU369" s="171"/>
      <c r="AX369" s="171"/>
      <c r="AY369" s="171"/>
      <c r="BA369" s="171"/>
      <c r="BB369" s="171"/>
      <c r="BF369" s="171"/>
      <c r="BH369" s="171"/>
    </row>
    <row r="370" spans="1:60" x14ac:dyDescent="0.25">
      <c r="A370" s="182"/>
      <c r="B370" s="182"/>
      <c r="C370" s="171"/>
      <c r="D370" s="171"/>
      <c r="E370" s="160"/>
      <c r="F370" s="171"/>
      <c r="G370" s="171"/>
      <c r="H370"/>
      <c r="I370" s="171"/>
      <c r="J370"/>
      <c r="K370"/>
      <c r="L370" s="247"/>
      <c r="M370" s="247"/>
      <c r="N370" s="171"/>
      <c r="O370" s="160"/>
      <c r="P370" s="171"/>
      <c r="Q370" s="160"/>
      <c r="R370" s="160"/>
      <c r="S370" s="171"/>
      <c r="T370" s="171"/>
      <c r="Y370" s="171"/>
      <c r="Z370" s="171"/>
      <c r="AA370" s="171"/>
      <c r="AB370" s="171"/>
      <c r="AC370" s="171"/>
      <c r="AD370" s="171"/>
      <c r="AE370" s="171"/>
      <c r="AF370" s="171"/>
      <c r="AN370" s="171"/>
      <c r="AO370" s="171"/>
      <c r="AP370" s="171"/>
      <c r="AQ370" s="171"/>
      <c r="AR370" s="171"/>
      <c r="AS370" s="171"/>
      <c r="AT370" s="171"/>
      <c r="AU370" s="171"/>
      <c r="AX370" s="171"/>
      <c r="AY370" s="171"/>
      <c r="BA370" s="171"/>
      <c r="BB370" s="171"/>
      <c r="BF370" s="171"/>
      <c r="BH370" s="171"/>
    </row>
    <row r="371" spans="1:60" x14ac:dyDescent="0.25">
      <c r="A371" s="182"/>
      <c r="B371" s="182"/>
      <c r="C371" s="171"/>
      <c r="D371" s="171"/>
      <c r="E371" s="160"/>
      <c r="F371" s="171"/>
      <c r="G371" s="171"/>
      <c r="H371"/>
      <c r="I371" s="171"/>
      <c r="J371"/>
      <c r="K371"/>
      <c r="L371" s="247"/>
      <c r="M371" s="247"/>
      <c r="N371" s="171"/>
      <c r="O371" s="160"/>
      <c r="P371" s="171"/>
      <c r="Q371" s="160"/>
      <c r="R371" s="160"/>
      <c r="S371" s="171"/>
      <c r="T371" s="171"/>
      <c r="Y371" s="171"/>
      <c r="Z371" s="171"/>
      <c r="AA371" s="171"/>
      <c r="AB371" s="171"/>
      <c r="AC371" s="171"/>
      <c r="AD371" s="171"/>
      <c r="AE371" s="171"/>
      <c r="AF371" s="171"/>
      <c r="AN371" s="171"/>
      <c r="AO371" s="171"/>
      <c r="AP371" s="171"/>
      <c r="AQ371" s="171"/>
      <c r="AR371" s="171"/>
      <c r="AS371" s="171"/>
      <c r="AT371" s="171"/>
      <c r="AU371" s="171"/>
      <c r="AX371" s="171"/>
      <c r="AY371" s="171"/>
      <c r="BA371" s="171"/>
      <c r="BB371" s="171"/>
      <c r="BF371" s="171"/>
      <c r="BH371" s="171"/>
    </row>
    <row r="372" spans="1:60" x14ac:dyDescent="0.25">
      <c r="A372" s="182"/>
      <c r="B372" s="182"/>
      <c r="C372" s="171"/>
      <c r="D372" s="171"/>
      <c r="E372" s="160"/>
      <c r="F372" s="171"/>
      <c r="G372"/>
      <c r="H372"/>
      <c r="I372" s="171"/>
      <c r="J372"/>
      <c r="K372"/>
      <c r="L372" s="247"/>
      <c r="M372" s="247"/>
      <c r="N372" s="171"/>
      <c r="O372" s="160"/>
      <c r="P372" s="171"/>
      <c r="Q372" s="160"/>
      <c r="R372" s="160"/>
      <c r="S372" s="171"/>
      <c r="T372" s="171"/>
      <c r="Y372" s="171"/>
      <c r="Z372" s="171"/>
      <c r="AA372" s="171"/>
      <c r="AB372" s="171"/>
      <c r="AC372" s="171"/>
      <c r="AD372" s="171"/>
      <c r="AE372" s="171"/>
      <c r="AF372" s="171"/>
      <c r="AN372" s="171"/>
      <c r="AO372" s="171"/>
      <c r="AP372" s="171"/>
      <c r="AQ372" s="171"/>
      <c r="AR372" s="171"/>
      <c r="AS372" s="171"/>
      <c r="AT372" s="171"/>
      <c r="AU372" s="171"/>
      <c r="AX372" s="171"/>
      <c r="BA372" s="171"/>
      <c r="BB372" s="171"/>
      <c r="BF372" s="171"/>
      <c r="BH372" s="171"/>
    </row>
    <row r="373" spans="1:60" x14ac:dyDescent="0.25">
      <c r="A373" s="182"/>
      <c r="B373" s="182"/>
      <c r="C373" s="171"/>
      <c r="D373" s="171"/>
      <c r="E373" s="160"/>
      <c r="F373" s="171"/>
      <c r="G373" s="171"/>
      <c r="H373"/>
      <c r="I373" s="171"/>
      <c r="J373"/>
      <c r="K373"/>
      <c r="L373" s="247"/>
      <c r="M373" s="247"/>
      <c r="N373" s="171"/>
      <c r="O373" s="160"/>
      <c r="P373" s="171"/>
      <c r="Q373" s="160"/>
      <c r="R373" s="160"/>
      <c r="S373" s="171"/>
      <c r="T373" s="171"/>
      <c r="Y373" s="171"/>
      <c r="Z373" s="171"/>
      <c r="AA373" s="171"/>
      <c r="AB373" s="171"/>
      <c r="AC373" s="171"/>
      <c r="AD373" s="171"/>
      <c r="AE373" s="171"/>
      <c r="AF373" s="171"/>
      <c r="AN373" s="171"/>
      <c r="AO373" s="171"/>
      <c r="AP373" s="171"/>
      <c r="AQ373" s="171"/>
      <c r="AR373" s="171"/>
      <c r="AS373" s="171"/>
      <c r="AT373" s="171"/>
      <c r="AU373" s="171"/>
      <c r="AX373" s="171"/>
      <c r="AY373" s="171"/>
      <c r="BA373" s="171"/>
      <c r="BB373" s="171"/>
      <c r="BF373" s="171"/>
      <c r="BH373" s="171"/>
    </row>
    <row r="374" spans="1:60" x14ac:dyDescent="0.25">
      <c r="A374" s="182"/>
      <c r="B374" s="182"/>
      <c r="C374" s="171"/>
      <c r="D374" s="171"/>
      <c r="E374" s="160"/>
      <c r="F374" s="171"/>
      <c r="G374" s="171"/>
      <c r="H374"/>
      <c r="I374" s="171"/>
      <c r="J374"/>
      <c r="K374"/>
      <c r="L374" s="247"/>
      <c r="M374" s="247"/>
      <c r="N374" s="171"/>
      <c r="O374" s="160"/>
      <c r="P374" s="171"/>
      <c r="Q374" s="160"/>
      <c r="R374" s="160"/>
      <c r="S374" s="171"/>
      <c r="T374" s="171"/>
      <c r="Y374" s="171"/>
      <c r="Z374" s="171"/>
      <c r="AA374" s="171"/>
      <c r="AB374" s="171"/>
      <c r="AC374" s="171"/>
      <c r="AD374" s="171"/>
      <c r="AE374" s="171"/>
      <c r="AF374" s="171"/>
      <c r="AN374" s="171"/>
      <c r="AO374" s="171"/>
      <c r="AP374" s="171"/>
      <c r="AQ374" s="171"/>
      <c r="AR374" s="171"/>
      <c r="AS374" s="171"/>
      <c r="AT374" s="171"/>
      <c r="AU374" s="171"/>
      <c r="AX374" s="171"/>
      <c r="AY374" s="171"/>
      <c r="BA374" s="171"/>
      <c r="BB374" s="171"/>
      <c r="BF374" s="171"/>
      <c r="BH374" s="171"/>
    </row>
    <row r="375" spans="1:60" x14ac:dyDescent="0.25">
      <c r="A375" s="182"/>
      <c r="B375" s="182"/>
      <c r="C375" s="171"/>
      <c r="D375" s="171"/>
      <c r="E375" s="160"/>
      <c r="F375" s="171"/>
      <c r="G375" s="171"/>
      <c r="H375"/>
      <c r="I375" s="171"/>
      <c r="J375"/>
      <c r="K375"/>
      <c r="L375" s="247"/>
      <c r="M375" s="247"/>
      <c r="N375" s="171"/>
      <c r="O375" s="160"/>
      <c r="P375" s="171"/>
      <c r="Q375" s="160"/>
      <c r="R375" s="160"/>
      <c r="S375" s="171"/>
      <c r="T375" s="171"/>
      <c r="Y375" s="171"/>
      <c r="Z375" s="171"/>
      <c r="AA375" s="171"/>
      <c r="AB375" s="171"/>
      <c r="AC375" s="171"/>
      <c r="AD375" s="171"/>
      <c r="AE375" s="171"/>
      <c r="AF375" s="171"/>
      <c r="AN375" s="171"/>
      <c r="AO375" s="171"/>
      <c r="AP375" s="171"/>
      <c r="AQ375" s="171"/>
      <c r="AR375" s="171"/>
      <c r="AS375" s="171"/>
      <c r="AT375" s="171"/>
      <c r="AU375" s="171"/>
      <c r="AX375" s="171"/>
      <c r="AY375" s="171"/>
      <c r="BA375" s="171"/>
      <c r="BB375" s="171"/>
      <c r="BF375" s="171"/>
      <c r="BH375" s="171"/>
    </row>
    <row r="376" spans="1:60" x14ac:dyDescent="0.25">
      <c r="A376" s="182"/>
      <c r="B376" s="182"/>
      <c r="C376" s="171"/>
      <c r="D376" s="171"/>
      <c r="E376" s="160"/>
      <c r="F376" s="171"/>
      <c r="G376" s="171"/>
      <c r="H376"/>
      <c r="I376" s="171"/>
      <c r="J376"/>
      <c r="K376"/>
      <c r="L376" s="247"/>
      <c r="M376" s="247"/>
      <c r="N376" s="171"/>
      <c r="O376" s="160"/>
      <c r="P376" s="171"/>
      <c r="Q376" s="160"/>
      <c r="R376" s="160"/>
      <c r="S376" s="171"/>
      <c r="T376" s="171"/>
      <c r="Y376" s="171"/>
      <c r="Z376" s="171"/>
      <c r="AA376" s="171"/>
      <c r="AB376" s="171"/>
      <c r="AC376" s="171"/>
      <c r="AD376" s="171"/>
      <c r="AE376" s="171"/>
      <c r="AF376" s="171"/>
      <c r="AN376" s="171"/>
      <c r="AO376" s="171"/>
      <c r="AP376" s="171"/>
      <c r="AQ376" s="171"/>
      <c r="AR376" s="171"/>
      <c r="AS376" s="171"/>
      <c r="AT376" s="171"/>
      <c r="AU376" s="171"/>
      <c r="AX376" s="171"/>
      <c r="AY376" s="171"/>
      <c r="BA376" s="171"/>
      <c r="BB376" s="171"/>
      <c r="BF376" s="171"/>
      <c r="BH376" s="171"/>
    </row>
    <row r="377" spans="1:60" x14ac:dyDescent="0.25">
      <c r="A377" s="182"/>
      <c r="B377" s="182"/>
      <c r="C377" s="171"/>
      <c r="D377" s="171"/>
      <c r="E377" s="160"/>
      <c r="F377" s="171"/>
      <c r="G377" s="171"/>
      <c r="H377"/>
      <c r="I377" s="171"/>
      <c r="J377"/>
      <c r="K377"/>
      <c r="L377" s="247"/>
      <c r="M377" s="247"/>
      <c r="N377" s="171"/>
      <c r="O377" s="160"/>
      <c r="P377" s="171"/>
      <c r="Q377" s="160"/>
      <c r="R377" s="160"/>
      <c r="S377" s="171"/>
      <c r="T377" s="171"/>
      <c r="Y377" s="171"/>
      <c r="Z377" s="171"/>
      <c r="AA377" s="171"/>
      <c r="AB377" s="171"/>
      <c r="AC377" s="171"/>
      <c r="AD377" s="171"/>
      <c r="AE377" s="171"/>
      <c r="AF377" s="171"/>
      <c r="AN377" s="171"/>
      <c r="AO377" s="171"/>
      <c r="AP377" s="171"/>
      <c r="AQ377" s="171"/>
      <c r="AR377" s="171"/>
      <c r="AS377" s="171"/>
      <c r="AT377" s="171"/>
      <c r="AU377" s="171"/>
      <c r="AX377" s="171"/>
      <c r="AY377" s="171"/>
      <c r="BA377" s="171"/>
      <c r="BB377" s="171"/>
      <c r="BF377" s="171"/>
      <c r="BH377" s="171"/>
    </row>
    <row r="378" spans="1:60" x14ac:dyDescent="0.25">
      <c r="A378" s="182"/>
      <c r="B378" s="182"/>
      <c r="C378" s="171"/>
      <c r="D378" s="171"/>
      <c r="E378" s="160"/>
      <c r="F378" s="171"/>
      <c r="G378" s="171"/>
      <c r="H378"/>
      <c r="I378" s="171"/>
      <c r="J378"/>
      <c r="K378"/>
      <c r="L378" s="247"/>
      <c r="M378" s="247"/>
      <c r="N378" s="171"/>
      <c r="O378" s="160"/>
      <c r="P378" s="171"/>
      <c r="Q378" s="160"/>
      <c r="R378" s="160"/>
      <c r="S378" s="171"/>
      <c r="T378" s="171"/>
      <c r="Y378" s="171"/>
      <c r="Z378" s="171"/>
      <c r="AA378" s="171"/>
      <c r="AB378" s="171"/>
      <c r="AC378" s="171"/>
      <c r="AD378" s="171"/>
      <c r="AE378" s="171"/>
      <c r="AF378" s="171"/>
      <c r="AN378" s="171"/>
      <c r="AO378" s="171"/>
      <c r="AP378" s="171"/>
      <c r="AQ378" s="171"/>
      <c r="AR378" s="171"/>
      <c r="AS378" s="171"/>
      <c r="AT378" s="171"/>
      <c r="AU378" s="171"/>
      <c r="AX378" s="171"/>
      <c r="AY378" s="171"/>
      <c r="BA378" s="171"/>
      <c r="BB378" s="171"/>
      <c r="BF378" s="171"/>
      <c r="BH378" s="171"/>
    </row>
    <row r="379" spans="1:60" x14ac:dyDescent="0.25">
      <c r="A379" s="182"/>
      <c r="B379" s="182"/>
      <c r="C379" s="171"/>
      <c r="D379" s="171"/>
      <c r="E379" s="160"/>
      <c r="F379" s="171"/>
      <c r="G379" s="171"/>
      <c r="H379" s="171"/>
      <c r="I379" s="171"/>
      <c r="J379"/>
      <c r="K379"/>
      <c r="L379" s="247"/>
      <c r="M379" s="247"/>
      <c r="N379" s="171"/>
      <c r="O379" s="160"/>
      <c r="P379" s="171"/>
      <c r="Q379" s="160"/>
      <c r="R379" s="160"/>
      <c r="S379" s="171"/>
      <c r="T379" s="171"/>
      <c r="Y379" s="171"/>
      <c r="Z379" s="171"/>
      <c r="AA379" s="171"/>
      <c r="AB379" s="171"/>
      <c r="AC379" s="171"/>
      <c r="AD379" s="171"/>
      <c r="AE379" s="171"/>
      <c r="AF379" s="171"/>
      <c r="AN379" s="171"/>
      <c r="AO379" s="171"/>
      <c r="AP379" s="171"/>
      <c r="AQ379" s="171"/>
      <c r="AR379" s="171"/>
      <c r="AS379" s="171"/>
      <c r="AT379" s="171"/>
      <c r="AU379" s="171"/>
      <c r="AX379" s="171"/>
      <c r="AY379" s="171"/>
      <c r="AZ379" s="171"/>
      <c r="BA379" s="171"/>
      <c r="BB379" s="171"/>
      <c r="BF379" s="171"/>
      <c r="BH379" s="171"/>
    </row>
    <row r="380" spans="1:60" x14ac:dyDescent="0.25">
      <c r="A380" s="182"/>
      <c r="B380" s="182"/>
      <c r="C380" s="171"/>
      <c r="D380" s="171"/>
      <c r="E380" s="160"/>
      <c r="F380" s="171"/>
      <c r="G380" s="171"/>
      <c r="H380"/>
      <c r="I380" s="171"/>
      <c r="J380"/>
      <c r="K380"/>
      <c r="L380" s="247"/>
      <c r="M380" s="247"/>
      <c r="N380" s="171"/>
      <c r="O380" s="160"/>
      <c r="P380" s="171"/>
      <c r="Q380" s="160"/>
      <c r="R380" s="160"/>
      <c r="S380" s="171"/>
      <c r="T380" s="171"/>
      <c r="Y380" s="171"/>
      <c r="Z380" s="171"/>
      <c r="AA380" s="171"/>
      <c r="AB380" s="171"/>
      <c r="AC380" s="171"/>
      <c r="AD380" s="171"/>
      <c r="AE380" s="171"/>
      <c r="AF380" s="171"/>
      <c r="AN380" s="171"/>
      <c r="AO380" s="171"/>
      <c r="AP380" s="171"/>
      <c r="AQ380" s="171"/>
      <c r="AR380" s="171"/>
      <c r="AS380" s="171"/>
      <c r="AT380" s="171"/>
      <c r="AU380" s="171"/>
      <c r="AX380" s="171"/>
      <c r="AY380" s="171"/>
      <c r="BA380" s="171"/>
      <c r="BB380" s="171"/>
      <c r="BF380" s="171"/>
      <c r="BH380" s="171"/>
    </row>
    <row r="381" spans="1:60" x14ac:dyDescent="0.25">
      <c r="A381" s="182"/>
      <c r="B381" s="182"/>
      <c r="C381" s="171"/>
      <c r="D381" s="171"/>
      <c r="E381" s="160"/>
      <c r="F381" s="171"/>
      <c r="G381" s="171"/>
      <c r="H381" s="171"/>
      <c r="I381" s="171"/>
      <c r="J381"/>
      <c r="K381"/>
      <c r="L381" s="247"/>
      <c r="M381" s="247"/>
      <c r="N381" s="171"/>
      <c r="O381" s="160"/>
      <c r="P381" s="171"/>
      <c r="Q381" s="160"/>
      <c r="R381" s="160"/>
      <c r="S381" s="171"/>
      <c r="T381" s="171"/>
      <c r="Y381" s="171"/>
      <c r="Z381" s="171"/>
      <c r="AA381" s="171"/>
      <c r="AB381" s="171"/>
      <c r="AC381" s="171"/>
      <c r="AD381" s="171"/>
      <c r="AE381" s="171"/>
      <c r="AF381" s="171"/>
      <c r="AN381" s="171"/>
      <c r="AO381" s="171"/>
      <c r="AP381" s="171"/>
      <c r="AQ381" s="171"/>
      <c r="AR381" s="171"/>
      <c r="AS381" s="171"/>
      <c r="AT381" s="171"/>
      <c r="AU381" s="171"/>
      <c r="AX381" s="171"/>
      <c r="AY381" s="171"/>
      <c r="AZ381" s="171"/>
      <c r="BA381" s="171"/>
      <c r="BB381" s="171"/>
      <c r="BF381" s="171"/>
      <c r="BH381" s="171"/>
    </row>
    <row r="382" spans="1:60" x14ac:dyDescent="0.25">
      <c r="A382" s="182"/>
      <c r="B382" s="182"/>
      <c r="C382" s="171"/>
      <c r="D382" s="171"/>
      <c r="E382" s="160"/>
      <c r="F382" s="171"/>
      <c r="G382"/>
      <c r="H382"/>
      <c r="I382" s="171"/>
      <c r="J382"/>
      <c r="K382"/>
      <c r="L382" s="247"/>
      <c r="M382" s="247"/>
      <c r="N382" s="171"/>
      <c r="O382" s="160"/>
      <c r="P382" s="171"/>
      <c r="Q382" s="160"/>
      <c r="R382" s="160"/>
      <c r="S382" s="171"/>
      <c r="T382" s="171"/>
      <c r="Y382" s="171"/>
      <c r="Z382" s="171"/>
      <c r="AA382" s="171"/>
      <c r="AB382" s="171"/>
      <c r="AC382" s="171"/>
      <c r="AD382" s="171"/>
      <c r="AE382" s="171"/>
      <c r="AF382" s="171"/>
      <c r="AN382" s="171"/>
      <c r="AO382" s="171"/>
      <c r="AP382" s="171"/>
      <c r="AQ382" s="171"/>
      <c r="AR382" s="171"/>
      <c r="AS382" s="171"/>
      <c r="AT382" s="171"/>
      <c r="AU382" s="171"/>
      <c r="AX382" s="171"/>
      <c r="BA382" s="171"/>
      <c r="BB382" s="171"/>
      <c r="BF382" s="171"/>
      <c r="BH382" s="171"/>
    </row>
    <row r="383" spans="1:60" x14ac:dyDescent="0.25">
      <c r="A383" s="182"/>
      <c r="B383" s="182"/>
      <c r="C383" s="171"/>
      <c r="D383" s="171"/>
      <c r="E383" s="160"/>
      <c r="F383" s="171"/>
      <c r="G383" s="171"/>
      <c r="H383"/>
      <c r="I383" s="171"/>
      <c r="J383"/>
      <c r="K383"/>
      <c r="L383" s="247"/>
      <c r="M383" s="247"/>
      <c r="N383" s="171"/>
      <c r="O383" s="160"/>
      <c r="P383" s="171"/>
      <c r="Q383" s="160"/>
      <c r="R383" s="160"/>
      <c r="S383" s="171"/>
      <c r="T383" s="171"/>
      <c r="Y383" s="171"/>
      <c r="Z383" s="171"/>
      <c r="AA383" s="171"/>
      <c r="AB383" s="171"/>
      <c r="AC383" s="171"/>
      <c r="AD383" s="171"/>
      <c r="AE383" s="171"/>
      <c r="AF383" s="171"/>
      <c r="AN383" s="171"/>
      <c r="AO383" s="171"/>
      <c r="AP383" s="171"/>
      <c r="AQ383" s="171"/>
      <c r="AR383" s="171"/>
      <c r="AS383" s="171"/>
      <c r="AT383" s="171"/>
      <c r="AU383" s="171"/>
      <c r="AX383" s="171"/>
      <c r="BA383" s="171"/>
      <c r="BB383" s="171"/>
      <c r="BF383" s="171"/>
      <c r="BH383" s="171"/>
    </row>
    <row r="384" spans="1:60" x14ac:dyDescent="0.25">
      <c r="A384" s="182"/>
      <c r="B384" s="182"/>
      <c r="C384" s="171"/>
      <c r="D384" s="171"/>
      <c r="E384" s="160"/>
      <c r="F384" s="171"/>
      <c r="G384" s="171"/>
      <c r="H384"/>
      <c r="I384" s="171"/>
      <c r="J384"/>
      <c r="K384"/>
      <c r="L384" s="247"/>
      <c r="M384" s="247"/>
      <c r="N384" s="171"/>
      <c r="O384" s="160"/>
      <c r="P384" s="171"/>
      <c r="Q384" s="160"/>
      <c r="R384" s="160"/>
      <c r="S384" s="171"/>
      <c r="T384" s="171"/>
      <c r="Y384" s="171"/>
      <c r="Z384" s="171"/>
      <c r="AA384" s="171"/>
      <c r="AB384" s="171"/>
      <c r="AC384" s="171"/>
      <c r="AD384" s="171"/>
      <c r="AE384" s="171"/>
      <c r="AF384" s="171"/>
      <c r="AN384" s="171"/>
      <c r="AO384" s="171"/>
      <c r="AP384" s="171"/>
      <c r="AQ384" s="171"/>
      <c r="AR384" s="171"/>
      <c r="AS384" s="171"/>
      <c r="AT384" s="171"/>
      <c r="AU384" s="171"/>
      <c r="AX384" s="171"/>
      <c r="AY384" s="171"/>
      <c r="BA384" s="171"/>
      <c r="BB384" s="171"/>
      <c r="BF384" s="171"/>
      <c r="BH384" s="171"/>
    </row>
    <row r="385" spans="1:102" x14ac:dyDescent="0.25">
      <c r="A385" s="182"/>
      <c r="B385" s="182"/>
      <c r="C385" s="171"/>
      <c r="D385" s="171"/>
      <c r="E385" s="160"/>
      <c r="F385" s="171"/>
      <c r="G385" s="171"/>
      <c r="H385" s="171"/>
      <c r="I385" s="171"/>
      <c r="J385" s="171"/>
      <c r="K385" s="171"/>
      <c r="L385" s="629"/>
      <c r="M385" s="629"/>
      <c r="N385" s="171"/>
      <c r="O385" s="160"/>
      <c r="P385" s="171"/>
      <c r="Q385" s="160"/>
      <c r="R385" s="160"/>
      <c r="S385" s="171"/>
      <c r="T385" s="171"/>
      <c r="Y385" s="171"/>
      <c r="Z385" s="171"/>
      <c r="AA385" s="171"/>
      <c r="AB385" s="171"/>
      <c r="AC385" s="171"/>
      <c r="AD385" s="171"/>
      <c r="AE385" s="171"/>
      <c r="AF385" s="171"/>
      <c r="AN385" s="171"/>
      <c r="AO385" s="171"/>
      <c r="AP385" s="171"/>
      <c r="AQ385" s="171"/>
      <c r="AR385" s="171"/>
      <c r="AS385" s="171"/>
      <c r="AT385" s="171"/>
      <c r="AU385" s="171"/>
      <c r="AX385" s="171"/>
      <c r="AY385" s="171"/>
      <c r="AZ385" s="171"/>
      <c r="BA385" s="171"/>
      <c r="BB385" s="171"/>
      <c r="BC385" s="171"/>
      <c r="BD385" s="171"/>
      <c r="BF385" s="171"/>
      <c r="BH385" s="171"/>
      <c r="BI385" s="168"/>
      <c r="BL385" s="168"/>
      <c r="BM385" s="168"/>
      <c r="BN385" s="168"/>
      <c r="BO385" s="168"/>
      <c r="BP385" s="168"/>
      <c r="BQ385" s="168"/>
      <c r="BR385" s="168"/>
      <c r="BS385" s="168"/>
      <c r="BT385" s="168"/>
      <c r="BU385" s="168"/>
      <c r="BV385" s="168"/>
      <c r="BW385" s="168"/>
      <c r="BX385" s="168"/>
      <c r="BY385" s="168"/>
      <c r="BZ385" s="168"/>
      <c r="CA385" s="168"/>
      <c r="CB385" s="168"/>
      <c r="CC385" s="168"/>
      <c r="CD385" s="168"/>
      <c r="CE385" s="168"/>
      <c r="CF385" s="168"/>
      <c r="CG385" s="168"/>
      <c r="CH385" s="168"/>
      <c r="CI385" s="168"/>
      <c r="CJ385" s="168"/>
      <c r="CK385" s="168"/>
      <c r="CL385" s="168"/>
      <c r="CM385" s="168"/>
      <c r="CN385" s="168"/>
      <c r="CO385" s="168"/>
      <c r="CP385" s="168"/>
      <c r="CR385" s="168"/>
      <c r="CS385" s="168"/>
      <c r="CT385" s="168"/>
      <c r="CU385" s="168"/>
      <c r="CV385" s="168"/>
      <c r="CW385" s="168"/>
      <c r="CX385" s="168"/>
    </row>
    <row r="386" spans="1:102" x14ac:dyDescent="0.25">
      <c r="A386" s="182"/>
      <c r="B386" s="182"/>
      <c r="C386" s="171"/>
      <c r="D386" s="171"/>
      <c r="E386" s="160"/>
      <c r="F386" s="171"/>
      <c r="G386"/>
      <c r="H386"/>
      <c r="I386" s="171"/>
      <c r="J386"/>
      <c r="K386"/>
      <c r="L386" s="247"/>
      <c r="M386" s="247"/>
      <c r="N386" s="171"/>
      <c r="O386" s="160"/>
      <c r="P386" s="171"/>
      <c r="Q386" s="160"/>
      <c r="R386" s="160"/>
      <c r="S386" s="171"/>
      <c r="T386" s="171"/>
      <c r="Y386" s="171"/>
      <c r="Z386" s="171"/>
      <c r="AA386" s="171"/>
      <c r="AB386" s="171"/>
      <c r="AC386" s="171"/>
      <c r="AD386" s="171"/>
      <c r="AE386" s="171"/>
      <c r="AF386" s="171"/>
      <c r="AN386" s="171"/>
      <c r="AO386" s="171"/>
      <c r="AP386" s="171"/>
      <c r="AQ386" s="171"/>
      <c r="AR386" s="171"/>
      <c r="AS386" s="171"/>
      <c r="AT386" s="171"/>
      <c r="AU386" s="171"/>
      <c r="BA386" s="171"/>
      <c r="BB386" s="171"/>
      <c r="BF386" s="171"/>
      <c r="BH386" s="171"/>
    </row>
    <row r="387" spans="1:102" x14ac:dyDescent="0.25">
      <c r="A387" s="182"/>
      <c r="B387" s="182"/>
      <c r="C387" s="171"/>
      <c r="D387" s="171"/>
      <c r="E387" s="160"/>
      <c r="F387" s="171"/>
      <c r="G387" s="171"/>
      <c r="H387"/>
      <c r="I387" s="171"/>
      <c r="J387"/>
      <c r="K387"/>
      <c r="L387" s="247"/>
      <c r="M387" s="247"/>
      <c r="N387" s="171"/>
      <c r="O387" s="160"/>
      <c r="P387" s="171"/>
      <c r="Q387" s="160"/>
      <c r="R387" s="160"/>
      <c r="S387" s="171"/>
      <c r="T387" s="171"/>
      <c r="Y387" s="171"/>
      <c r="Z387" s="171"/>
      <c r="AA387" s="171"/>
      <c r="AB387" s="171"/>
      <c r="AC387" s="171"/>
      <c r="AD387" s="171"/>
      <c r="AE387" s="171"/>
      <c r="AF387" s="171"/>
      <c r="AN387" s="171"/>
      <c r="AO387" s="171"/>
      <c r="AP387" s="171"/>
      <c r="AQ387" s="171"/>
      <c r="AR387" s="171"/>
      <c r="AS387" s="171"/>
      <c r="AT387" s="171"/>
      <c r="AU387" s="171"/>
      <c r="AX387" s="171"/>
      <c r="BA387" s="171"/>
      <c r="BB387" s="171"/>
      <c r="BF387" s="171"/>
      <c r="BH387" s="171"/>
    </row>
    <row r="388" spans="1:102" x14ac:dyDescent="0.25">
      <c r="A388" s="182"/>
      <c r="B388" s="182"/>
      <c r="C388" s="171"/>
      <c r="D388" s="171"/>
      <c r="E388" s="160"/>
      <c r="F388" s="171"/>
      <c r="G388"/>
      <c r="H388"/>
      <c r="I388" s="171"/>
      <c r="J388"/>
      <c r="K388"/>
      <c r="L388" s="247"/>
      <c r="M388" s="247"/>
      <c r="N388" s="171"/>
      <c r="O388" s="160"/>
      <c r="P388" s="171"/>
      <c r="Q388" s="160"/>
      <c r="R388" s="160"/>
      <c r="S388" s="171"/>
      <c r="T388" s="171"/>
      <c r="Y388" s="171"/>
      <c r="Z388" s="171"/>
      <c r="AA388" s="171"/>
      <c r="AB388" s="171"/>
      <c r="AC388" s="171"/>
      <c r="AD388" s="171"/>
      <c r="AE388" s="171"/>
      <c r="AF388" s="171"/>
      <c r="AN388" s="171"/>
      <c r="AO388" s="171"/>
      <c r="AP388" s="171"/>
      <c r="AQ388" s="171"/>
      <c r="AR388" s="171"/>
      <c r="AS388" s="171"/>
      <c r="AT388" s="171"/>
      <c r="AU388" s="171"/>
      <c r="AX388" s="171"/>
      <c r="BA388" s="171"/>
      <c r="BB388" s="171"/>
      <c r="BF388" s="171"/>
      <c r="BH388" s="171"/>
    </row>
    <row r="389" spans="1:102" x14ac:dyDescent="0.25">
      <c r="A389" s="182"/>
      <c r="B389" s="182"/>
      <c r="C389" s="171"/>
      <c r="D389" s="171"/>
      <c r="E389" s="160"/>
      <c r="F389" s="171"/>
      <c r="G389"/>
      <c r="H389"/>
      <c r="I389" s="171"/>
      <c r="J389"/>
      <c r="K389"/>
      <c r="L389" s="247"/>
      <c r="M389" s="247"/>
      <c r="N389" s="171"/>
      <c r="O389" s="160"/>
      <c r="P389" s="171"/>
      <c r="Q389" s="160"/>
      <c r="R389" s="160"/>
      <c r="S389" s="171"/>
      <c r="T389" s="171"/>
      <c r="Y389" s="171"/>
      <c r="Z389" s="171"/>
      <c r="AA389" s="171"/>
      <c r="AB389" s="171"/>
      <c r="AC389" s="171"/>
      <c r="AD389" s="171"/>
      <c r="AE389" s="171"/>
      <c r="AF389" s="171"/>
      <c r="AN389" s="171"/>
      <c r="AO389" s="171"/>
      <c r="AP389" s="171"/>
      <c r="AQ389" s="171"/>
      <c r="AR389" s="171"/>
      <c r="AS389" s="171"/>
      <c r="AT389" s="171"/>
      <c r="AU389" s="171"/>
      <c r="AX389" s="171"/>
      <c r="BA389" s="171"/>
      <c r="BB389" s="171"/>
      <c r="BF389" s="171"/>
      <c r="BH389" s="171"/>
    </row>
    <row r="390" spans="1:102" x14ac:dyDescent="0.25">
      <c r="A390" s="182"/>
      <c r="B390" s="182"/>
      <c r="C390" s="171"/>
      <c r="D390" s="171"/>
      <c r="E390" s="160"/>
      <c r="F390" s="171"/>
      <c r="G390" s="171"/>
      <c r="H390"/>
      <c r="I390" s="171"/>
      <c r="J390"/>
      <c r="K390"/>
      <c r="L390" s="247"/>
      <c r="M390" s="247"/>
      <c r="N390" s="171"/>
      <c r="O390" s="160"/>
      <c r="P390" s="171"/>
      <c r="Q390" s="160"/>
      <c r="R390" s="160"/>
      <c r="S390" s="171"/>
      <c r="T390" s="171"/>
      <c r="Y390" s="171"/>
      <c r="Z390" s="171"/>
      <c r="AA390" s="171"/>
      <c r="AB390" s="171"/>
      <c r="AC390" s="171"/>
      <c r="AD390" s="171"/>
      <c r="AE390" s="171"/>
      <c r="AF390" s="171"/>
      <c r="AN390" s="171"/>
      <c r="AO390" s="171"/>
      <c r="AP390" s="171"/>
      <c r="AQ390" s="171"/>
      <c r="AR390" s="171"/>
      <c r="AS390" s="171"/>
      <c r="AT390" s="171"/>
      <c r="AU390" s="171"/>
      <c r="AX390" s="171"/>
      <c r="AY390" s="171"/>
      <c r="BA390" s="171"/>
      <c r="BB390" s="171"/>
      <c r="BF390" s="171"/>
      <c r="BH390" s="171"/>
    </row>
    <row r="391" spans="1:102" x14ac:dyDescent="0.25">
      <c r="A391" s="182"/>
      <c r="B391" s="182"/>
      <c r="C391" s="171"/>
      <c r="D391" s="171"/>
      <c r="E391" s="160"/>
      <c r="F391" s="171"/>
      <c r="G391" s="171"/>
      <c r="H391"/>
      <c r="I391" s="171"/>
      <c r="J391"/>
      <c r="K391"/>
      <c r="L391" s="247"/>
      <c r="M391" s="247"/>
      <c r="N391" s="171"/>
      <c r="O391" s="160"/>
      <c r="P391" s="171"/>
      <c r="Q391" s="160"/>
      <c r="R391" s="160"/>
      <c r="S391" s="171"/>
      <c r="T391" s="171"/>
      <c r="Y391" s="171"/>
      <c r="Z391" s="171"/>
      <c r="AA391" s="171"/>
      <c r="AB391" s="171"/>
      <c r="AC391" s="171"/>
      <c r="AD391" s="171"/>
      <c r="AE391" s="171"/>
      <c r="AF391" s="171"/>
      <c r="AN391" s="171"/>
      <c r="AO391" s="171"/>
      <c r="AP391" s="171"/>
      <c r="AQ391" s="171"/>
      <c r="AR391" s="171"/>
      <c r="AS391" s="171"/>
      <c r="AT391" s="171"/>
      <c r="AU391" s="171"/>
      <c r="AX391" s="171"/>
      <c r="AY391" s="171"/>
      <c r="BA391" s="171"/>
      <c r="BB391" s="171"/>
      <c r="BF391" s="171"/>
      <c r="BH391" s="171"/>
    </row>
    <row r="392" spans="1:102" x14ac:dyDescent="0.25">
      <c r="A392" s="182"/>
      <c r="B392" s="182"/>
      <c r="C392" s="171"/>
      <c r="D392" s="171"/>
      <c r="E392" s="160"/>
      <c r="F392" s="171"/>
      <c r="G392" s="171"/>
      <c r="H392"/>
      <c r="I392" s="171"/>
      <c r="J392"/>
      <c r="K392"/>
      <c r="L392" s="247"/>
      <c r="M392" s="247"/>
      <c r="N392" s="171"/>
      <c r="O392" s="160"/>
      <c r="P392" s="171"/>
      <c r="Q392" s="160"/>
      <c r="R392" s="160"/>
      <c r="S392" s="171"/>
      <c r="T392" s="171"/>
      <c r="Y392" s="171"/>
      <c r="Z392" s="171"/>
      <c r="AA392" s="171"/>
      <c r="AB392" s="171"/>
      <c r="AC392" s="171"/>
      <c r="AD392" s="171"/>
      <c r="AE392" s="171"/>
      <c r="AF392" s="171"/>
      <c r="AN392" s="171"/>
      <c r="AO392" s="171"/>
      <c r="AP392" s="171"/>
      <c r="AQ392" s="171"/>
      <c r="AR392" s="171"/>
      <c r="AS392" s="171"/>
      <c r="AT392" s="171"/>
      <c r="AU392" s="171"/>
      <c r="AX392" s="171"/>
      <c r="AY392" s="171"/>
      <c r="BA392" s="171"/>
      <c r="BB392" s="171"/>
      <c r="BF392" s="171"/>
      <c r="BH392" s="171"/>
    </row>
    <row r="393" spans="1:102" x14ac:dyDescent="0.25">
      <c r="A393" s="182"/>
      <c r="B393" s="182"/>
      <c r="C393" s="171"/>
      <c r="D393" s="171"/>
      <c r="E393" s="160"/>
      <c r="F393" s="171"/>
      <c r="G393" s="171"/>
      <c r="H393"/>
      <c r="I393" s="171"/>
      <c r="J393"/>
      <c r="K393"/>
      <c r="L393" s="247"/>
      <c r="M393" s="247"/>
      <c r="N393" s="171"/>
      <c r="O393" s="160"/>
      <c r="P393" s="171"/>
      <c r="Q393" s="160"/>
      <c r="R393" s="160"/>
      <c r="S393" s="171"/>
      <c r="T393" s="171"/>
      <c r="Y393" s="171"/>
      <c r="Z393" s="171"/>
      <c r="AA393" s="171"/>
      <c r="AB393" s="171"/>
      <c r="AC393" s="171"/>
      <c r="AD393" s="171"/>
      <c r="AE393" s="171"/>
      <c r="AF393" s="171"/>
      <c r="AN393" s="171"/>
      <c r="AO393" s="171"/>
      <c r="AP393" s="171"/>
      <c r="AQ393" s="171"/>
      <c r="AR393" s="171"/>
      <c r="AS393" s="171"/>
      <c r="AT393" s="171"/>
      <c r="AU393" s="171"/>
      <c r="AX393" s="171"/>
      <c r="AY393" s="171"/>
      <c r="BA393" s="171"/>
      <c r="BB393" s="171"/>
      <c r="BF393" s="171"/>
      <c r="BH393" s="171"/>
    </row>
    <row r="394" spans="1:102" x14ac:dyDescent="0.25">
      <c r="A394" s="182"/>
      <c r="B394" s="182"/>
      <c r="C394" s="171"/>
      <c r="D394" s="171"/>
      <c r="E394" s="160"/>
      <c r="F394" s="171"/>
      <c r="G394" s="171"/>
      <c r="H394"/>
      <c r="I394" s="171"/>
      <c r="J394"/>
      <c r="K394"/>
      <c r="L394" s="247"/>
      <c r="M394" s="247"/>
      <c r="N394" s="171"/>
      <c r="O394" s="160"/>
      <c r="P394" s="171"/>
      <c r="Q394" s="160"/>
      <c r="R394" s="160"/>
      <c r="S394" s="171"/>
      <c r="T394" s="171"/>
      <c r="Y394" s="171"/>
      <c r="Z394" s="171"/>
      <c r="AA394" s="171"/>
      <c r="AB394" s="171"/>
      <c r="AC394" s="171"/>
      <c r="AD394" s="171"/>
      <c r="AE394" s="171"/>
      <c r="AF394" s="171"/>
      <c r="AN394" s="171"/>
      <c r="AO394" s="171"/>
      <c r="AP394" s="171"/>
      <c r="AQ394" s="171"/>
      <c r="AR394" s="171"/>
      <c r="AS394" s="171"/>
      <c r="AT394" s="171"/>
      <c r="AU394" s="171"/>
      <c r="AX394" s="171"/>
      <c r="AY394" s="171"/>
      <c r="BA394" s="171"/>
      <c r="BB394" s="171"/>
      <c r="BF394" s="171"/>
      <c r="BH394" s="171"/>
    </row>
    <row r="395" spans="1:102" x14ac:dyDescent="0.25">
      <c r="A395" s="182"/>
      <c r="B395" s="182"/>
      <c r="C395" s="171"/>
      <c r="D395" s="171"/>
      <c r="E395" s="160"/>
      <c r="F395" s="171"/>
      <c r="G395" s="171"/>
      <c r="H395"/>
      <c r="I395" s="171"/>
      <c r="J395"/>
      <c r="K395"/>
      <c r="L395" s="247"/>
      <c r="M395" s="247"/>
      <c r="N395" s="171"/>
      <c r="O395" s="160"/>
      <c r="P395" s="171"/>
      <c r="Q395" s="160"/>
      <c r="R395" s="160"/>
      <c r="S395" s="171"/>
      <c r="T395" s="171"/>
      <c r="Y395" s="171"/>
      <c r="Z395" s="171"/>
      <c r="AA395" s="171"/>
      <c r="AB395" s="171"/>
      <c r="AC395" s="171"/>
      <c r="AD395" s="171"/>
      <c r="AE395" s="171"/>
      <c r="AF395" s="171"/>
      <c r="AN395" s="171"/>
      <c r="AO395" s="171"/>
      <c r="AP395" s="171"/>
      <c r="AQ395" s="171"/>
      <c r="AR395" s="171"/>
      <c r="AS395" s="171"/>
      <c r="AT395" s="171"/>
      <c r="AU395" s="171"/>
      <c r="AX395" s="171"/>
      <c r="AY395" s="171"/>
      <c r="BA395" s="171"/>
      <c r="BB395" s="171"/>
      <c r="BF395" s="171"/>
      <c r="BH395" s="171"/>
    </row>
    <row r="396" spans="1:102" x14ac:dyDescent="0.25">
      <c r="A396" s="182"/>
      <c r="B396" s="182"/>
      <c r="C396" s="171"/>
      <c r="D396" s="171"/>
      <c r="E396" s="160"/>
      <c r="F396" s="171"/>
      <c r="G396" s="171"/>
      <c r="H396"/>
      <c r="I396" s="171"/>
      <c r="J396"/>
      <c r="K396"/>
      <c r="L396" s="247"/>
      <c r="M396" s="247"/>
      <c r="N396" s="171"/>
      <c r="O396" s="160"/>
      <c r="P396" s="171"/>
      <c r="Q396" s="160"/>
      <c r="R396" s="160"/>
      <c r="S396" s="171"/>
      <c r="T396" s="171"/>
      <c r="Y396" s="171"/>
      <c r="Z396" s="171"/>
      <c r="AA396" s="171"/>
      <c r="AB396" s="171"/>
      <c r="AC396" s="171"/>
      <c r="AD396" s="171"/>
      <c r="AE396" s="171"/>
      <c r="AF396" s="171"/>
      <c r="AN396" s="171"/>
      <c r="AO396" s="171"/>
      <c r="AP396" s="171"/>
      <c r="AQ396" s="171"/>
      <c r="AR396" s="171"/>
      <c r="AS396" s="171"/>
      <c r="AT396" s="171"/>
      <c r="AU396" s="171"/>
      <c r="AX396" s="171"/>
      <c r="AY396" s="171"/>
      <c r="BA396" s="171"/>
      <c r="BB396" s="171"/>
      <c r="BF396" s="171"/>
      <c r="BH396" s="171"/>
    </row>
    <row r="397" spans="1:102" x14ac:dyDescent="0.25">
      <c r="A397" s="182"/>
      <c r="B397" s="182"/>
      <c r="C397" s="171"/>
      <c r="D397" s="171"/>
      <c r="E397" s="160"/>
      <c r="F397" s="171"/>
      <c r="G397" s="171"/>
      <c r="H397"/>
      <c r="I397" s="171"/>
      <c r="J397"/>
      <c r="K397"/>
      <c r="L397" s="247"/>
      <c r="M397" s="247"/>
      <c r="N397" s="171"/>
      <c r="O397" s="160"/>
      <c r="P397" s="171"/>
      <c r="Q397" s="160"/>
      <c r="R397" s="160"/>
      <c r="S397" s="171"/>
      <c r="T397" s="171"/>
      <c r="Y397" s="171"/>
      <c r="Z397" s="171"/>
      <c r="AA397" s="171"/>
      <c r="AB397" s="171"/>
      <c r="AC397" s="171"/>
      <c r="AD397" s="171"/>
      <c r="AE397" s="171"/>
      <c r="AF397" s="171"/>
      <c r="AN397" s="171"/>
      <c r="AO397" s="171"/>
      <c r="AP397" s="171"/>
      <c r="AQ397" s="171"/>
      <c r="AR397" s="171"/>
      <c r="AS397" s="171"/>
      <c r="AT397" s="171"/>
      <c r="AU397" s="171"/>
      <c r="AX397" s="171"/>
      <c r="AY397" s="171"/>
      <c r="BA397" s="171"/>
      <c r="BB397" s="171"/>
      <c r="BF397" s="171"/>
      <c r="BH397" s="171"/>
    </row>
    <row r="398" spans="1:102" x14ac:dyDescent="0.25">
      <c r="A398" s="182"/>
      <c r="B398" s="182"/>
      <c r="C398" s="171"/>
      <c r="D398" s="171"/>
      <c r="E398" s="160"/>
      <c r="F398" s="171"/>
      <c r="G398" s="171"/>
      <c r="H398"/>
      <c r="I398" s="171"/>
      <c r="J398"/>
      <c r="K398"/>
      <c r="L398" s="247"/>
      <c r="M398" s="247"/>
      <c r="N398" s="171"/>
      <c r="O398" s="160"/>
      <c r="P398" s="171"/>
      <c r="Q398" s="160"/>
      <c r="R398" s="160"/>
      <c r="S398" s="171"/>
      <c r="T398" s="171"/>
      <c r="Y398" s="171"/>
      <c r="Z398" s="171"/>
      <c r="AA398" s="171"/>
      <c r="AB398" s="171"/>
      <c r="AC398" s="171"/>
      <c r="AD398" s="171"/>
      <c r="AE398" s="171"/>
      <c r="AF398" s="171"/>
      <c r="AN398" s="171"/>
      <c r="AO398" s="171"/>
      <c r="AP398" s="171"/>
      <c r="AQ398" s="171"/>
      <c r="AR398" s="171"/>
      <c r="AS398" s="171"/>
      <c r="AT398" s="171"/>
      <c r="AU398" s="171"/>
      <c r="AX398" s="171"/>
      <c r="AY398" s="171"/>
      <c r="BA398" s="171"/>
      <c r="BB398" s="171"/>
      <c r="BF398" s="171"/>
      <c r="BH398" s="171"/>
    </row>
    <row r="399" spans="1:102" x14ac:dyDescent="0.25">
      <c r="A399" s="182"/>
      <c r="B399" s="182"/>
      <c r="C399" s="171"/>
      <c r="D399" s="171"/>
      <c r="E399" s="160"/>
      <c r="F399" s="171"/>
      <c r="G399" s="171"/>
      <c r="H399"/>
      <c r="I399" s="171"/>
      <c r="J399"/>
      <c r="K399"/>
      <c r="L399" s="247"/>
      <c r="M399" s="247"/>
      <c r="N399" s="171"/>
      <c r="O399" s="160"/>
      <c r="P399" s="171"/>
      <c r="Q399" s="160"/>
      <c r="R399" s="160"/>
      <c r="S399" s="171"/>
      <c r="T399" s="171"/>
      <c r="Y399" s="171"/>
      <c r="Z399" s="171"/>
      <c r="AA399" s="171"/>
      <c r="AB399" s="171"/>
      <c r="AC399" s="171"/>
      <c r="AD399" s="171"/>
      <c r="AE399" s="171"/>
      <c r="AF399" s="171"/>
      <c r="AN399" s="171"/>
      <c r="AO399" s="171"/>
      <c r="AP399" s="171"/>
      <c r="AQ399" s="171"/>
      <c r="AR399" s="171"/>
      <c r="AS399" s="171"/>
      <c r="AT399" s="171"/>
      <c r="AU399" s="171"/>
      <c r="AX399" s="171"/>
      <c r="AY399" s="171"/>
      <c r="BA399" s="171"/>
      <c r="BB399" s="171"/>
      <c r="BF399" s="171"/>
      <c r="BH399" s="171"/>
    </row>
    <row r="400" spans="1:102" x14ac:dyDescent="0.25">
      <c r="A400" s="182"/>
      <c r="B400" s="182"/>
      <c r="C400" s="171"/>
      <c r="D400" s="171"/>
      <c r="E400" s="160"/>
      <c r="F400" s="171"/>
      <c r="G400" s="171"/>
      <c r="H400"/>
      <c r="I400" s="171"/>
      <c r="J400"/>
      <c r="K400"/>
      <c r="L400" s="247"/>
      <c r="M400" s="247"/>
      <c r="N400" s="171"/>
      <c r="O400" s="160"/>
      <c r="P400" s="171"/>
      <c r="Q400" s="160"/>
      <c r="R400" s="160"/>
      <c r="S400" s="171"/>
      <c r="T400" s="171"/>
      <c r="Y400" s="171"/>
      <c r="Z400" s="171"/>
      <c r="AA400" s="171"/>
      <c r="AB400" s="171"/>
      <c r="AC400" s="171"/>
      <c r="AD400" s="171"/>
      <c r="AE400" s="171"/>
      <c r="AF400" s="171"/>
      <c r="AN400" s="171"/>
      <c r="AO400" s="171"/>
      <c r="AP400" s="171"/>
      <c r="AQ400" s="171"/>
      <c r="AR400" s="171"/>
      <c r="AS400" s="171"/>
      <c r="AT400" s="171"/>
      <c r="AU400" s="171"/>
      <c r="AX400" s="171"/>
      <c r="BA400" s="171"/>
      <c r="BB400" s="171"/>
      <c r="BF400" s="171"/>
      <c r="BH400" s="171"/>
    </row>
    <row r="401" spans="1:102" x14ac:dyDescent="0.25">
      <c r="A401" s="182"/>
      <c r="B401" s="182"/>
      <c r="C401" s="171"/>
      <c r="D401" s="171"/>
      <c r="E401" s="160"/>
      <c r="F401" s="171"/>
      <c r="G401" s="171"/>
      <c r="H401"/>
      <c r="I401" s="171"/>
      <c r="J401"/>
      <c r="K401"/>
      <c r="L401" s="247"/>
      <c r="M401" s="247"/>
      <c r="N401" s="171"/>
      <c r="O401" s="160"/>
      <c r="P401" s="171"/>
      <c r="Q401" s="160"/>
      <c r="R401" s="160"/>
      <c r="S401" s="171"/>
      <c r="T401" s="171"/>
      <c r="Y401" s="171"/>
      <c r="Z401" s="171"/>
      <c r="AA401" s="171"/>
      <c r="AB401" s="171"/>
      <c r="AC401" s="171"/>
      <c r="AD401" s="171"/>
      <c r="AE401" s="171"/>
      <c r="AF401" s="171"/>
      <c r="AN401" s="171"/>
      <c r="AO401" s="171"/>
      <c r="AP401" s="171"/>
      <c r="AQ401" s="171"/>
      <c r="AR401" s="171"/>
      <c r="AS401" s="171"/>
      <c r="AT401" s="171"/>
      <c r="AU401" s="171"/>
      <c r="AX401" s="171"/>
      <c r="AY401" s="171"/>
      <c r="BA401" s="171"/>
      <c r="BB401" s="171"/>
      <c r="BF401" s="171"/>
      <c r="BH401" s="171"/>
    </row>
    <row r="402" spans="1:102" x14ac:dyDescent="0.25">
      <c r="A402" s="182"/>
      <c r="B402" s="182"/>
      <c r="C402" s="171"/>
      <c r="D402" s="171"/>
      <c r="E402" s="160"/>
      <c r="F402" s="171"/>
      <c r="G402" s="171"/>
      <c r="H402"/>
      <c r="I402" s="171"/>
      <c r="J402"/>
      <c r="K402"/>
      <c r="L402" s="247"/>
      <c r="M402" s="247"/>
      <c r="N402" s="171"/>
      <c r="O402" s="160"/>
      <c r="P402" s="171"/>
      <c r="Q402" s="160"/>
      <c r="R402" s="160"/>
      <c r="S402" s="171"/>
      <c r="T402" s="171"/>
      <c r="Y402" s="171"/>
      <c r="Z402" s="171"/>
      <c r="AA402" s="171"/>
      <c r="AB402" s="171"/>
      <c r="AC402" s="171"/>
      <c r="AD402" s="171"/>
      <c r="AE402" s="171"/>
      <c r="AF402" s="171"/>
      <c r="AN402" s="171"/>
      <c r="AO402" s="171"/>
      <c r="AP402" s="171"/>
      <c r="AQ402" s="171"/>
      <c r="AR402" s="171"/>
      <c r="AS402" s="171"/>
      <c r="AT402" s="171"/>
      <c r="AU402" s="171"/>
      <c r="AX402" s="171"/>
      <c r="AY402" s="171"/>
      <c r="BA402" s="171"/>
      <c r="BB402" s="171"/>
      <c r="BF402" s="171"/>
      <c r="BH402" s="171"/>
    </row>
    <row r="403" spans="1:102" x14ac:dyDescent="0.25">
      <c r="A403" s="182"/>
      <c r="B403" s="182"/>
      <c r="C403" s="171"/>
      <c r="D403" s="171"/>
      <c r="E403" s="160"/>
      <c r="F403" s="171"/>
      <c r="G403" s="171"/>
      <c r="H403"/>
      <c r="I403" s="171"/>
      <c r="J403"/>
      <c r="K403"/>
      <c r="L403" s="247"/>
      <c r="M403" s="247"/>
      <c r="N403" s="171"/>
      <c r="O403" s="160"/>
      <c r="P403" s="171"/>
      <c r="Q403" s="160"/>
      <c r="R403" s="160"/>
      <c r="S403" s="171"/>
      <c r="T403" s="171"/>
      <c r="Y403" s="171"/>
      <c r="Z403" s="171"/>
      <c r="AA403" s="171"/>
      <c r="AB403" s="171"/>
      <c r="AC403" s="171"/>
      <c r="AD403" s="171"/>
      <c r="AE403" s="171"/>
      <c r="AF403" s="171"/>
      <c r="AN403" s="171"/>
      <c r="AO403" s="171"/>
      <c r="AP403" s="171"/>
      <c r="AQ403" s="171"/>
      <c r="AR403" s="171"/>
      <c r="AS403" s="171"/>
      <c r="AT403" s="171"/>
      <c r="AU403" s="171"/>
      <c r="AX403" s="171"/>
      <c r="AY403" s="171"/>
      <c r="BA403" s="171"/>
      <c r="BB403" s="171"/>
      <c r="BF403" s="171"/>
      <c r="BH403" s="171"/>
    </row>
    <row r="404" spans="1:102" x14ac:dyDescent="0.25">
      <c r="A404" s="182"/>
      <c r="B404" s="182"/>
      <c r="C404" s="171"/>
      <c r="D404" s="171"/>
      <c r="E404" s="160"/>
      <c r="F404" s="171"/>
      <c r="G404" s="171"/>
      <c r="H404"/>
      <c r="I404" s="171"/>
      <c r="J404"/>
      <c r="K404"/>
      <c r="L404" s="247"/>
      <c r="M404" s="247"/>
      <c r="N404" s="171"/>
      <c r="O404" s="160"/>
      <c r="P404" s="171"/>
      <c r="Q404" s="160"/>
      <c r="R404" s="160"/>
      <c r="S404" s="171"/>
      <c r="T404" s="171"/>
      <c r="Y404" s="171"/>
      <c r="Z404" s="171"/>
      <c r="AA404" s="171"/>
      <c r="AB404" s="171"/>
      <c r="AC404" s="171"/>
      <c r="AD404" s="171"/>
      <c r="AE404" s="171"/>
      <c r="AF404" s="171"/>
      <c r="AN404" s="171"/>
      <c r="AO404" s="171"/>
      <c r="AP404" s="171"/>
      <c r="AQ404" s="171"/>
      <c r="AR404" s="171"/>
      <c r="AS404" s="171"/>
      <c r="AT404" s="171"/>
      <c r="AU404" s="171"/>
      <c r="AX404" s="171"/>
      <c r="AY404" s="171"/>
      <c r="BA404" s="171"/>
      <c r="BB404" s="171"/>
      <c r="BF404" s="171"/>
      <c r="BH404" s="171"/>
    </row>
    <row r="405" spans="1:102" x14ac:dyDescent="0.25">
      <c r="A405" s="182"/>
      <c r="B405" s="182"/>
      <c r="C405" s="171"/>
      <c r="D405" s="171"/>
      <c r="E405" s="160"/>
      <c r="F405" s="171"/>
      <c r="G405" s="171"/>
      <c r="H405"/>
      <c r="I405" s="171"/>
      <c r="J405"/>
      <c r="K405"/>
      <c r="L405" s="247"/>
      <c r="M405" s="247"/>
      <c r="N405" s="171"/>
      <c r="O405" s="160"/>
      <c r="P405" s="171"/>
      <c r="Q405" s="160"/>
      <c r="R405" s="160"/>
      <c r="S405" s="171"/>
      <c r="T405" s="171"/>
      <c r="Y405" s="171"/>
      <c r="Z405" s="171"/>
      <c r="AA405" s="171"/>
      <c r="AB405" s="171"/>
      <c r="AC405" s="171"/>
      <c r="AD405" s="171"/>
      <c r="AE405" s="171"/>
      <c r="AF405" s="171"/>
      <c r="AN405" s="171"/>
      <c r="AO405" s="171"/>
      <c r="AP405" s="171"/>
      <c r="AQ405" s="171"/>
      <c r="AR405" s="171"/>
      <c r="AS405" s="171"/>
      <c r="AT405" s="171"/>
      <c r="AU405" s="171"/>
      <c r="AX405" s="171"/>
      <c r="AY405" s="171"/>
      <c r="BA405" s="171"/>
      <c r="BB405" s="171"/>
      <c r="BF405" s="171"/>
      <c r="BH405" s="171"/>
    </row>
    <row r="406" spans="1:102" x14ac:dyDescent="0.25">
      <c r="A406" s="182"/>
      <c r="B406" s="182"/>
      <c r="C406" s="171"/>
      <c r="D406" s="171"/>
      <c r="E406" s="160"/>
      <c r="F406" s="171"/>
      <c r="G406" s="171"/>
      <c r="H406"/>
      <c r="I406" s="171"/>
      <c r="J406"/>
      <c r="K406"/>
      <c r="L406" s="247"/>
      <c r="M406" s="247"/>
      <c r="N406" s="171"/>
      <c r="O406" s="160"/>
      <c r="P406" s="171"/>
      <c r="Q406" s="160"/>
      <c r="R406" s="160"/>
      <c r="S406" s="171"/>
      <c r="T406" s="171"/>
      <c r="Y406" s="171"/>
      <c r="Z406" s="171"/>
      <c r="AA406" s="171"/>
      <c r="AB406" s="171"/>
      <c r="AC406" s="171"/>
      <c r="AD406" s="171"/>
      <c r="AE406" s="171"/>
      <c r="AF406" s="171"/>
      <c r="AN406" s="171"/>
      <c r="AO406" s="171"/>
      <c r="AP406" s="171"/>
      <c r="AQ406" s="171"/>
      <c r="AR406" s="171"/>
      <c r="AS406" s="171"/>
      <c r="AT406" s="171"/>
      <c r="AU406" s="171"/>
      <c r="AX406" s="171"/>
      <c r="AY406" s="171"/>
      <c r="BA406" s="171"/>
      <c r="BB406" s="171"/>
      <c r="BF406" s="171"/>
      <c r="BH406" s="171"/>
    </row>
    <row r="407" spans="1:102" x14ac:dyDescent="0.25">
      <c r="A407" s="182"/>
      <c r="B407" s="182"/>
      <c r="C407" s="171"/>
      <c r="D407" s="171"/>
      <c r="E407" s="160"/>
      <c r="F407" s="171"/>
      <c r="G407" s="171"/>
      <c r="H407" s="171"/>
      <c r="I407" s="171"/>
      <c r="J407" s="171"/>
      <c r="K407" s="171"/>
      <c r="L407" s="629"/>
      <c r="M407" s="629"/>
      <c r="N407" s="171"/>
      <c r="O407" s="160"/>
      <c r="P407" s="171"/>
      <c r="Q407" s="160"/>
      <c r="R407" s="160"/>
      <c r="S407" s="171"/>
      <c r="T407" s="171"/>
      <c r="Y407" s="171"/>
      <c r="Z407" s="171"/>
      <c r="AA407" s="171"/>
      <c r="AB407" s="171"/>
      <c r="AC407" s="171"/>
      <c r="AD407" s="171"/>
      <c r="AE407" s="171"/>
      <c r="AF407" s="171"/>
      <c r="AN407" s="171"/>
      <c r="AO407" s="171"/>
      <c r="AP407" s="171"/>
      <c r="AQ407" s="171"/>
      <c r="AR407" s="171"/>
      <c r="AS407" s="171"/>
      <c r="AT407" s="171"/>
      <c r="AU407" s="171"/>
      <c r="AX407" s="171"/>
      <c r="AY407" s="171"/>
      <c r="AZ407" s="171"/>
      <c r="BA407" s="171"/>
      <c r="BB407" s="171"/>
      <c r="BC407" s="171"/>
      <c r="BD407" s="171"/>
      <c r="BF407" s="171"/>
      <c r="BH407" s="171"/>
      <c r="BI407" s="168"/>
      <c r="BL407" s="168"/>
      <c r="BM407" s="168"/>
      <c r="BN407" s="168"/>
      <c r="BO407" s="168"/>
      <c r="BP407" s="168"/>
      <c r="BQ407" s="168"/>
      <c r="BR407" s="168"/>
      <c r="BS407" s="168"/>
      <c r="BT407" s="168"/>
      <c r="BU407" s="168"/>
      <c r="BV407" s="168"/>
      <c r="BW407" s="168"/>
      <c r="BX407" s="168"/>
      <c r="BY407" s="168"/>
      <c r="BZ407" s="168"/>
      <c r="CA407" s="168"/>
      <c r="CB407" s="168"/>
      <c r="CC407" s="168"/>
      <c r="CD407" s="168"/>
      <c r="CE407" s="168"/>
      <c r="CF407" s="168"/>
      <c r="CG407" s="168"/>
      <c r="CH407" s="168"/>
      <c r="CI407" s="168"/>
      <c r="CJ407" s="168"/>
      <c r="CK407" s="168"/>
      <c r="CL407" s="168"/>
      <c r="CM407" s="168"/>
      <c r="CN407" s="168"/>
      <c r="CO407" s="168"/>
      <c r="CP407" s="168"/>
      <c r="CQ407" s="168"/>
      <c r="CR407" s="168"/>
      <c r="CS407" s="168"/>
      <c r="CT407" s="168"/>
      <c r="CU407" s="168"/>
      <c r="CV407" s="168"/>
      <c r="CW407" s="168"/>
      <c r="CX407" s="168"/>
    </row>
    <row r="408" spans="1:102" x14ac:dyDescent="0.25">
      <c r="A408" s="182"/>
      <c r="B408" s="182"/>
      <c r="C408" s="171"/>
      <c r="D408" s="171"/>
      <c r="E408" s="160"/>
      <c r="F408" s="171"/>
      <c r="G408" s="171"/>
      <c r="H408"/>
      <c r="I408" s="171"/>
      <c r="J408"/>
      <c r="K408"/>
      <c r="L408" s="247"/>
      <c r="M408" s="247"/>
      <c r="N408" s="171"/>
      <c r="O408" s="160"/>
      <c r="P408" s="171"/>
      <c r="Q408" s="160"/>
      <c r="R408" s="160"/>
      <c r="S408" s="171"/>
      <c r="T408" s="171"/>
      <c r="Y408" s="171"/>
      <c r="Z408" s="171"/>
      <c r="AA408" s="171"/>
      <c r="AB408" s="171"/>
      <c r="AC408" s="171"/>
      <c r="AD408" s="171"/>
      <c r="AE408" s="171"/>
      <c r="AF408" s="171"/>
      <c r="AN408" s="171"/>
      <c r="AO408" s="171"/>
      <c r="AP408" s="171"/>
      <c r="AQ408" s="171"/>
      <c r="AR408" s="171"/>
      <c r="AS408" s="171"/>
      <c r="AT408" s="171"/>
      <c r="AU408" s="171"/>
      <c r="AX408" s="171"/>
      <c r="AY408" s="171"/>
      <c r="BA408" s="171"/>
      <c r="BB408" s="171"/>
      <c r="BF408" s="171"/>
      <c r="BH408" s="171"/>
    </row>
    <row r="409" spans="1:102" x14ac:dyDescent="0.25">
      <c r="A409" s="182"/>
      <c r="B409" s="182"/>
      <c r="C409" s="171"/>
      <c r="D409" s="171"/>
      <c r="E409" s="160"/>
      <c r="F409" s="171"/>
      <c r="G409" s="171"/>
      <c r="H409"/>
      <c r="I409" s="171"/>
      <c r="J409"/>
      <c r="K409"/>
      <c r="L409" s="247"/>
      <c r="M409" s="247"/>
      <c r="N409" s="171"/>
      <c r="O409" s="160"/>
      <c r="P409" s="171"/>
      <c r="Q409" s="160"/>
      <c r="R409" s="160"/>
      <c r="S409" s="171"/>
      <c r="T409" s="171"/>
      <c r="Y409" s="171"/>
      <c r="Z409" s="171"/>
      <c r="AA409" s="171"/>
      <c r="AB409" s="171"/>
      <c r="AC409" s="171"/>
      <c r="AD409" s="171"/>
      <c r="AE409" s="171"/>
      <c r="AF409" s="171"/>
      <c r="AN409" s="171"/>
      <c r="AO409" s="171"/>
      <c r="AP409" s="171"/>
      <c r="AQ409" s="171"/>
      <c r="AR409" s="171"/>
      <c r="AS409" s="171"/>
      <c r="AT409" s="171"/>
      <c r="AU409" s="171"/>
      <c r="AX409" s="171"/>
      <c r="AY409" s="171"/>
      <c r="BA409" s="171"/>
      <c r="BB409" s="171"/>
      <c r="BF409" s="171"/>
      <c r="BH409" s="171"/>
    </row>
    <row r="410" spans="1:102" x14ac:dyDescent="0.25">
      <c r="A410" s="182"/>
      <c r="B410" s="182"/>
      <c r="C410" s="171"/>
      <c r="D410" s="171"/>
      <c r="E410" s="160"/>
      <c r="F410" s="171"/>
      <c r="G410" s="171"/>
      <c r="H410"/>
      <c r="I410" s="171"/>
      <c r="J410"/>
      <c r="K410"/>
      <c r="L410" s="247"/>
      <c r="M410" s="247"/>
      <c r="N410" s="171"/>
      <c r="O410" s="160"/>
      <c r="P410" s="171"/>
      <c r="Q410" s="160"/>
      <c r="R410" s="160"/>
      <c r="S410" s="171"/>
      <c r="T410" s="171"/>
      <c r="Y410" s="171"/>
      <c r="Z410" s="171"/>
      <c r="AA410" s="171"/>
      <c r="AB410" s="171"/>
      <c r="AC410" s="171"/>
      <c r="AD410" s="171"/>
      <c r="AE410" s="171"/>
      <c r="AF410" s="171"/>
      <c r="AN410" s="171"/>
      <c r="AO410" s="171"/>
      <c r="AP410" s="171"/>
      <c r="AQ410" s="171"/>
      <c r="AR410" s="171"/>
      <c r="AS410" s="171"/>
      <c r="AT410" s="171"/>
      <c r="AU410" s="171"/>
      <c r="AX410" s="171"/>
      <c r="AY410" s="171"/>
      <c r="BA410" s="171"/>
      <c r="BB410" s="171"/>
      <c r="BF410" s="171"/>
      <c r="BH410" s="171"/>
    </row>
    <row r="411" spans="1:102" x14ac:dyDescent="0.25">
      <c r="A411" s="182"/>
      <c r="B411" s="182"/>
      <c r="C411" s="171"/>
      <c r="D411" s="171"/>
      <c r="E411" s="160"/>
      <c r="F411" s="171"/>
      <c r="G411" s="171"/>
      <c r="H411" s="171"/>
      <c r="I411" s="171"/>
      <c r="J411"/>
      <c r="K411"/>
      <c r="L411" s="247"/>
      <c r="M411" s="247"/>
      <c r="N411" s="171"/>
      <c r="O411" s="160"/>
      <c r="P411" s="171"/>
      <c r="Q411" s="160"/>
      <c r="R411" s="160"/>
      <c r="S411" s="171"/>
      <c r="T411" s="171"/>
      <c r="Y411" s="171"/>
      <c r="Z411" s="171"/>
      <c r="AA411" s="171"/>
      <c r="AB411" s="171"/>
      <c r="AC411" s="171"/>
      <c r="AD411" s="171"/>
      <c r="AE411" s="171"/>
      <c r="AF411" s="171"/>
      <c r="AN411" s="171"/>
      <c r="AO411" s="171"/>
      <c r="AP411" s="171"/>
      <c r="AQ411" s="171"/>
      <c r="AR411" s="171"/>
      <c r="AS411" s="171"/>
      <c r="AT411" s="171"/>
      <c r="AU411" s="171"/>
      <c r="AX411" s="171"/>
      <c r="AY411" s="171"/>
      <c r="AZ411" s="171"/>
      <c r="BA411" s="171"/>
      <c r="BB411" s="171"/>
      <c r="BF411" s="171"/>
      <c r="BH411" s="171"/>
    </row>
    <row r="412" spans="1:102" x14ac:dyDescent="0.25">
      <c r="A412" s="182"/>
      <c r="B412" s="182"/>
      <c r="C412" s="171"/>
      <c r="D412" s="171"/>
      <c r="E412" s="160"/>
      <c r="F412" s="171"/>
      <c r="G412" s="171"/>
      <c r="H412"/>
      <c r="I412" s="171"/>
      <c r="J412"/>
      <c r="K412"/>
      <c r="L412" s="247"/>
      <c r="M412" s="247"/>
      <c r="N412" s="171"/>
      <c r="O412" s="160"/>
      <c r="P412" s="171"/>
      <c r="Q412" s="160"/>
      <c r="R412" s="160"/>
      <c r="S412" s="171"/>
      <c r="T412" s="171"/>
      <c r="Y412" s="171"/>
      <c r="Z412" s="171"/>
      <c r="AA412" s="171"/>
      <c r="AB412" s="171"/>
      <c r="AC412" s="171"/>
      <c r="AD412" s="171"/>
      <c r="AE412" s="171"/>
      <c r="AF412" s="171"/>
      <c r="AN412" s="171"/>
      <c r="AO412" s="171"/>
      <c r="AP412" s="171"/>
      <c r="AQ412" s="171"/>
      <c r="AR412" s="171"/>
      <c r="AS412" s="171"/>
      <c r="AT412" s="171"/>
      <c r="AU412" s="171"/>
      <c r="AX412" s="171"/>
      <c r="AY412" s="171"/>
      <c r="BA412" s="171"/>
      <c r="BB412" s="171"/>
      <c r="BF412" s="171"/>
      <c r="BH412" s="171"/>
    </row>
    <row r="413" spans="1:102" x14ac:dyDescent="0.25">
      <c r="A413" s="182"/>
      <c r="B413" s="182"/>
      <c r="C413" s="171"/>
      <c r="D413" s="171"/>
      <c r="E413" s="160"/>
      <c r="F413" s="171"/>
      <c r="G413" s="171"/>
      <c r="H413" s="171"/>
      <c r="I413" s="171"/>
      <c r="J413" s="171"/>
      <c r="K413" s="171"/>
      <c r="L413" s="629"/>
      <c r="M413" s="629"/>
      <c r="N413" s="171"/>
      <c r="O413" s="160"/>
      <c r="P413" s="171"/>
      <c r="Q413" s="160"/>
      <c r="R413" s="160"/>
      <c r="S413" s="171"/>
      <c r="T413" s="171"/>
      <c r="Y413" s="171"/>
      <c r="Z413" s="171"/>
      <c r="AA413" s="171"/>
      <c r="AB413" s="171"/>
      <c r="AC413" s="171"/>
      <c r="AD413" s="171"/>
      <c r="AE413" s="171"/>
      <c r="AF413" s="171"/>
      <c r="AN413" s="171"/>
      <c r="AO413" s="171"/>
      <c r="AP413" s="171"/>
      <c r="AQ413" s="171"/>
      <c r="AR413" s="171"/>
      <c r="AS413" s="171"/>
      <c r="AT413" s="171"/>
      <c r="AU413" s="171"/>
      <c r="AX413" s="171"/>
      <c r="AY413" s="171"/>
      <c r="AZ413" s="171"/>
      <c r="BA413" s="171"/>
      <c r="BB413" s="171"/>
      <c r="BC413" s="171"/>
      <c r="BD413" s="171"/>
      <c r="BF413" s="171"/>
      <c r="BH413" s="171"/>
      <c r="BI413" s="168"/>
      <c r="BL413" s="168"/>
      <c r="BM413" s="168"/>
      <c r="BN413" s="168"/>
      <c r="BO413" s="168"/>
      <c r="BP413" s="168"/>
      <c r="BQ413" s="168"/>
      <c r="BR413" s="168"/>
      <c r="BS413" s="168"/>
      <c r="BT413" s="168"/>
      <c r="BU413" s="168"/>
      <c r="BV413" s="168"/>
      <c r="BW413" s="168"/>
      <c r="BX413" s="168"/>
      <c r="BY413" s="168"/>
      <c r="BZ413" s="168"/>
      <c r="CA413" s="168"/>
      <c r="CB413" s="168"/>
      <c r="CC413" s="168"/>
      <c r="CD413" s="168"/>
      <c r="CE413" s="168"/>
      <c r="CF413" s="168"/>
      <c r="CG413" s="168"/>
      <c r="CH413" s="168"/>
      <c r="CI413" s="168"/>
      <c r="CJ413" s="168"/>
      <c r="CK413" s="168"/>
      <c r="CL413" s="168"/>
      <c r="CM413" s="168"/>
      <c r="CN413" s="168"/>
      <c r="CO413" s="168"/>
      <c r="CP413" s="168"/>
      <c r="CQ413" s="168"/>
      <c r="CR413" s="168"/>
      <c r="CS413" s="168"/>
      <c r="CT413" s="168"/>
      <c r="CU413" s="168"/>
      <c r="CV413" s="168"/>
      <c r="CW413" s="168"/>
      <c r="CX413" s="168"/>
    </row>
    <row r="414" spans="1:102" x14ac:dyDescent="0.25">
      <c r="A414" s="182"/>
      <c r="B414" s="182"/>
      <c r="C414" s="171"/>
      <c r="D414" s="171"/>
      <c r="E414" s="160"/>
      <c r="F414" s="171"/>
      <c r="G414" s="171"/>
      <c r="H414"/>
      <c r="I414" s="171"/>
      <c r="J414"/>
      <c r="K414"/>
      <c r="L414" s="247"/>
      <c r="M414" s="247"/>
      <c r="N414" s="171"/>
      <c r="O414" s="160"/>
      <c r="P414" s="171"/>
      <c r="Q414" s="160"/>
      <c r="R414" s="160"/>
      <c r="S414" s="171"/>
      <c r="T414" s="171"/>
      <c r="Y414" s="171"/>
      <c r="Z414" s="171"/>
      <c r="AA414" s="171"/>
      <c r="AB414" s="171"/>
      <c r="AC414" s="171"/>
      <c r="AD414" s="171"/>
      <c r="AE414" s="171"/>
      <c r="AF414" s="171"/>
      <c r="AN414" s="171"/>
      <c r="AO414" s="171"/>
      <c r="AP414" s="171"/>
      <c r="AQ414" s="171"/>
      <c r="AR414" s="171"/>
      <c r="AS414" s="171"/>
      <c r="AT414" s="171"/>
      <c r="AU414" s="171"/>
      <c r="AX414" s="171"/>
      <c r="AY414" s="171"/>
      <c r="BA414" s="171"/>
      <c r="BB414" s="171"/>
      <c r="BF414" s="171"/>
      <c r="BH414" s="171"/>
    </row>
    <row r="415" spans="1:102" x14ac:dyDescent="0.25">
      <c r="A415" s="182"/>
      <c r="B415" s="182"/>
      <c r="C415" s="171"/>
      <c r="D415" s="171"/>
      <c r="E415" s="160"/>
      <c r="F415" s="171"/>
      <c r="G415" s="171"/>
      <c r="H415"/>
      <c r="I415" s="171"/>
      <c r="J415"/>
      <c r="K415"/>
      <c r="L415" s="247"/>
      <c r="M415" s="247"/>
      <c r="N415" s="171"/>
      <c r="O415" s="160"/>
      <c r="P415" s="171"/>
      <c r="Q415" s="160"/>
      <c r="R415" s="160"/>
      <c r="S415" s="171"/>
      <c r="T415" s="171"/>
      <c r="Y415" s="171"/>
      <c r="Z415" s="171"/>
      <c r="AA415" s="171"/>
      <c r="AB415" s="171"/>
      <c r="AC415" s="171"/>
      <c r="AD415" s="171"/>
      <c r="AE415" s="171"/>
      <c r="AF415" s="171"/>
      <c r="AN415" s="171"/>
      <c r="AO415" s="171"/>
      <c r="AP415" s="171"/>
      <c r="AQ415" s="171"/>
      <c r="AR415" s="171"/>
      <c r="AS415" s="171"/>
      <c r="AT415" s="171"/>
      <c r="AU415" s="171"/>
      <c r="AX415" s="171"/>
      <c r="AY415" s="171"/>
      <c r="BA415" s="171"/>
      <c r="BB415" s="171"/>
      <c r="BF415" s="171"/>
      <c r="BH415" s="171"/>
    </row>
    <row r="416" spans="1:102" x14ac:dyDescent="0.25">
      <c r="A416" s="182"/>
      <c r="B416" s="182"/>
      <c r="C416" s="171"/>
      <c r="D416" s="171"/>
      <c r="E416" s="160"/>
      <c r="F416" s="171"/>
      <c r="G416" s="171"/>
      <c r="H416" s="171"/>
      <c r="I416" s="171"/>
      <c r="J416"/>
      <c r="K416"/>
      <c r="L416" s="247"/>
      <c r="M416" s="247"/>
      <c r="N416" s="171"/>
      <c r="O416" s="160"/>
      <c r="P416" s="171"/>
      <c r="Q416" s="160"/>
      <c r="R416" s="160"/>
      <c r="S416" s="171"/>
      <c r="T416" s="171"/>
      <c r="Y416" s="171"/>
      <c r="Z416" s="171"/>
      <c r="AA416" s="171"/>
      <c r="AB416" s="171"/>
      <c r="AC416" s="171"/>
      <c r="AD416" s="171"/>
      <c r="AE416" s="171"/>
      <c r="AF416" s="171"/>
      <c r="AN416" s="171"/>
      <c r="AO416" s="171"/>
      <c r="AP416" s="171"/>
      <c r="AQ416" s="171"/>
      <c r="AR416" s="171"/>
      <c r="AS416" s="171"/>
      <c r="AT416" s="171"/>
      <c r="AU416" s="171"/>
      <c r="AX416" s="171"/>
      <c r="AY416" s="171"/>
      <c r="AZ416" s="171"/>
      <c r="BA416" s="171"/>
      <c r="BB416" s="171"/>
      <c r="BF416" s="171"/>
      <c r="BH416" s="171"/>
    </row>
    <row r="417" spans="1:102" x14ac:dyDescent="0.25">
      <c r="A417" s="182"/>
      <c r="B417" s="182"/>
      <c r="C417" s="171"/>
      <c r="D417" s="171"/>
      <c r="E417" s="160"/>
      <c r="F417" s="171"/>
      <c r="G417" s="171"/>
      <c r="H417"/>
      <c r="I417" s="171"/>
      <c r="J417"/>
      <c r="K417"/>
      <c r="L417" s="247"/>
      <c r="M417" s="247"/>
      <c r="N417" s="171"/>
      <c r="O417" s="160"/>
      <c r="P417" s="171"/>
      <c r="Q417" s="160"/>
      <c r="R417" s="160"/>
      <c r="S417" s="171"/>
      <c r="T417" s="171"/>
      <c r="Y417" s="171"/>
      <c r="Z417" s="171"/>
      <c r="AA417" s="171"/>
      <c r="AB417" s="171"/>
      <c r="AC417" s="171"/>
      <c r="AD417" s="171"/>
      <c r="AE417" s="171"/>
      <c r="AF417" s="171"/>
      <c r="AN417" s="171"/>
      <c r="AO417" s="171"/>
      <c r="AP417" s="171"/>
      <c r="AQ417" s="171"/>
      <c r="AR417" s="171"/>
      <c r="AS417" s="171"/>
      <c r="AT417" s="171"/>
      <c r="AU417" s="171"/>
      <c r="AX417" s="171"/>
      <c r="AY417" s="171"/>
      <c r="BA417" s="171"/>
      <c r="BB417" s="171"/>
      <c r="BF417" s="171"/>
      <c r="BH417" s="171"/>
    </row>
    <row r="418" spans="1:102" x14ac:dyDescent="0.25">
      <c r="A418" s="182"/>
      <c r="B418" s="182"/>
      <c r="C418" s="171"/>
      <c r="D418" s="171"/>
      <c r="E418" s="160"/>
      <c r="F418" s="171"/>
      <c r="G418" s="171"/>
      <c r="H418"/>
      <c r="I418" s="171"/>
      <c r="J418"/>
      <c r="K418"/>
      <c r="L418" s="247"/>
      <c r="M418" s="247"/>
      <c r="N418" s="171"/>
      <c r="O418" s="160"/>
      <c r="P418" s="171"/>
      <c r="Q418" s="160"/>
      <c r="R418" s="160"/>
      <c r="S418" s="171"/>
      <c r="T418" s="171"/>
      <c r="Y418" s="171"/>
      <c r="Z418" s="171"/>
      <c r="AA418" s="171"/>
      <c r="AB418" s="171"/>
      <c r="AC418" s="171"/>
      <c r="AD418" s="171"/>
      <c r="AE418" s="171"/>
      <c r="AF418" s="171"/>
      <c r="AN418" s="171"/>
      <c r="AO418" s="171"/>
      <c r="AP418" s="171"/>
      <c r="AQ418" s="171"/>
      <c r="AR418" s="171"/>
      <c r="AS418" s="171"/>
      <c r="AT418" s="171"/>
      <c r="AU418" s="171"/>
      <c r="AX418" s="171"/>
      <c r="AY418" s="171"/>
      <c r="BA418" s="171"/>
      <c r="BB418" s="171"/>
      <c r="BF418" s="171"/>
      <c r="BH418" s="171"/>
    </row>
    <row r="419" spans="1:102" x14ac:dyDescent="0.25">
      <c r="A419" s="182"/>
      <c r="B419" s="182"/>
      <c r="C419" s="171"/>
      <c r="D419" s="171"/>
      <c r="E419" s="160"/>
      <c r="F419" s="171"/>
      <c r="G419" s="171"/>
      <c r="H419" s="171"/>
      <c r="I419" s="171"/>
      <c r="J419"/>
      <c r="K419"/>
      <c r="L419" s="247"/>
      <c r="M419" s="247"/>
      <c r="N419" s="171"/>
      <c r="O419" s="160"/>
      <c r="P419" s="171"/>
      <c r="Q419" s="160"/>
      <c r="R419" s="160"/>
      <c r="S419" s="171"/>
      <c r="T419" s="171"/>
      <c r="Y419" s="171"/>
      <c r="Z419" s="171"/>
      <c r="AA419" s="171"/>
      <c r="AB419" s="171"/>
      <c r="AC419" s="171"/>
      <c r="AD419" s="171"/>
      <c r="AE419" s="171"/>
      <c r="AF419" s="171"/>
      <c r="AN419" s="171"/>
      <c r="AO419" s="171"/>
      <c r="AP419" s="171"/>
      <c r="AQ419" s="171"/>
      <c r="AR419" s="171"/>
      <c r="AS419" s="171"/>
      <c r="AT419" s="171"/>
      <c r="AU419" s="171"/>
      <c r="AX419" s="171"/>
      <c r="AY419" s="171"/>
      <c r="AZ419" s="171"/>
      <c r="BA419" s="171"/>
      <c r="BB419" s="171"/>
      <c r="BF419" s="171"/>
      <c r="BH419" s="171"/>
    </row>
    <row r="420" spans="1:102" x14ac:dyDescent="0.25">
      <c r="A420" s="182"/>
      <c r="B420" s="182"/>
      <c r="C420" s="171"/>
      <c r="D420" s="171"/>
      <c r="E420" s="160"/>
      <c r="F420" s="171"/>
      <c r="G420" s="171"/>
      <c r="H420"/>
      <c r="I420" s="171"/>
      <c r="J420"/>
      <c r="K420"/>
      <c r="L420" s="247"/>
      <c r="M420" s="247"/>
      <c r="N420" s="171"/>
      <c r="O420" s="160"/>
      <c r="P420" s="171"/>
      <c r="Q420" s="160"/>
      <c r="R420" s="160"/>
      <c r="S420" s="171"/>
      <c r="T420" s="171"/>
      <c r="Y420" s="171"/>
      <c r="Z420" s="171"/>
      <c r="AA420" s="171"/>
      <c r="AB420" s="171"/>
      <c r="AC420" s="171"/>
      <c r="AD420" s="171"/>
      <c r="AE420" s="171"/>
      <c r="AF420" s="171"/>
      <c r="AN420" s="171"/>
      <c r="AO420" s="171"/>
      <c r="AP420" s="171"/>
      <c r="AQ420" s="171"/>
      <c r="AR420" s="171"/>
      <c r="AS420" s="171"/>
      <c r="AT420" s="171"/>
      <c r="AU420" s="171"/>
      <c r="AX420" s="171"/>
      <c r="AY420" s="171"/>
      <c r="BA420" s="171"/>
      <c r="BB420" s="171"/>
      <c r="BF420" s="171"/>
      <c r="BH420" s="171"/>
    </row>
    <row r="421" spans="1:102" x14ac:dyDescent="0.25">
      <c r="A421" s="182"/>
      <c r="B421" s="182"/>
      <c r="C421" s="171"/>
      <c r="D421" s="171"/>
      <c r="E421" s="160"/>
      <c r="F421" s="171"/>
      <c r="G421" s="171"/>
      <c r="H421" s="171"/>
      <c r="I421" s="171"/>
      <c r="J421"/>
      <c r="K421"/>
      <c r="L421" s="247"/>
      <c r="M421" s="247"/>
      <c r="N421" s="171"/>
      <c r="O421" s="160"/>
      <c r="P421" s="171"/>
      <c r="Q421" s="160"/>
      <c r="R421" s="160"/>
      <c r="S421" s="171"/>
      <c r="T421" s="171"/>
      <c r="Y421" s="171"/>
      <c r="Z421" s="171"/>
      <c r="AA421" s="171"/>
      <c r="AB421" s="171"/>
      <c r="AC421" s="171"/>
      <c r="AD421" s="171"/>
      <c r="AE421" s="171"/>
      <c r="AF421" s="171"/>
      <c r="AN421" s="171"/>
      <c r="AO421" s="171"/>
      <c r="AP421" s="171"/>
      <c r="AQ421" s="171"/>
      <c r="AR421" s="171"/>
      <c r="AS421" s="171"/>
      <c r="AT421" s="171"/>
      <c r="AU421" s="171"/>
      <c r="AX421" s="171"/>
      <c r="AY421" s="171"/>
      <c r="AZ421" s="171"/>
      <c r="BA421" s="171"/>
      <c r="BB421" s="171"/>
      <c r="BF421" s="171"/>
      <c r="BH421" s="171"/>
    </row>
    <row r="422" spans="1:102" x14ac:dyDescent="0.25">
      <c r="A422" s="182"/>
      <c r="B422" s="182"/>
      <c r="C422" s="171"/>
      <c r="D422" s="171"/>
      <c r="E422" s="160"/>
      <c r="F422" s="171"/>
      <c r="G422" s="171"/>
      <c r="H422"/>
      <c r="I422" s="171"/>
      <c r="J422"/>
      <c r="K422"/>
      <c r="L422" s="247"/>
      <c r="M422" s="247"/>
      <c r="N422" s="171"/>
      <c r="O422" s="160"/>
      <c r="P422" s="171"/>
      <c r="Q422" s="160"/>
      <c r="R422" s="160"/>
      <c r="S422" s="171"/>
      <c r="T422" s="171"/>
      <c r="Y422" s="171"/>
      <c r="Z422" s="171"/>
      <c r="AA422" s="171"/>
      <c r="AB422" s="171"/>
      <c r="AC422" s="171"/>
      <c r="AD422" s="171"/>
      <c r="AE422" s="171"/>
      <c r="AF422" s="171"/>
      <c r="AN422" s="171"/>
      <c r="AO422" s="171"/>
      <c r="AP422" s="171"/>
      <c r="AQ422" s="171"/>
      <c r="AR422" s="171"/>
      <c r="AS422" s="171"/>
      <c r="AT422" s="171"/>
      <c r="AU422" s="171"/>
      <c r="AX422" s="171"/>
      <c r="AY422" s="171"/>
      <c r="BA422" s="171"/>
      <c r="BB422" s="171"/>
      <c r="BF422" s="171"/>
      <c r="BH422" s="171"/>
    </row>
    <row r="423" spans="1:102" x14ac:dyDescent="0.25">
      <c r="A423" s="182"/>
      <c r="B423" s="182"/>
      <c r="C423" s="171"/>
      <c r="D423" s="171"/>
      <c r="E423" s="160"/>
      <c r="F423" s="171"/>
      <c r="G423"/>
      <c r="H423"/>
      <c r="I423" s="171"/>
      <c r="J423"/>
      <c r="K423"/>
      <c r="L423" s="247"/>
      <c r="M423" s="247"/>
      <c r="N423" s="171"/>
      <c r="O423" s="160"/>
      <c r="P423" s="171"/>
      <c r="Q423" s="160"/>
      <c r="R423" s="160"/>
      <c r="S423" s="171"/>
      <c r="T423" s="171"/>
      <c r="Y423" s="171"/>
      <c r="Z423" s="171"/>
      <c r="AA423" s="171"/>
      <c r="AB423" s="171"/>
      <c r="AC423" s="171"/>
      <c r="AD423" s="171"/>
      <c r="AE423" s="171"/>
      <c r="AF423" s="171"/>
      <c r="AN423" s="171"/>
      <c r="AO423" s="171"/>
      <c r="AP423" s="171"/>
      <c r="AQ423" s="171"/>
      <c r="AR423" s="171"/>
      <c r="AS423" s="171"/>
      <c r="AT423" s="171"/>
      <c r="AU423" s="171"/>
      <c r="AX423" s="171"/>
      <c r="BA423" s="171"/>
      <c r="BB423" s="171"/>
      <c r="BF423" s="171"/>
      <c r="BH423" s="171"/>
    </row>
    <row r="424" spans="1:102" x14ac:dyDescent="0.25">
      <c r="A424" s="182"/>
      <c r="B424" s="182"/>
      <c r="C424" s="171"/>
      <c r="D424" s="171"/>
      <c r="E424" s="160"/>
      <c r="F424" s="171"/>
      <c r="G424" s="171"/>
      <c r="H424"/>
      <c r="I424" s="171"/>
      <c r="J424"/>
      <c r="K424"/>
      <c r="L424" s="247"/>
      <c r="M424" s="247"/>
      <c r="N424" s="171"/>
      <c r="O424" s="160"/>
      <c r="P424" s="171"/>
      <c r="Q424" s="160"/>
      <c r="R424" s="160"/>
      <c r="S424" s="171"/>
      <c r="T424" s="171"/>
      <c r="Y424" s="171"/>
      <c r="Z424" s="171"/>
      <c r="AA424" s="171"/>
      <c r="AB424" s="171"/>
      <c r="AC424" s="171"/>
      <c r="AD424" s="171"/>
      <c r="AE424" s="171"/>
      <c r="AF424" s="171"/>
      <c r="AN424" s="171"/>
      <c r="AO424" s="171"/>
      <c r="AP424" s="171"/>
      <c r="AQ424" s="171"/>
      <c r="AR424" s="171"/>
      <c r="AS424" s="171"/>
      <c r="AT424" s="171"/>
      <c r="AU424" s="171"/>
      <c r="AX424" s="171"/>
      <c r="AY424" s="171"/>
      <c r="BA424" s="171"/>
      <c r="BB424" s="171"/>
      <c r="BF424" s="171"/>
      <c r="BH424" s="171"/>
    </row>
    <row r="425" spans="1:102" x14ac:dyDescent="0.25">
      <c r="A425" s="182"/>
      <c r="B425" s="182"/>
      <c r="C425" s="171"/>
      <c r="D425" s="171"/>
      <c r="E425" s="160"/>
      <c r="F425" s="171"/>
      <c r="G425" s="171"/>
      <c r="H425"/>
      <c r="I425" s="171"/>
      <c r="J425"/>
      <c r="K425"/>
      <c r="L425" s="247"/>
      <c r="M425" s="247"/>
      <c r="N425" s="171"/>
      <c r="O425" s="160"/>
      <c r="P425" s="171"/>
      <c r="Q425" s="160"/>
      <c r="R425" s="160"/>
      <c r="S425" s="171"/>
      <c r="T425" s="171"/>
      <c r="Y425" s="171"/>
      <c r="Z425" s="171"/>
      <c r="AA425" s="171"/>
      <c r="AB425" s="171"/>
      <c r="AC425" s="171"/>
      <c r="AD425" s="171"/>
      <c r="AE425" s="171"/>
      <c r="AF425" s="171"/>
      <c r="AN425" s="171"/>
      <c r="AO425" s="171"/>
      <c r="AP425" s="171"/>
      <c r="AQ425" s="171"/>
      <c r="AR425" s="171"/>
      <c r="AS425" s="171"/>
      <c r="AT425" s="171"/>
      <c r="AU425" s="171"/>
      <c r="AX425" s="171"/>
      <c r="AY425" s="171"/>
      <c r="BA425" s="171"/>
      <c r="BB425" s="171"/>
      <c r="BF425" s="171"/>
      <c r="BH425" s="171"/>
    </row>
    <row r="426" spans="1:102" x14ac:dyDescent="0.25">
      <c r="A426" s="182"/>
      <c r="B426" s="182"/>
      <c r="C426" s="171"/>
      <c r="D426" s="171"/>
      <c r="E426" s="160"/>
      <c r="F426" s="171"/>
      <c r="G426" s="171"/>
      <c r="H426"/>
      <c r="I426" s="171"/>
      <c r="J426"/>
      <c r="K426"/>
      <c r="L426" s="247"/>
      <c r="M426" s="247"/>
      <c r="N426" s="171"/>
      <c r="O426" s="160"/>
      <c r="P426" s="171"/>
      <c r="Q426" s="160"/>
      <c r="R426" s="160"/>
      <c r="S426" s="171"/>
      <c r="T426" s="171"/>
      <c r="Y426" s="171"/>
      <c r="Z426" s="171"/>
      <c r="AA426" s="171"/>
      <c r="AB426" s="171"/>
      <c r="AC426" s="171"/>
      <c r="AD426" s="171"/>
      <c r="AE426" s="171"/>
      <c r="AF426" s="171"/>
      <c r="AN426" s="171"/>
      <c r="AO426" s="171"/>
      <c r="AP426" s="171"/>
      <c r="AQ426" s="171"/>
      <c r="AR426" s="171"/>
      <c r="AS426" s="171"/>
      <c r="AT426" s="171"/>
      <c r="AU426" s="171"/>
      <c r="AX426" s="171"/>
      <c r="AY426" s="171"/>
      <c r="BA426" s="171"/>
      <c r="BB426" s="171"/>
      <c r="BF426" s="171"/>
      <c r="BH426" s="171"/>
    </row>
    <row r="427" spans="1:102" x14ac:dyDescent="0.25">
      <c r="A427" s="182"/>
      <c r="B427" s="182"/>
      <c r="C427" s="171"/>
      <c r="D427" s="171"/>
      <c r="E427" s="160"/>
      <c r="F427" s="171"/>
      <c r="G427" s="171"/>
      <c r="H427"/>
      <c r="I427" s="171"/>
      <c r="J427"/>
      <c r="K427"/>
      <c r="L427" s="247"/>
      <c r="M427" s="247"/>
      <c r="N427" s="171"/>
      <c r="O427" s="160"/>
      <c r="P427" s="171"/>
      <c r="Q427" s="160"/>
      <c r="R427" s="160"/>
      <c r="S427" s="171"/>
      <c r="T427" s="171"/>
      <c r="Y427" s="171"/>
      <c r="Z427" s="171"/>
      <c r="AA427" s="171"/>
      <c r="AB427" s="171"/>
      <c r="AC427" s="171"/>
      <c r="AD427" s="171"/>
      <c r="AE427" s="171"/>
      <c r="AF427" s="171"/>
      <c r="AN427" s="171"/>
      <c r="AO427" s="171"/>
      <c r="AP427" s="171"/>
      <c r="AQ427" s="171"/>
      <c r="AR427" s="171"/>
      <c r="AS427" s="171"/>
      <c r="AT427" s="171"/>
      <c r="AU427" s="171"/>
      <c r="AX427" s="171"/>
      <c r="AY427" s="171"/>
      <c r="BA427" s="171"/>
      <c r="BB427" s="171"/>
      <c r="BF427" s="171"/>
      <c r="BH427" s="171"/>
    </row>
    <row r="428" spans="1:102" x14ac:dyDescent="0.25">
      <c r="A428" s="182"/>
      <c r="B428" s="182"/>
      <c r="C428" s="171"/>
      <c r="D428" s="171"/>
      <c r="E428" s="160"/>
      <c r="F428" s="171"/>
      <c r="G428" s="171"/>
      <c r="H428"/>
      <c r="I428" s="171"/>
      <c r="J428"/>
      <c r="K428"/>
      <c r="L428" s="247"/>
      <c r="M428" s="247"/>
      <c r="N428" s="171"/>
      <c r="O428" s="160"/>
      <c r="P428" s="171"/>
      <c r="Q428" s="160"/>
      <c r="R428" s="160"/>
      <c r="S428" s="171"/>
      <c r="T428" s="171"/>
      <c r="Y428" s="171"/>
      <c r="Z428" s="171"/>
      <c r="AA428" s="171"/>
      <c r="AB428" s="171"/>
      <c r="AC428" s="171"/>
      <c r="AD428" s="171"/>
      <c r="AE428" s="171"/>
      <c r="AF428" s="171"/>
      <c r="AN428" s="171"/>
      <c r="AO428" s="171"/>
      <c r="AP428" s="171"/>
      <c r="AQ428" s="171"/>
      <c r="AR428" s="171"/>
      <c r="AS428" s="171"/>
      <c r="AT428" s="171"/>
      <c r="AU428" s="171"/>
      <c r="AX428" s="171"/>
      <c r="AY428" s="171"/>
      <c r="BA428" s="171"/>
      <c r="BB428" s="171"/>
      <c r="BF428" s="171"/>
      <c r="BH428" s="171"/>
    </row>
    <row r="429" spans="1:102" x14ac:dyDescent="0.25">
      <c r="A429" s="182"/>
      <c r="B429" s="182"/>
      <c r="C429" s="171"/>
      <c r="D429" s="171"/>
      <c r="E429" s="160"/>
      <c r="F429" s="171"/>
      <c r="G429" s="171"/>
      <c r="H429"/>
      <c r="I429" s="171"/>
      <c r="J429"/>
      <c r="K429"/>
      <c r="L429" s="247"/>
      <c r="M429" s="247"/>
      <c r="N429" s="171"/>
      <c r="O429" s="160"/>
      <c r="P429" s="171"/>
      <c r="Q429" s="160"/>
      <c r="R429" s="160"/>
      <c r="S429" s="171"/>
      <c r="T429" s="171"/>
      <c r="Y429" s="171"/>
      <c r="Z429" s="171"/>
      <c r="AA429" s="171"/>
      <c r="AB429" s="171"/>
      <c r="AC429" s="171"/>
      <c r="AD429" s="171"/>
      <c r="AE429" s="171"/>
      <c r="AF429" s="171"/>
      <c r="AN429" s="171"/>
      <c r="AO429" s="171"/>
      <c r="AP429" s="171"/>
      <c r="AQ429" s="171"/>
      <c r="AR429" s="171"/>
      <c r="AS429" s="171"/>
      <c r="AT429" s="171"/>
      <c r="AU429" s="171"/>
      <c r="AX429" s="171"/>
      <c r="AY429" s="171"/>
      <c r="BA429" s="171"/>
      <c r="BB429" s="171"/>
      <c r="BF429" s="171"/>
      <c r="BH429" s="171"/>
    </row>
    <row r="430" spans="1:102" x14ac:dyDescent="0.25">
      <c r="A430" s="182"/>
      <c r="B430" s="182"/>
      <c r="C430" s="171"/>
      <c r="D430" s="171"/>
      <c r="E430" s="160"/>
      <c r="F430" s="171"/>
      <c r="G430" s="171"/>
      <c r="H430"/>
      <c r="I430" s="171"/>
      <c r="J430"/>
      <c r="K430"/>
      <c r="L430" s="247"/>
      <c r="M430" s="247"/>
      <c r="N430" s="171"/>
      <c r="O430" s="160"/>
      <c r="P430" s="171"/>
      <c r="Q430" s="160"/>
      <c r="R430" s="160"/>
      <c r="S430" s="171"/>
      <c r="T430" s="171"/>
      <c r="Y430" s="171"/>
      <c r="Z430" s="171"/>
      <c r="AA430" s="171"/>
      <c r="AB430" s="171"/>
      <c r="AC430" s="171"/>
      <c r="AD430" s="171"/>
      <c r="AE430" s="171"/>
      <c r="AF430" s="171"/>
      <c r="AN430" s="171"/>
      <c r="AO430" s="171"/>
      <c r="AP430" s="171"/>
      <c r="AQ430" s="171"/>
      <c r="AR430" s="171"/>
      <c r="AS430" s="171"/>
      <c r="AT430" s="171"/>
      <c r="AU430" s="171"/>
      <c r="AX430" s="171"/>
      <c r="AY430" s="171"/>
      <c r="BA430" s="171"/>
      <c r="BB430" s="171"/>
      <c r="BF430" s="171"/>
      <c r="BH430" s="171"/>
    </row>
    <row r="431" spans="1:102" x14ac:dyDescent="0.25">
      <c r="A431" s="182"/>
      <c r="B431" s="182"/>
      <c r="C431" s="171"/>
      <c r="D431" s="171"/>
      <c r="E431" s="160"/>
      <c r="F431" s="171"/>
      <c r="G431" s="171"/>
      <c r="H431"/>
      <c r="I431" s="171"/>
      <c r="J431"/>
      <c r="K431"/>
      <c r="L431" s="247"/>
      <c r="M431" s="247"/>
      <c r="N431" s="171"/>
      <c r="O431" s="160"/>
      <c r="P431" s="171"/>
      <c r="Q431" s="160"/>
      <c r="R431" s="160"/>
      <c r="S431" s="171"/>
      <c r="T431" s="171"/>
      <c r="Y431" s="171"/>
      <c r="Z431" s="171"/>
      <c r="AA431" s="171"/>
      <c r="AB431" s="171"/>
      <c r="AC431" s="171"/>
      <c r="AD431" s="171"/>
      <c r="AE431" s="171"/>
      <c r="AF431" s="171"/>
      <c r="AN431" s="171"/>
      <c r="AO431" s="171"/>
      <c r="AP431" s="171"/>
      <c r="AQ431" s="171"/>
      <c r="AR431" s="171"/>
      <c r="AS431" s="171"/>
      <c r="AT431" s="171"/>
      <c r="AU431" s="171"/>
      <c r="AX431" s="171"/>
      <c r="AY431" s="171"/>
      <c r="BA431" s="171"/>
      <c r="BB431" s="171"/>
      <c r="BF431" s="171"/>
      <c r="BH431" s="171"/>
    </row>
    <row r="432" spans="1:102" x14ac:dyDescent="0.25">
      <c r="A432" s="182"/>
      <c r="B432" s="182"/>
      <c r="C432" s="171"/>
      <c r="D432" s="171"/>
      <c r="E432" s="160"/>
      <c r="F432" s="171"/>
      <c r="G432" s="171"/>
      <c r="H432" s="171"/>
      <c r="I432" s="171"/>
      <c r="J432" s="171"/>
      <c r="K432" s="171"/>
      <c r="L432" s="629"/>
      <c r="M432" s="629"/>
      <c r="N432" s="171"/>
      <c r="O432" s="160"/>
      <c r="P432" s="171"/>
      <c r="Q432" s="160"/>
      <c r="R432" s="160"/>
      <c r="S432" s="171"/>
      <c r="T432" s="171"/>
      <c r="Y432" s="171"/>
      <c r="Z432" s="171"/>
      <c r="AA432" s="171"/>
      <c r="AB432" s="171"/>
      <c r="AC432" s="171"/>
      <c r="AD432" s="171"/>
      <c r="AE432" s="171"/>
      <c r="AF432" s="171"/>
      <c r="AN432" s="171"/>
      <c r="AO432" s="171"/>
      <c r="AP432" s="171"/>
      <c r="AQ432" s="171"/>
      <c r="AR432" s="171"/>
      <c r="AS432" s="171"/>
      <c r="AT432" s="171"/>
      <c r="AU432" s="171"/>
      <c r="AX432" s="171"/>
      <c r="AY432" s="171"/>
      <c r="AZ432" s="171"/>
      <c r="BA432" s="171"/>
      <c r="BB432" s="171"/>
      <c r="BC432" s="171"/>
      <c r="BD432" s="171"/>
      <c r="BF432" s="171"/>
      <c r="BH432" s="171"/>
      <c r="BI432" s="168"/>
      <c r="BL432" s="168"/>
      <c r="BM432" s="168"/>
      <c r="BN432" s="168"/>
      <c r="BO432" s="168"/>
      <c r="BP432" s="168"/>
      <c r="BQ432" s="168"/>
      <c r="BR432" s="168"/>
      <c r="BS432" s="168"/>
      <c r="BT432" s="168"/>
      <c r="BU432" s="168"/>
      <c r="BV432" s="168"/>
      <c r="BW432" s="168"/>
      <c r="BX432" s="168"/>
      <c r="BY432" s="168"/>
      <c r="BZ432" s="168"/>
      <c r="CA432" s="168"/>
      <c r="CB432" s="168"/>
      <c r="CC432" s="168"/>
      <c r="CD432" s="168"/>
      <c r="CE432" s="168"/>
      <c r="CF432" s="168"/>
      <c r="CG432" s="168"/>
      <c r="CH432" s="168"/>
      <c r="CI432" s="168"/>
      <c r="CJ432" s="168"/>
      <c r="CK432" s="168"/>
      <c r="CL432" s="168"/>
      <c r="CM432" s="168"/>
      <c r="CN432" s="168"/>
      <c r="CO432" s="168"/>
      <c r="CP432" s="168"/>
      <c r="CQ432" s="168"/>
      <c r="CR432" s="168"/>
      <c r="CS432" s="168"/>
      <c r="CT432" s="168"/>
      <c r="CU432" s="168"/>
      <c r="CV432" s="168"/>
      <c r="CW432" s="168"/>
      <c r="CX432" s="168"/>
    </row>
    <row r="433" spans="1:60" x14ac:dyDescent="0.25">
      <c r="A433" s="182"/>
      <c r="B433" s="182"/>
      <c r="C433" s="171"/>
      <c r="D433" s="171"/>
      <c r="E433" s="160"/>
      <c r="F433" s="171"/>
      <c r="G433" s="171"/>
      <c r="H433"/>
      <c r="I433" s="171"/>
      <c r="J433"/>
      <c r="K433"/>
      <c r="L433" s="247"/>
      <c r="M433" s="247"/>
      <c r="N433" s="171"/>
      <c r="O433" s="160"/>
      <c r="P433" s="171"/>
      <c r="Q433" s="160"/>
      <c r="R433" s="160"/>
      <c r="S433" s="171"/>
      <c r="T433" s="171"/>
      <c r="Y433" s="171"/>
      <c r="Z433" s="171"/>
      <c r="AA433" s="171"/>
      <c r="AB433" s="171"/>
      <c r="AC433" s="171"/>
      <c r="AD433" s="171"/>
      <c r="AE433" s="171"/>
      <c r="AF433" s="171"/>
      <c r="AN433" s="171"/>
      <c r="AO433" s="171"/>
      <c r="AP433" s="171"/>
      <c r="AQ433" s="171"/>
      <c r="AR433" s="171"/>
      <c r="AS433" s="171"/>
      <c r="AT433" s="171"/>
      <c r="AU433" s="171"/>
      <c r="AX433" s="171"/>
      <c r="AY433" s="171"/>
      <c r="BA433" s="171"/>
      <c r="BB433" s="171"/>
      <c r="BF433" s="171"/>
      <c r="BH433" s="171"/>
    </row>
    <row r="434" spans="1:60" x14ac:dyDescent="0.25">
      <c r="A434" s="182"/>
      <c r="B434" s="182"/>
      <c r="C434" s="171"/>
      <c r="D434" s="171"/>
      <c r="E434" s="160"/>
      <c r="F434" s="171"/>
      <c r="G434" s="171"/>
      <c r="H434"/>
      <c r="I434" s="171"/>
      <c r="J434"/>
      <c r="K434"/>
      <c r="L434" s="247"/>
      <c r="M434" s="247"/>
      <c r="N434" s="171"/>
      <c r="O434" s="160"/>
      <c r="P434" s="171"/>
      <c r="Q434" s="160"/>
      <c r="R434" s="160"/>
      <c r="S434" s="171"/>
      <c r="T434" s="171"/>
      <c r="Y434" s="171"/>
      <c r="Z434" s="171"/>
      <c r="AA434" s="171"/>
      <c r="AB434" s="171"/>
      <c r="AC434" s="171"/>
      <c r="AD434" s="171"/>
      <c r="AE434" s="171"/>
      <c r="AF434" s="171"/>
      <c r="AN434" s="171"/>
      <c r="AO434" s="171"/>
      <c r="AP434" s="171"/>
      <c r="AQ434" s="171"/>
      <c r="AR434" s="171"/>
      <c r="AS434" s="171"/>
      <c r="AT434" s="171"/>
      <c r="AU434" s="171"/>
      <c r="AX434" s="171"/>
      <c r="AY434" s="171"/>
      <c r="BA434" s="171"/>
      <c r="BB434" s="171"/>
      <c r="BF434" s="171"/>
      <c r="BH434" s="171"/>
    </row>
    <row r="435" spans="1:60" x14ac:dyDescent="0.25">
      <c r="A435" s="182"/>
      <c r="B435" s="182"/>
      <c r="C435" s="171"/>
      <c r="D435" s="171"/>
      <c r="E435" s="160"/>
      <c r="F435" s="171"/>
      <c r="G435" s="171"/>
      <c r="H435"/>
      <c r="I435" s="171"/>
      <c r="J435"/>
      <c r="K435"/>
      <c r="L435" s="247"/>
      <c r="M435" s="247"/>
      <c r="N435" s="171"/>
      <c r="O435" s="160"/>
      <c r="P435" s="171"/>
      <c r="Q435" s="160"/>
      <c r="R435" s="160"/>
      <c r="S435" s="171"/>
      <c r="T435" s="171"/>
      <c r="Y435" s="171"/>
      <c r="Z435" s="171"/>
      <c r="AA435" s="171"/>
      <c r="AB435" s="171"/>
      <c r="AC435" s="171"/>
      <c r="AD435" s="171"/>
      <c r="AE435" s="171"/>
      <c r="AF435" s="171"/>
      <c r="AN435" s="171"/>
      <c r="AO435" s="171"/>
      <c r="AP435" s="171"/>
      <c r="AQ435" s="171"/>
      <c r="AR435" s="171"/>
      <c r="AS435" s="171"/>
      <c r="AT435" s="171"/>
      <c r="AU435" s="171"/>
      <c r="AX435" s="171"/>
      <c r="AY435" s="171"/>
      <c r="BA435" s="171"/>
      <c r="BB435" s="171"/>
      <c r="BF435" s="171"/>
      <c r="BH435" s="171"/>
    </row>
    <row r="436" spans="1:60" x14ac:dyDescent="0.25">
      <c r="A436" s="182"/>
      <c r="B436" s="182"/>
      <c r="C436" s="171"/>
      <c r="D436" s="171"/>
      <c r="E436" s="160"/>
      <c r="F436" s="171"/>
      <c r="G436" s="171"/>
      <c r="H436"/>
      <c r="I436" s="171"/>
      <c r="J436"/>
      <c r="K436"/>
      <c r="L436" s="247"/>
      <c r="M436" s="247"/>
      <c r="N436" s="171"/>
      <c r="O436" s="160"/>
      <c r="P436" s="171"/>
      <c r="Q436" s="160"/>
      <c r="R436" s="160"/>
      <c r="S436" s="171"/>
      <c r="T436" s="171"/>
      <c r="Y436" s="171"/>
      <c r="Z436" s="171"/>
      <c r="AA436" s="171"/>
      <c r="AB436" s="171"/>
      <c r="AC436" s="171"/>
      <c r="AD436" s="171"/>
      <c r="AE436" s="171"/>
      <c r="AF436" s="171"/>
      <c r="AN436" s="171"/>
      <c r="AO436" s="171"/>
      <c r="AP436" s="171"/>
      <c r="AQ436" s="171"/>
      <c r="AR436" s="171"/>
      <c r="AS436" s="171"/>
      <c r="AT436" s="171"/>
      <c r="AU436" s="171"/>
      <c r="AX436" s="171"/>
      <c r="AY436" s="171"/>
      <c r="BA436" s="171"/>
      <c r="BB436" s="171"/>
      <c r="BF436" s="171"/>
      <c r="BH436" s="171"/>
    </row>
    <row r="437" spans="1:60" x14ac:dyDescent="0.25">
      <c r="A437" s="182"/>
      <c r="B437" s="182"/>
      <c r="C437" s="171"/>
      <c r="D437" s="171"/>
      <c r="E437" s="160"/>
      <c r="F437" s="171"/>
      <c r="G437" s="171"/>
      <c r="H437"/>
      <c r="I437" s="171"/>
      <c r="J437"/>
      <c r="K437"/>
      <c r="L437" s="247"/>
      <c r="M437" s="247"/>
      <c r="N437" s="171"/>
      <c r="O437" s="160"/>
      <c r="P437" s="171"/>
      <c r="Q437" s="160"/>
      <c r="R437" s="160"/>
      <c r="S437" s="171"/>
      <c r="T437" s="171"/>
      <c r="Y437" s="171"/>
      <c r="Z437" s="171"/>
      <c r="AA437" s="171"/>
      <c r="AB437" s="171"/>
      <c r="AC437" s="171"/>
      <c r="AD437" s="171"/>
      <c r="AE437" s="171"/>
      <c r="AF437" s="171"/>
      <c r="AN437" s="171"/>
      <c r="AO437" s="171"/>
      <c r="AP437" s="171"/>
      <c r="AQ437" s="171"/>
      <c r="AR437" s="171"/>
      <c r="AS437" s="171"/>
      <c r="AT437" s="171"/>
      <c r="AU437" s="171"/>
      <c r="AX437" s="171"/>
      <c r="AY437" s="171"/>
      <c r="BA437" s="171"/>
      <c r="BB437" s="171"/>
      <c r="BF437" s="171"/>
      <c r="BH437" s="171"/>
    </row>
    <row r="438" spans="1:60" x14ac:dyDescent="0.25">
      <c r="A438" s="182"/>
      <c r="B438" s="182"/>
      <c r="C438" s="171"/>
      <c r="D438" s="171"/>
      <c r="E438" s="160"/>
      <c r="F438" s="171"/>
      <c r="G438" s="171"/>
      <c r="H438"/>
      <c r="I438" s="171"/>
      <c r="J438"/>
      <c r="K438"/>
      <c r="L438" s="247"/>
      <c r="M438" s="247"/>
      <c r="N438" s="171"/>
      <c r="O438" s="160"/>
      <c r="P438" s="171"/>
      <c r="Q438" s="160"/>
      <c r="R438" s="160"/>
      <c r="S438" s="171"/>
      <c r="T438" s="171"/>
      <c r="Y438" s="171"/>
      <c r="Z438" s="171"/>
      <c r="AA438" s="171"/>
      <c r="AB438" s="171"/>
      <c r="AC438" s="171"/>
      <c r="AD438" s="171"/>
      <c r="AE438" s="171"/>
      <c r="AF438" s="171"/>
      <c r="AN438" s="171"/>
      <c r="AO438" s="171"/>
      <c r="AP438" s="171"/>
      <c r="AQ438" s="171"/>
      <c r="AR438" s="171"/>
      <c r="AS438" s="171"/>
      <c r="AT438" s="171"/>
      <c r="AU438" s="171"/>
      <c r="AX438" s="171"/>
      <c r="AY438" s="171"/>
      <c r="BA438" s="171"/>
      <c r="BB438" s="171"/>
      <c r="BF438" s="171"/>
      <c r="BH438" s="171"/>
    </row>
    <row r="439" spans="1:60" x14ac:dyDescent="0.25">
      <c r="A439" s="182"/>
      <c r="B439" s="182"/>
      <c r="C439" s="171"/>
      <c r="D439" s="171"/>
      <c r="E439" s="160"/>
      <c r="F439" s="171"/>
      <c r="G439" s="171"/>
      <c r="H439"/>
      <c r="I439" s="171"/>
      <c r="J439"/>
      <c r="K439"/>
      <c r="L439" s="247"/>
      <c r="M439" s="247"/>
      <c r="N439" s="171"/>
      <c r="O439" s="160"/>
      <c r="P439" s="171"/>
      <c r="Q439" s="160"/>
      <c r="R439" s="160"/>
      <c r="S439" s="171"/>
      <c r="T439" s="171"/>
      <c r="Y439" s="171"/>
      <c r="Z439" s="171"/>
      <c r="AA439" s="171"/>
      <c r="AB439" s="171"/>
      <c r="AC439" s="171"/>
      <c r="AD439" s="171"/>
      <c r="AE439" s="171"/>
      <c r="AF439" s="171"/>
      <c r="AN439" s="171"/>
      <c r="AO439" s="171"/>
      <c r="AP439" s="171"/>
      <c r="AQ439" s="171"/>
      <c r="AR439" s="171"/>
      <c r="AS439" s="171"/>
      <c r="AT439" s="171"/>
      <c r="AU439" s="171"/>
      <c r="AX439" s="171"/>
      <c r="BA439" s="171"/>
      <c r="BB439" s="171"/>
      <c r="BF439" s="171"/>
      <c r="BH439" s="171"/>
    </row>
    <row r="440" spans="1:60" x14ac:dyDescent="0.25">
      <c r="A440" s="182"/>
      <c r="B440" s="182"/>
      <c r="C440" s="171"/>
      <c r="D440" s="171"/>
      <c r="E440" s="160"/>
      <c r="F440" s="171"/>
      <c r="G440" s="171"/>
      <c r="H440"/>
      <c r="I440" s="171"/>
      <c r="J440"/>
      <c r="K440"/>
      <c r="L440" s="247"/>
      <c r="M440" s="247"/>
      <c r="N440" s="171"/>
      <c r="O440" s="160"/>
      <c r="P440" s="171"/>
      <c r="Q440" s="160"/>
      <c r="R440" s="160"/>
      <c r="S440" s="171"/>
      <c r="T440" s="171"/>
      <c r="Y440" s="171"/>
      <c r="Z440" s="171"/>
      <c r="AA440" s="171"/>
      <c r="AB440" s="171"/>
      <c r="AC440" s="171"/>
      <c r="AD440" s="171"/>
      <c r="AE440" s="171"/>
      <c r="AF440" s="171"/>
      <c r="AN440" s="171"/>
      <c r="AO440" s="171"/>
      <c r="AP440" s="171"/>
      <c r="AQ440" s="171"/>
      <c r="AR440" s="171"/>
      <c r="AS440" s="171"/>
      <c r="AT440" s="171"/>
      <c r="AU440" s="171"/>
      <c r="AX440" s="171"/>
      <c r="AY440" s="171"/>
      <c r="BA440" s="171"/>
      <c r="BB440" s="171"/>
      <c r="BF440" s="171"/>
      <c r="BH440" s="171"/>
    </row>
    <row r="441" spans="1:60" x14ac:dyDescent="0.25">
      <c r="A441" s="182"/>
      <c r="B441" s="182"/>
      <c r="C441" s="171"/>
      <c r="D441" s="171"/>
      <c r="E441" s="160"/>
      <c r="F441" s="171"/>
      <c r="G441" s="171"/>
      <c r="H441"/>
      <c r="I441" s="171"/>
      <c r="J441"/>
      <c r="K441"/>
      <c r="L441" s="247"/>
      <c r="M441" s="247"/>
      <c r="N441" s="171"/>
      <c r="O441" s="160"/>
      <c r="P441" s="171"/>
      <c r="Q441" s="160"/>
      <c r="R441" s="160"/>
      <c r="S441" s="171"/>
      <c r="T441" s="171"/>
      <c r="Y441" s="171"/>
      <c r="Z441" s="171"/>
      <c r="AA441" s="171"/>
      <c r="AB441" s="171"/>
      <c r="AC441" s="171"/>
      <c r="AD441" s="171"/>
      <c r="AE441" s="171"/>
      <c r="AF441" s="171"/>
      <c r="AN441" s="171"/>
      <c r="AO441" s="171"/>
      <c r="AP441" s="171"/>
      <c r="AQ441" s="171"/>
      <c r="AR441" s="171"/>
      <c r="AS441" s="171"/>
      <c r="AT441" s="171"/>
      <c r="AU441" s="171"/>
      <c r="AX441" s="171"/>
      <c r="AY441" s="171"/>
      <c r="BA441" s="171"/>
      <c r="BB441" s="171"/>
      <c r="BF441" s="171"/>
      <c r="BH441" s="171"/>
    </row>
    <row r="442" spans="1:60" x14ac:dyDescent="0.25">
      <c r="A442" s="182"/>
      <c r="B442" s="182"/>
      <c r="C442" s="171"/>
      <c r="D442" s="171"/>
      <c r="E442" s="160"/>
      <c r="F442" s="171"/>
      <c r="G442" s="171"/>
      <c r="H442"/>
      <c r="I442" s="171"/>
      <c r="J442"/>
      <c r="K442"/>
      <c r="L442" s="247"/>
      <c r="M442" s="247"/>
      <c r="N442" s="171"/>
      <c r="O442" s="160"/>
      <c r="P442" s="171"/>
      <c r="Q442" s="160"/>
      <c r="R442" s="160"/>
      <c r="S442" s="171"/>
      <c r="T442" s="171"/>
      <c r="Y442" s="171"/>
      <c r="Z442" s="171"/>
      <c r="AA442" s="171"/>
      <c r="AB442" s="171"/>
      <c r="AC442" s="171"/>
      <c r="AD442" s="171"/>
      <c r="AE442" s="171"/>
      <c r="AF442" s="171"/>
      <c r="AN442" s="171"/>
      <c r="AO442" s="171"/>
      <c r="AP442" s="171"/>
      <c r="AQ442" s="171"/>
      <c r="AR442" s="171"/>
      <c r="AS442" s="171"/>
      <c r="AT442" s="171"/>
      <c r="AU442" s="171"/>
      <c r="AX442" s="171"/>
      <c r="AY442" s="171"/>
      <c r="BA442" s="171"/>
      <c r="BB442" s="171"/>
      <c r="BF442" s="171"/>
      <c r="BH442" s="171"/>
    </row>
    <row r="443" spans="1:60" x14ac:dyDescent="0.25">
      <c r="A443" s="182"/>
      <c r="B443" s="182"/>
      <c r="C443" s="171"/>
      <c r="D443" s="171"/>
      <c r="E443" s="160"/>
      <c r="F443" s="171"/>
      <c r="G443" s="171"/>
      <c r="H443"/>
      <c r="I443" s="171"/>
      <c r="J443"/>
      <c r="K443"/>
      <c r="L443" s="247"/>
      <c r="M443" s="247"/>
      <c r="N443" s="171"/>
      <c r="O443" s="160"/>
      <c r="P443" s="171"/>
      <c r="Q443" s="160"/>
      <c r="R443" s="160"/>
      <c r="S443" s="171"/>
      <c r="T443" s="171"/>
      <c r="Y443" s="171"/>
      <c r="Z443" s="171"/>
      <c r="AA443" s="171"/>
      <c r="AB443" s="171"/>
      <c r="AC443" s="171"/>
      <c r="AD443" s="171"/>
      <c r="AE443" s="171"/>
      <c r="AF443" s="171"/>
      <c r="AN443" s="171"/>
      <c r="AO443" s="171"/>
      <c r="AP443" s="171"/>
      <c r="AQ443" s="171"/>
      <c r="AR443" s="171"/>
      <c r="AS443" s="171"/>
      <c r="AT443" s="171"/>
      <c r="AU443" s="171"/>
      <c r="AX443" s="171"/>
      <c r="AY443" s="171"/>
      <c r="BA443" s="171"/>
      <c r="BB443" s="171"/>
      <c r="BF443" s="171"/>
      <c r="BH443" s="171"/>
    </row>
    <row r="444" spans="1:60" x14ac:dyDescent="0.25">
      <c r="A444" s="182"/>
      <c r="B444" s="182"/>
      <c r="C444" s="171"/>
      <c r="D444" s="171"/>
      <c r="E444" s="160"/>
      <c r="F444" s="171"/>
      <c r="G444" s="171"/>
      <c r="H444"/>
      <c r="I444" s="171"/>
      <c r="J444"/>
      <c r="K444"/>
      <c r="L444" s="247"/>
      <c r="M444" s="247"/>
      <c r="N444" s="171"/>
      <c r="O444" s="160"/>
      <c r="P444" s="171"/>
      <c r="Q444" s="160"/>
      <c r="R444" s="160"/>
      <c r="S444" s="171"/>
      <c r="T444" s="171"/>
      <c r="Y444" s="171"/>
      <c r="Z444" s="171"/>
      <c r="AA444" s="171"/>
      <c r="AB444" s="171"/>
      <c r="AC444" s="171"/>
      <c r="AD444" s="171"/>
      <c r="AE444" s="171"/>
      <c r="AF444" s="171"/>
      <c r="AN444" s="171"/>
      <c r="AO444" s="171"/>
      <c r="AP444" s="171"/>
      <c r="AQ444" s="171"/>
      <c r="AR444" s="171"/>
      <c r="AS444" s="171"/>
      <c r="AT444" s="171"/>
      <c r="AU444" s="171"/>
      <c r="AX444" s="171"/>
      <c r="AY444" s="171"/>
      <c r="BA444" s="171"/>
      <c r="BB444" s="171"/>
      <c r="BF444" s="171"/>
      <c r="BH444" s="171"/>
    </row>
    <row r="445" spans="1:60" x14ac:dyDescent="0.25">
      <c r="A445" s="182"/>
      <c r="B445" s="182"/>
      <c r="C445" s="171"/>
      <c r="D445" s="171"/>
      <c r="E445" s="160"/>
      <c r="F445" s="171"/>
      <c r="G445" s="171"/>
      <c r="H445"/>
      <c r="I445" s="171"/>
      <c r="J445"/>
      <c r="K445"/>
      <c r="L445" s="247"/>
      <c r="M445" s="247"/>
      <c r="N445" s="171"/>
      <c r="O445" s="160"/>
      <c r="P445" s="171"/>
      <c r="Q445" s="160"/>
      <c r="R445" s="160"/>
      <c r="S445" s="171"/>
      <c r="T445" s="171"/>
      <c r="Y445" s="171"/>
      <c r="Z445" s="171"/>
      <c r="AA445" s="171"/>
      <c r="AB445" s="171"/>
      <c r="AC445" s="171"/>
      <c r="AD445" s="171"/>
      <c r="AE445" s="171"/>
      <c r="AF445" s="171"/>
      <c r="AN445" s="171"/>
      <c r="AO445" s="171"/>
      <c r="AP445" s="171"/>
      <c r="AQ445" s="171"/>
      <c r="AR445" s="171"/>
      <c r="AS445" s="171"/>
      <c r="AT445" s="171"/>
      <c r="AU445" s="171"/>
      <c r="AX445" s="171"/>
      <c r="AY445" s="171"/>
      <c r="BA445" s="171"/>
      <c r="BB445" s="171"/>
      <c r="BF445" s="171"/>
      <c r="BH445" s="171"/>
    </row>
    <row r="446" spans="1:60" x14ac:dyDescent="0.25">
      <c r="A446" s="182"/>
      <c r="B446" s="182"/>
      <c r="C446" s="171"/>
      <c r="D446" s="171"/>
      <c r="E446" s="160"/>
      <c r="F446" s="171"/>
      <c r="G446" s="171"/>
      <c r="H446"/>
      <c r="I446" s="171"/>
      <c r="J446"/>
      <c r="K446"/>
      <c r="L446" s="247"/>
      <c r="M446" s="247"/>
      <c r="N446" s="171"/>
      <c r="O446" s="160"/>
      <c r="P446" s="171"/>
      <c r="Q446" s="160"/>
      <c r="R446" s="160"/>
      <c r="S446" s="171"/>
      <c r="T446" s="171"/>
      <c r="Y446" s="171"/>
      <c r="Z446" s="171"/>
      <c r="AA446" s="171"/>
      <c r="AB446" s="171"/>
      <c r="AC446" s="171"/>
      <c r="AD446" s="171"/>
      <c r="AE446" s="171"/>
      <c r="AF446" s="171"/>
      <c r="AN446" s="171"/>
      <c r="AO446" s="171"/>
      <c r="AP446" s="171"/>
      <c r="AQ446" s="171"/>
      <c r="AR446" s="171"/>
      <c r="AS446" s="171"/>
      <c r="AT446" s="171"/>
      <c r="AU446" s="171"/>
      <c r="AX446" s="171"/>
      <c r="AY446" s="171"/>
      <c r="BA446" s="171"/>
      <c r="BB446" s="171"/>
      <c r="BF446" s="171"/>
      <c r="BH446" s="171"/>
    </row>
    <row r="447" spans="1:60" x14ac:dyDescent="0.25">
      <c r="A447" s="182"/>
      <c r="B447" s="182"/>
      <c r="C447" s="171"/>
      <c r="D447" s="171"/>
      <c r="E447" s="160"/>
      <c r="F447" s="171"/>
      <c r="G447" s="171"/>
      <c r="H447"/>
      <c r="I447" s="171"/>
      <c r="J447"/>
      <c r="K447"/>
      <c r="L447" s="247"/>
      <c r="M447" s="247"/>
      <c r="N447" s="171"/>
      <c r="O447" s="160"/>
      <c r="P447" s="171"/>
      <c r="Q447" s="160"/>
      <c r="R447" s="160"/>
      <c r="S447" s="171"/>
      <c r="T447" s="171"/>
      <c r="Y447" s="171"/>
      <c r="Z447" s="171"/>
      <c r="AA447" s="171"/>
      <c r="AB447" s="171"/>
      <c r="AC447" s="171"/>
      <c r="AD447" s="171"/>
      <c r="AE447" s="171"/>
      <c r="AF447" s="171"/>
      <c r="AN447" s="171"/>
      <c r="AO447" s="171"/>
      <c r="AP447" s="171"/>
      <c r="AQ447" s="171"/>
      <c r="AR447" s="171"/>
      <c r="AS447" s="171"/>
      <c r="AT447" s="171"/>
      <c r="AU447" s="171"/>
      <c r="AX447" s="171"/>
      <c r="AY447" s="171"/>
      <c r="BA447" s="171"/>
      <c r="BB447" s="171"/>
      <c r="BF447" s="171"/>
      <c r="BH447" s="171"/>
    </row>
    <row r="448" spans="1:60" x14ac:dyDescent="0.25">
      <c r="A448" s="182"/>
      <c r="B448" s="182"/>
      <c r="C448" s="171"/>
      <c r="D448" s="171"/>
      <c r="E448" s="160"/>
      <c r="F448" s="171"/>
      <c r="G448" s="171"/>
      <c r="H448"/>
      <c r="I448" s="171"/>
      <c r="J448"/>
      <c r="K448"/>
      <c r="L448" s="247"/>
      <c r="M448" s="247"/>
      <c r="N448" s="171"/>
      <c r="O448" s="160"/>
      <c r="P448" s="171"/>
      <c r="Q448" s="160"/>
      <c r="R448" s="160"/>
      <c r="S448" s="171"/>
      <c r="T448" s="171"/>
      <c r="Y448" s="171"/>
      <c r="Z448" s="171"/>
      <c r="AA448" s="171"/>
      <c r="AB448" s="171"/>
      <c r="AC448" s="171"/>
      <c r="AD448" s="171"/>
      <c r="AE448" s="171"/>
      <c r="AF448" s="171"/>
      <c r="AN448" s="171"/>
      <c r="AO448" s="171"/>
      <c r="AP448" s="171"/>
      <c r="AQ448" s="171"/>
      <c r="AR448" s="171"/>
      <c r="AS448" s="171"/>
      <c r="AT448" s="171"/>
      <c r="AU448" s="171"/>
      <c r="AX448" s="171"/>
      <c r="AY448" s="171"/>
      <c r="BA448" s="171"/>
      <c r="BB448" s="171"/>
      <c r="BF448" s="171"/>
      <c r="BH448" s="171"/>
    </row>
    <row r="449" spans="1:102" x14ac:dyDescent="0.25">
      <c r="A449" s="182"/>
      <c r="B449" s="182"/>
      <c r="C449" s="171"/>
      <c r="D449" s="171"/>
      <c r="E449" s="160"/>
      <c r="F449" s="171"/>
      <c r="G449" s="171"/>
      <c r="H449"/>
      <c r="I449" s="171"/>
      <c r="J449"/>
      <c r="K449"/>
      <c r="L449" s="247"/>
      <c r="M449" s="247"/>
      <c r="N449" s="171"/>
      <c r="O449" s="160"/>
      <c r="P449" s="171"/>
      <c r="Q449" s="160"/>
      <c r="R449" s="160"/>
      <c r="S449" s="171"/>
      <c r="T449" s="171"/>
      <c r="Y449" s="171"/>
      <c r="Z449" s="171"/>
      <c r="AA449" s="171"/>
      <c r="AB449" s="171"/>
      <c r="AC449" s="171"/>
      <c r="AD449" s="171"/>
      <c r="AE449" s="171"/>
      <c r="AF449" s="171"/>
      <c r="AN449" s="171"/>
      <c r="AO449" s="171"/>
      <c r="AP449" s="171"/>
      <c r="AQ449" s="171"/>
      <c r="AR449" s="171"/>
      <c r="AS449" s="171"/>
      <c r="AT449" s="171"/>
      <c r="AU449" s="171"/>
      <c r="AX449" s="171"/>
      <c r="AY449" s="171"/>
      <c r="BA449" s="171"/>
      <c r="BB449" s="171"/>
      <c r="BF449" s="171"/>
      <c r="BH449" s="171"/>
    </row>
    <row r="450" spans="1:102" x14ac:dyDescent="0.25">
      <c r="A450" s="182"/>
      <c r="B450" s="182"/>
      <c r="C450" s="171"/>
      <c r="D450" s="171"/>
      <c r="E450" s="160"/>
      <c r="F450" s="171"/>
      <c r="G450"/>
      <c r="H450"/>
      <c r="I450" s="171"/>
      <c r="J450"/>
      <c r="K450"/>
      <c r="L450" s="247"/>
      <c r="M450" s="247"/>
      <c r="N450" s="171"/>
      <c r="O450" s="160"/>
      <c r="P450" s="171"/>
      <c r="Q450" s="160"/>
      <c r="R450" s="160"/>
      <c r="S450" s="171"/>
      <c r="T450" s="171"/>
      <c r="Y450" s="171"/>
      <c r="Z450" s="171"/>
      <c r="AA450" s="171"/>
      <c r="AB450" s="171"/>
      <c r="AC450" s="171"/>
      <c r="AD450" s="171"/>
      <c r="AE450" s="171"/>
      <c r="AF450" s="171"/>
      <c r="AN450" s="171"/>
      <c r="AO450" s="171"/>
      <c r="AP450" s="171"/>
      <c r="AQ450" s="171"/>
      <c r="AR450" s="171"/>
      <c r="AS450" s="171"/>
      <c r="AT450" s="171"/>
      <c r="AU450" s="171"/>
      <c r="AX450" s="171"/>
      <c r="BA450" s="171"/>
      <c r="BB450" s="171"/>
      <c r="BF450" s="171"/>
      <c r="BH450" s="171"/>
    </row>
    <row r="451" spans="1:102" x14ac:dyDescent="0.25">
      <c r="A451" s="182"/>
      <c r="B451" s="182"/>
      <c r="C451" s="171"/>
      <c r="D451" s="171"/>
      <c r="E451" s="160"/>
      <c r="F451" s="171"/>
      <c r="G451" s="171"/>
      <c r="H451" s="171"/>
      <c r="I451" s="171"/>
      <c r="J451"/>
      <c r="K451"/>
      <c r="L451" s="247"/>
      <c r="M451" s="247"/>
      <c r="N451" s="171"/>
      <c r="O451" s="160"/>
      <c r="P451" s="171"/>
      <c r="Q451" s="160"/>
      <c r="R451" s="160"/>
      <c r="S451" s="171"/>
      <c r="T451" s="171"/>
      <c r="Y451" s="171"/>
      <c r="Z451" s="171"/>
      <c r="AA451" s="171"/>
      <c r="AB451" s="171"/>
      <c r="AC451" s="171"/>
      <c r="AD451" s="171"/>
      <c r="AE451" s="171"/>
      <c r="AF451" s="171"/>
      <c r="AN451" s="171"/>
      <c r="AO451" s="171"/>
      <c r="AP451" s="171"/>
      <c r="AQ451" s="171"/>
      <c r="AR451" s="171"/>
      <c r="AS451" s="171"/>
      <c r="AT451" s="171"/>
      <c r="AU451" s="171"/>
      <c r="AX451" s="171"/>
      <c r="AY451" s="171"/>
      <c r="AZ451" s="171"/>
      <c r="BA451" s="171"/>
      <c r="BB451" s="171"/>
      <c r="BF451" s="171"/>
      <c r="BH451" s="171"/>
    </row>
    <row r="452" spans="1:102" x14ac:dyDescent="0.25">
      <c r="A452" s="182"/>
      <c r="B452" s="182"/>
      <c r="C452" s="171"/>
      <c r="D452" s="171"/>
      <c r="E452" s="160"/>
      <c r="F452" s="171"/>
      <c r="G452" s="171"/>
      <c r="H452"/>
      <c r="I452" s="171"/>
      <c r="J452"/>
      <c r="K452"/>
      <c r="L452" s="247"/>
      <c r="M452" s="247"/>
      <c r="N452" s="171"/>
      <c r="O452" s="160"/>
      <c r="P452" s="171"/>
      <c r="Q452" s="160"/>
      <c r="R452" s="160"/>
      <c r="S452" s="171"/>
      <c r="T452" s="171"/>
      <c r="Y452" s="171"/>
      <c r="Z452" s="171"/>
      <c r="AA452" s="171"/>
      <c r="AB452" s="171"/>
      <c r="AC452" s="171"/>
      <c r="AD452" s="171"/>
      <c r="AE452" s="171"/>
      <c r="AF452" s="171"/>
      <c r="AN452" s="171"/>
      <c r="AO452" s="171"/>
      <c r="AP452" s="171"/>
      <c r="AQ452" s="171"/>
      <c r="AR452" s="171"/>
      <c r="AS452" s="171"/>
      <c r="AT452" s="171"/>
      <c r="AU452" s="171"/>
      <c r="AX452" s="171"/>
      <c r="AY452" s="171"/>
      <c r="BA452" s="171"/>
      <c r="BB452" s="171"/>
      <c r="BF452" s="171"/>
      <c r="BH452" s="171"/>
    </row>
    <row r="453" spans="1:102" x14ac:dyDescent="0.25">
      <c r="A453" s="182"/>
      <c r="B453" s="182"/>
      <c r="C453" s="171"/>
      <c r="D453" s="171"/>
      <c r="E453" s="160"/>
      <c r="F453" s="171"/>
      <c r="G453" s="171"/>
      <c r="H453"/>
      <c r="I453" s="171"/>
      <c r="J453"/>
      <c r="K453"/>
      <c r="L453" s="247"/>
      <c r="M453" s="247"/>
      <c r="N453" s="171"/>
      <c r="O453" s="160"/>
      <c r="P453" s="171"/>
      <c r="Q453" s="160"/>
      <c r="R453" s="160"/>
      <c r="S453" s="171"/>
      <c r="T453" s="171"/>
      <c r="Y453" s="171"/>
      <c r="Z453" s="171"/>
      <c r="AA453" s="171"/>
      <c r="AB453" s="171"/>
      <c r="AC453" s="171"/>
      <c r="AD453" s="171"/>
      <c r="AE453" s="171"/>
      <c r="AF453" s="171"/>
      <c r="AN453" s="171"/>
      <c r="AO453" s="171"/>
      <c r="AP453" s="171"/>
      <c r="AQ453" s="171"/>
      <c r="AR453" s="171"/>
      <c r="AS453" s="171"/>
      <c r="AT453" s="171"/>
      <c r="AU453" s="171"/>
      <c r="AX453" s="171"/>
      <c r="AY453" s="171"/>
      <c r="BA453" s="171"/>
      <c r="BB453" s="171"/>
      <c r="BF453" s="171"/>
      <c r="BH453" s="171"/>
    </row>
    <row r="454" spans="1:102" x14ac:dyDescent="0.25">
      <c r="A454" s="182"/>
      <c r="B454" s="182"/>
      <c r="C454" s="171"/>
      <c r="D454" s="171"/>
      <c r="E454" s="160"/>
      <c r="F454" s="171"/>
      <c r="G454" s="171"/>
      <c r="H454"/>
      <c r="I454" s="171"/>
      <c r="J454"/>
      <c r="K454"/>
      <c r="L454" s="247"/>
      <c r="M454" s="247"/>
      <c r="N454" s="171"/>
      <c r="O454" s="160"/>
      <c r="P454" s="171"/>
      <c r="Q454" s="160"/>
      <c r="R454" s="160"/>
      <c r="S454" s="171"/>
      <c r="T454" s="171"/>
      <c r="Y454" s="171"/>
      <c r="Z454" s="171"/>
      <c r="AA454" s="171"/>
      <c r="AB454" s="171"/>
      <c r="AC454" s="171"/>
      <c r="AD454" s="171"/>
      <c r="AE454" s="171"/>
      <c r="AF454" s="171"/>
      <c r="AN454" s="171"/>
      <c r="AO454" s="171"/>
      <c r="AP454" s="171"/>
      <c r="AQ454" s="171"/>
      <c r="AR454" s="171"/>
      <c r="AS454" s="171"/>
      <c r="AT454" s="171"/>
      <c r="AU454" s="171"/>
      <c r="AX454" s="171"/>
      <c r="AY454" s="171"/>
      <c r="BA454" s="171"/>
      <c r="BB454" s="171"/>
      <c r="BF454" s="171"/>
      <c r="BH454" s="171"/>
    </row>
    <row r="455" spans="1:102" x14ac:dyDescent="0.25">
      <c r="A455" s="182"/>
      <c r="B455" s="182"/>
      <c r="C455" s="171"/>
      <c r="D455" s="171"/>
      <c r="E455" s="160"/>
      <c r="F455" s="171"/>
      <c r="G455" s="171"/>
      <c r="H455" s="171"/>
      <c r="I455" s="171"/>
      <c r="J455" s="171"/>
      <c r="K455" s="171"/>
      <c r="L455" s="629"/>
      <c r="M455" s="629"/>
      <c r="N455" s="171"/>
      <c r="O455" s="160"/>
      <c r="P455" s="171"/>
      <c r="Q455" s="160"/>
      <c r="R455" s="160"/>
      <c r="S455" s="171"/>
      <c r="T455" s="171"/>
      <c r="Y455" s="171"/>
      <c r="Z455" s="171"/>
      <c r="AA455" s="171"/>
      <c r="AB455" s="171"/>
      <c r="AC455" s="171"/>
      <c r="AD455" s="171"/>
      <c r="AE455" s="171"/>
      <c r="AF455" s="171"/>
      <c r="AN455" s="171"/>
      <c r="AO455" s="171"/>
      <c r="AP455" s="171"/>
      <c r="AQ455" s="171"/>
      <c r="AR455" s="171"/>
      <c r="AS455" s="171"/>
      <c r="AT455" s="171"/>
      <c r="AU455" s="171"/>
      <c r="AX455" s="171"/>
      <c r="AY455" s="171"/>
      <c r="AZ455" s="171"/>
      <c r="BA455" s="171"/>
      <c r="BB455" s="171"/>
      <c r="BC455" s="171"/>
      <c r="BD455" s="171"/>
      <c r="BF455" s="171"/>
      <c r="BH455" s="171"/>
      <c r="BI455" s="168"/>
      <c r="BL455" s="168"/>
      <c r="BM455" s="168"/>
      <c r="BN455" s="168"/>
      <c r="BO455" s="168"/>
      <c r="BP455" s="168"/>
      <c r="BQ455" s="168"/>
      <c r="BR455" s="168"/>
      <c r="BS455" s="168"/>
      <c r="BT455" s="168"/>
      <c r="BU455" s="168"/>
      <c r="BV455" s="168"/>
      <c r="BW455" s="168"/>
      <c r="BX455" s="168"/>
      <c r="BY455" s="168"/>
      <c r="BZ455" s="168"/>
      <c r="CA455" s="168"/>
      <c r="CB455" s="168"/>
      <c r="CC455" s="168"/>
      <c r="CD455" s="168"/>
      <c r="CE455" s="168"/>
      <c r="CF455" s="168"/>
      <c r="CG455" s="168"/>
      <c r="CH455" s="168"/>
      <c r="CI455" s="168"/>
      <c r="CJ455" s="168"/>
      <c r="CK455" s="168"/>
      <c r="CL455" s="168"/>
      <c r="CM455" s="168"/>
      <c r="CN455" s="168"/>
      <c r="CO455" s="168"/>
      <c r="CP455" s="168"/>
      <c r="CQ455" s="168"/>
      <c r="CR455" s="168"/>
      <c r="CS455" s="168"/>
      <c r="CT455" s="168"/>
      <c r="CU455" s="168"/>
      <c r="CV455" s="168"/>
      <c r="CW455" s="168"/>
      <c r="CX455" s="168"/>
    </row>
    <row r="456" spans="1:102" x14ac:dyDescent="0.25">
      <c r="A456" s="182"/>
      <c r="B456" s="182"/>
      <c r="C456" s="171"/>
      <c r="D456" s="171"/>
      <c r="E456" s="160"/>
      <c r="F456" s="171"/>
      <c r="G456" s="171"/>
      <c r="H456"/>
      <c r="I456" s="171"/>
      <c r="J456"/>
      <c r="K456"/>
      <c r="L456" s="247"/>
      <c r="M456" s="247"/>
      <c r="N456" s="171"/>
      <c r="O456" s="160"/>
      <c r="P456" s="171"/>
      <c r="Q456" s="160"/>
      <c r="R456" s="160"/>
      <c r="S456" s="171"/>
      <c r="T456" s="171"/>
      <c r="Y456" s="171"/>
      <c r="Z456" s="171"/>
      <c r="AA456" s="171"/>
      <c r="AB456" s="171"/>
      <c r="AC456" s="171"/>
      <c r="AD456" s="171"/>
      <c r="AE456" s="171"/>
      <c r="AF456" s="171"/>
      <c r="AN456" s="171"/>
      <c r="AO456" s="171"/>
      <c r="AP456" s="171"/>
      <c r="AQ456" s="171"/>
      <c r="AR456" s="171"/>
      <c r="AS456" s="171"/>
      <c r="AT456" s="171"/>
      <c r="AU456" s="171"/>
      <c r="AX456" s="171"/>
      <c r="AY456" s="171"/>
      <c r="BA456" s="171"/>
      <c r="BB456" s="171"/>
      <c r="BF456" s="171"/>
      <c r="BH456" s="171"/>
    </row>
    <row r="457" spans="1:102" x14ac:dyDescent="0.25">
      <c r="A457" s="182"/>
      <c r="B457" s="182"/>
      <c r="C457" s="171"/>
      <c r="D457" s="171"/>
      <c r="E457" s="160"/>
      <c r="F457" s="171"/>
      <c r="G457" s="171"/>
      <c r="H457"/>
      <c r="I457" s="171"/>
      <c r="J457"/>
      <c r="K457"/>
      <c r="L457" s="247"/>
      <c r="M457" s="247"/>
      <c r="N457" s="171"/>
      <c r="O457" s="160"/>
      <c r="P457" s="171"/>
      <c r="Q457" s="160"/>
      <c r="R457" s="160"/>
      <c r="S457" s="171"/>
      <c r="T457" s="171"/>
      <c r="Y457" s="171"/>
      <c r="Z457" s="171"/>
      <c r="AA457" s="171"/>
      <c r="AB457" s="171"/>
      <c r="AC457" s="171"/>
      <c r="AD457" s="171"/>
      <c r="AE457" s="171"/>
      <c r="AF457" s="171"/>
      <c r="AN457" s="171"/>
      <c r="AO457" s="171"/>
      <c r="AP457" s="171"/>
      <c r="AQ457" s="171"/>
      <c r="AR457" s="171"/>
      <c r="AS457" s="171"/>
      <c r="AT457" s="171"/>
      <c r="AU457" s="171"/>
      <c r="AX457" s="171"/>
      <c r="AY457" s="171"/>
      <c r="BA457" s="171"/>
      <c r="BB457" s="171"/>
      <c r="BF457" s="171"/>
      <c r="BH457" s="171"/>
    </row>
    <row r="458" spans="1:102" x14ac:dyDescent="0.25">
      <c r="A458" s="182"/>
      <c r="B458" s="182"/>
      <c r="C458" s="171"/>
      <c r="D458" s="171"/>
      <c r="E458" s="160"/>
      <c r="F458" s="171"/>
      <c r="G458" s="171"/>
      <c r="H458"/>
      <c r="I458" s="171"/>
      <c r="J458"/>
      <c r="K458"/>
      <c r="L458" s="247"/>
      <c r="M458" s="247"/>
      <c r="N458" s="171"/>
      <c r="O458" s="160"/>
      <c r="P458" s="171"/>
      <c r="Q458" s="160"/>
      <c r="R458" s="160"/>
      <c r="S458" s="171"/>
      <c r="T458" s="171"/>
      <c r="Y458" s="171"/>
      <c r="Z458" s="171"/>
      <c r="AA458" s="171"/>
      <c r="AB458" s="171"/>
      <c r="AC458" s="171"/>
      <c r="AD458" s="171"/>
      <c r="AE458" s="171"/>
      <c r="AF458" s="171"/>
      <c r="AN458" s="171"/>
      <c r="AO458" s="171"/>
      <c r="AP458" s="171"/>
      <c r="AQ458" s="171"/>
      <c r="AR458" s="171"/>
      <c r="AS458" s="171"/>
      <c r="AT458" s="171"/>
      <c r="AU458" s="171"/>
      <c r="AX458" s="171"/>
      <c r="AY458" s="171"/>
      <c r="BA458" s="171"/>
      <c r="BB458" s="171"/>
      <c r="BF458" s="171"/>
      <c r="BH458" s="171"/>
    </row>
    <row r="459" spans="1:102" x14ac:dyDescent="0.25">
      <c r="A459" s="182"/>
      <c r="B459" s="182"/>
      <c r="C459" s="171"/>
      <c r="D459" s="171"/>
      <c r="E459" s="160"/>
      <c r="F459" s="171"/>
      <c r="G459" s="171"/>
      <c r="H459"/>
      <c r="I459" s="171"/>
      <c r="J459"/>
      <c r="K459"/>
      <c r="L459" s="247"/>
      <c r="M459" s="247"/>
      <c r="N459" s="171"/>
      <c r="O459" s="160"/>
      <c r="P459" s="171"/>
      <c r="Q459" s="160"/>
      <c r="R459" s="160"/>
      <c r="S459" s="171"/>
      <c r="T459" s="171"/>
      <c r="Y459" s="171"/>
      <c r="Z459" s="171"/>
      <c r="AA459" s="171"/>
      <c r="AB459" s="171"/>
      <c r="AC459" s="171"/>
      <c r="AD459" s="171"/>
      <c r="AE459" s="171"/>
      <c r="AF459" s="171"/>
      <c r="AN459" s="171"/>
      <c r="AO459" s="171"/>
      <c r="AP459" s="171"/>
      <c r="AQ459" s="171"/>
      <c r="AR459" s="171"/>
      <c r="AS459" s="171"/>
      <c r="AT459" s="171"/>
      <c r="AU459" s="171"/>
      <c r="AX459" s="171"/>
      <c r="AY459" s="171"/>
      <c r="BA459" s="171"/>
      <c r="BB459" s="171"/>
      <c r="BF459" s="171"/>
      <c r="BH459" s="171"/>
    </row>
    <row r="460" spans="1:102" x14ac:dyDescent="0.25">
      <c r="A460" s="182"/>
      <c r="B460" s="182"/>
      <c r="C460" s="171"/>
      <c r="D460" s="171"/>
      <c r="E460" s="160"/>
      <c r="F460" s="171"/>
      <c r="G460" s="171"/>
      <c r="H460"/>
      <c r="I460" s="171"/>
      <c r="J460"/>
      <c r="K460"/>
      <c r="L460" s="247"/>
      <c r="M460" s="247"/>
      <c r="N460" s="171"/>
      <c r="O460" s="160"/>
      <c r="P460" s="171"/>
      <c r="Q460" s="160"/>
      <c r="R460" s="160"/>
      <c r="S460" s="171"/>
      <c r="T460" s="171"/>
      <c r="Y460" s="171"/>
      <c r="Z460" s="171"/>
      <c r="AA460" s="171"/>
      <c r="AB460" s="171"/>
      <c r="AC460" s="171"/>
      <c r="AD460" s="171"/>
      <c r="AE460" s="171"/>
      <c r="AF460" s="171"/>
      <c r="AN460" s="171"/>
      <c r="AO460" s="171"/>
      <c r="AP460" s="171"/>
      <c r="AQ460" s="171"/>
      <c r="AR460" s="171"/>
      <c r="AS460" s="171"/>
      <c r="AT460" s="171"/>
      <c r="AU460" s="171"/>
      <c r="AX460" s="171"/>
      <c r="AY460" s="171"/>
      <c r="BA460" s="171"/>
      <c r="BB460" s="171"/>
      <c r="BF460" s="171"/>
      <c r="BH460" s="171"/>
    </row>
    <row r="461" spans="1:102" x14ac:dyDescent="0.25">
      <c r="A461" s="182"/>
      <c r="B461" s="182"/>
      <c r="C461" s="171"/>
      <c r="D461" s="171"/>
      <c r="E461" s="160"/>
      <c r="F461" s="171"/>
      <c r="G461"/>
      <c r="H461"/>
      <c r="I461" s="171"/>
      <c r="J461"/>
      <c r="K461"/>
      <c r="L461" s="247"/>
      <c r="M461" s="247"/>
      <c r="N461" s="171"/>
      <c r="O461" s="160"/>
      <c r="P461" s="171"/>
      <c r="Q461" s="160"/>
      <c r="R461" s="160"/>
      <c r="S461" s="171"/>
      <c r="T461" s="171"/>
      <c r="Y461" s="171"/>
      <c r="Z461" s="171"/>
      <c r="AA461" s="171"/>
      <c r="AB461" s="171"/>
      <c r="AC461" s="171"/>
      <c r="AD461" s="171"/>
      <c r="AE461" s="171"/>
      <c r="AF461" s="171"/>
      <c r="AN461" s="171"/>
      <c r="AO461" s="171"/>
      <c r="AP461" s="171"/>
      <c r="AQ461" s="171"/>
      <c r="AR461" s="171"/>
      <c r="AS461" s="171"/>
      <c r="AT461" s="171"/>
      <c r="AU461" s="171"/>
      <c r="AX461" s="171"/>
      <c r="BA461" s="171"/>
      <c r="BB461" s="171"/>
      <c r="BF461" s="171"/>
      <c r="BH461" s="171"/>
    </row>
    <row r="462" spans="1:102" x14ac:dyDescent="0.25">
      <c r="A462" s="182"/>
      <c r="B462" s="182"/>
      <c r="C462" s="171"/>
      <c r="D462" s="171"/>
      <c r="E462" s="160"/>
      <c r="F462" s="171"/>
      <c r="G462" s="171"/>
      <c r="H462"/>
      <c r="I462" s="171"/>
      <c r="J462"/>
      <c r="K462"/>
      <c r="L462" s="247"/>
      <c r="M462" s="247"/>
      <c r="N462" s="171"/>
      <c r="O462" s="160"/>
      <c r="P462" s="171"/>
      <c r="Q462" s="160"/>
      <c r="R462" s="160"/>
      <c r="S462" s="171"/>
      <c r="T462" s="171"/>
      <c r="Y462" s="171"/>
      <c r="Z462" s="171"/>
      <c r="AA462" s="171"/>
      <c r="AB462" s="171"/>
      <c r="AC462" s="171"/>
      <c r="AD462" s="171"/>
      <c r="AE462" s="171"/>
      <c r="AF462" s="171"/>
      <c r="AN462" s="171"/>
      <c r="AO462" s="171"/>
      <c r="AP462" s="171"/>
      <c r="AQ462" s="171"/>
      <c r="AR462" s="171"/>
      <c r="AS462" s="171"/>
      <c r="AT462" s="171"/>
      <c r="AU462" s="171"/>
      <c r="AX462" s="171"/>
      <c r="AY462" s="171"/>
      <c r="BA462" s="171"/>
      <c r="BB462" s="171"/>
      <c r="BF462" s="171"/>
      <c r="BH462" s="171"/>
    </row>
    <row r="463" spans="1:102" x14ac:dyDescent="0.25">
      <c r="A463" s="182"/>
      <c r="B463" s="182"/>
      <c r="C463" s="171"/>
      <c r="D463" s="171"/>
      <c r="E463" s="160"/>
      <c r="F463" s="171"/>
      <c r="G463"/>
      <c r="H463"/>
      <c r="I463" s="171"/>
      <c r="J463"/>
      <c r="K463"/>
      <c r="L463" s="247"/>
      <c r="M463" s="247"/>
      <c r="N463" s="171"/>
      <c r="O463" s="160"/>
      <c r="P463" s="171"/>
      <c r="Q463" s="160"/>
      <c r="R463" s="160"/>
      <c r="S463" s="171"/>
      <c r="T463" s="171"/>
      <c r="Y463" s="171"/>
      <c r="Z463" s="171"/>
      <c r="AA463" s="171"/>
      <c r="AB463" s="171"/>
      <c r="AC463" s="171"/>
      <c r="AD463" s="171"/>
      <c r="AE463" s="171"/>
      <c r="AF463" s="171"/>
      <c r="AN463" s="171"/>
      <c r="AO463" s="171"/>
      <c r="AP463" s="171"/>
      <c r="AQ463" s="171"/>
      <c r="AR463" s="171"/>
      <c r="AS463" s="171"/>
      <c r="AT463" s="171"/>
      <c r="AU463" s="171"/>
      <c r="AX463" s="171"/>
      <c r="BA463" s="171"/>
      <c r="BB463" s="171"/>
      <c r="BF463" s="171"/>
      <c r="BH463" s="171"/>
    </row>
    <row r="464" spans="1:102" x14ac:dyDescent="0.25">
      <c r="A464" s="182"/>
      <c r="B464" s="182"/>
      <c r="C464" s="171"/>
      <c r="D464" s="171"/>
      <c r="E464" s="160"/>
      <c r="F464" s="171"/>
      <c r="G464" s="171"/>
      <c r="H464"/>
      <c r="I464" s="171"/>
      <c r="J464"/>
      <c r="K464"/>
      <c r="L464" s="247"/>
      <c r="M464" s="247"/>
      <c r="N464" s="171"/>
      <c r="O464" s="160"/>
      <c r="P464" s="171"/>
      <c r="Q464" s="160"/>
      <c r="R464" s="160"/>
      <c r="S464" s="171"/>
      <c r="T464" s="171"/>
      <c r="Y464" s="171"/>
      <c r="Z464" s="171"/>
      <c r="AA464" s="171"/>
      <c r="AB464" s="171"/>
      <c r="AC464" s="171"/>
      <c r="AD464" s="171"/>
      <c r="AE464" s="171"/>
      <c r="AF464" s="171"/>
      <c r="AN464" s="171"/>
      <c r="AO464" s="171"/>
      <c r="AP464" s="171"/>
      <c r="AQ464" s="171"/>
      <c r="AR464" s="171"/>
      <c r="AS464" s="171"/>
      <c r="AT464" s="171"/>
      <c r="AU464" s="171"/>
      <c r="AX464" s="171"/>
      <c r="AY464" s="171"/>
      <c r="BA464" s="171"/>
      <c r="BB464" s="171"/>
      <c r="BF464" s="171"/>
      <c r="BH464" s="171"/>
    </row>
    <row r="465" spans="1:102" x14ac:dyDescent="0.25">
      <c r="A465" s="182"/>
      <c r="B465" s="182"/>
      <c r="C465" s="171"/>
      <c r="D465" s="171"/>
      <c r="E465" s="160"/>
      <c r="F465" s="171"/>
      <c r="G465" s="171"/>
      <c r="H465"/>
      <c r="I465" s="171"/>
      <c r="J465"/>
      <c r="K465"/>
      <c r="L465" s="247"/>
      <c r="M465" s="247"/>
      <c r="N465" s="171"/>
      <c r="O465" s="160"/>
      <c r="P465" s="171"/>
      <c r="Q465" s="160"/>
      <c r="R465" s="160"/>
      <c r="S465" s="171"/>
      <c r="T465" s="171"/>
      <c r="Y465" s="171"/>
      <c r="Z465" s="171"/>
      <c r="AA465" s="171"/>
      <c r="AB465" s="171"/>
      <c r="AC465" s="171"/>
      <c r="AD465" s="171"/>
      <c r="AE465" s="171"/>
      <c r="AF465" s="171"/>
      <c r="AN465" s="171"/>
      <c r="AO465" s="171"/>
      <c r="AP465" s="171"/>
      <c r="AQ465" s="171"/>
      <c r="AR465" s="171"/>
      <c r="AS465" s="171"/>
      <c r="AT465" s="171"/>
      <c r="AU465" s="171"/>
      <c r="AX465" s="171"/>
      <c r="AY465" s="171"/>
      <c r="BA465" s="171"/>
      <c r="BB465" s="171"/>
      <c r="BF465" s="171"/>
      <c r="BH465" s="171"/>
    </row>
    <row r="466" spans="1:102" x14ac:dyDescent="0.25">
      <c r="A466" s="182"/>
      <c r="B466" s="182"/>
      <c r="C466" s="171"/>
      <c r="D466" s="171"/>
      <c r="E466" s="160"/>
      <c r="F466" s="171"/>
      <c r="G466" s="171"/>
      <c r="H466"/>
      <c r="I466" s="171"/>
      <c r="J466"/>
      <c r="K466"/>
      <c r="L466" s="247"/>
      <c r="M466" s="247"/>
      <c r="N466" s="171"/>
      <c r="O466" s="160"/>
      <c r="P466" s="171"/>
      <c r="Q466" s="160"/>
      <c r="R466" s="160"/>
      <c r="S466" s="171"/>
      <c r="T466" s="171"/>
      <c r="Y466" s="171"/>
      <c r="Z466" s="171"/>
      <c r="AA466" s="171"/>
      <c r="AB466" s="171"/>
      <c r="AC466" s="171"/>
      <c r="AD466" s="171"/>
      <c r="AE466" s="171"/>
      <c r="AF466" s="171"/>
      <c r="AN466" s="171"/>
      <c r="AO466" s="171"/>
      <c r="AP466" s="171"/>
      <c r="AQ466" s="171"/>
      <c r="AR466" s="171"/>
      <c r="AS466" s="171"/>
      <c r="AT466" s="171"/>
      <c r="AU466" s="171"/>
      <c r="AX466" s="171"/>
      <c r="AY466" s="171"/>
      <c r="BA466" s="171"/>
      <c r="BB466" s="171"/>
      <c r="BF466" s="171"/>
      <c r="BH466" s="171"/>
    </row>
    <row r="467" spans="1:102" x14ac:dyDescent="0.25">
      <c r="A467" s="182"/>
      <c r="B467" s="182"/>
      <c r="C467" s="171"/>
      <c r="D467" s="171"/>
      <c r="E467" s="160"/>
      <c r="F467" s="171"/>
      <c r="G467" s="171"/>
      <c r="H467" s="171"/>
      <c r="I467" s="171"/>
      <c r="J467"/>
      <c r="K467"/>
      <c r="L467" s="247"/>
      <c r="M467" s="247"/>
      <c r="N467" s="171"/>
      <c r="O467" s="160"/>
      <c r="P467" s="171"/>
      <c r="Q467" s="160"/>
      <c r="R467" s="160"/>
      <c r="S467" s="171"/>
      <c r="T467" s="171"/>
      <c r="Y467" s="171"/>
      <c r="Z467" s="171"/>
      <c r="AA467" s="171"/>
      <c r="AB467" s="171"/>
      <c r="AC467" s="171"/>
      <c r="AD467" s="171"/>
      <c r="AE467" s="171"/>
      <c r="AF467" s="171"/>
      <c r="AN467" s="171"/>
      <c r="AO467" s="171"/>
      <c r="AP467" s="171"/>
      <c r="AQ467" s="171"/>
      <c r="AR467" s="171"/>
      <c r="AS467" s="171"/>
      <c r="AT467" s="171"/>
      <c r="AU467" s="171"/>
      <c r="AX467" s="171"/>
      <c r="AY467" s="171"/>
      <c r="AZ467" s="171"/>
      <c r="BA467" s="171"/>
      <c r="BB467" s="171"/>
      <c r="BF467" s="171"/>
      <c r="BH467" s="171"/>
    </row>
    <row r="468" spans="1:102" x14ac:dyDescent="0.25">
      <c r="A468" s="182"/>
      <c r="B468" s="182"/>
      <c r="C468" s="171"/>
      <c r="D468" s="171"/>
      <c r="E468" s="160"/>
      <c r="F468" s="171"/>
      <c r="G468" s="171"/>
      <c r="H468"/>
      <c r="I468" s="171"/>
      <c r="J468"/>
      <c r="K468"/>
      <c r="L468" s="247"/>
      <c r="M468" s="247"/>
      <c r="N468" s="171"/>
      <c r="O468" s="160"/>
      <c r="P468" s="171"/>
      <c r="Q468" s="160"/>
      <c r="R468" s="160"/>
      <c r="S468" s="171"/>
      <c r="T468" s="171"/>
      <c r="Y468" s="171"/>
      <c r="Z468" s="171"/>
      <c r="AA468" s="171"/>
      <c r="AB468" s="171"/>
      <c r="AC468" s="171"/>
      <c r="AD468" s="171"/>
      <c r="AE468" s="171"/>
      <c r="AF468" s="171"/>
      <c r="AN468" s="171"/>
      <c r="AO468" s="171"/>
      <c r="AP468" s="171"/>
      <c r="AQ468" s="171"/>
      <c r="AR468" s="171"/>
      <c r="AS468" s="171"/>
      <c r="AT468" s="171"/>
      <c r="AU468" s="171"/>
      <c r="AX468" s="171"/>
      <c r="AY468" s="171"/>
      <c r="BA468" s="171"/>
      <c r="BB468" s="171"/>
      <c r="BF468" s="171"/>
      <c r="BH468" s="171"/>
    </row>
    <row r="469" spans="1:102" x14ac:dyDescent="0.25">
      <c r="A469" s="182"/>
      <c r="B469" s="182"/>
      <c r="C469" s="171"/>
      <c r="D469" s="171"/>
      <c r="E469" s="160"/>
      <c r="F469" s="171"/>
      <c r="G469" s="171"/>
      <c r="H469"/>
      <c r="I469" s="171"/>
      <c r="J469"/>
      <c r="K469"/>
      <c r="L469" s="247"/>
      <c r="M469" s="247"/>
      <c r="N469" s="171"/>
      <c r="O469" s="160"/>
      <c r="P469" s="171"/>
      <c r="Q469" s="160"/>
      <c r="R469" s="160"/>
      <c r="S469" s="171"/>
      <c r="T469" s="171"/>
      <c r="Y469" s="171"/>
      <c r="Z469" s="171"/>
      <c r="AA469" s="171"/>
      <c r="AB469" s="171"/>
      <c r="AC469" s="171"/>
      <c r="AD469" s="171"/>
      <c r="AE469" s="171"/>
      <c r="AF469" s="171"/>
      <c r="AN469" s="171"/>
      <c r="AO469" s="171"/>
      <c r="AP469" s="171"/>
      <c r="AQ469" s="171"/>
      <c r="AR469" s="171"/>
      <c r="AS469" s="171"/>
      <c r="AT469" s="171"/>
      <c r="AU469" s="171"/>
      <c r="AX469" s="171"/>
      <c r="AY469" s="171"/>
      <c r="BA469" s="171"/>
      <c r="BB469" s="171"/>
      <c r="BF469" s="171"/>
      <c r="BH469" s="171"/>
    </row>
    <row r="470" spans="1:102" x14ac:dyDescent="0.25">
      <c r="A470" s="182"/>
      <c r="B470" s="182"/>
      <c r="C470" s="171"/>
      <c r="D470" s="171"/>
      <c r="E470" s="160"/>
      <c r="F470" s="171"/>
      <c r="G470" s="171"/>
      <c r="H470"/>
      <c r="I470" s="171"/>
      <c r="J470"/>
      <c r="K470"/>
      <c r="L470" s="247"/>
      <c r="M470" s="247"/>
      <c r="N470" s="171"/>
      <c r="O470" s="160"/>
      <c r="P470" s="171"/>
      <c r="Q470" s="160"/>
      <c r="R470" s="160"/>
      <c r="S470" s="171"/>
      <c r="T470" s="171"/>
      <c r="Y470" s="171"/>
      <c r="Z470" s="171"/>
      <c r="AA470" s="171"/>
      <c r="AB470" s="171"/>
      <c r="AC470" s="171"/>
      <c r="AD470" s="171"/>
      <c r="AE470" s="171"/>
      <c r="AF470" s="171"/>
      <c r="AN470" s="171"/>
      <c r="AO470" s="171"/>
      <c r="AP470" s="171"/>
      <c r="AQ470" s="171"/>
      <c r="AR470" s="171"/>
      <c r="AS470" s="171"/>
      <c r="AT470" s="171"/>
      <c r="AU470" s="171"/>
      <c r="AX470" s="171"/>
      <c r="AY470" s="171"/>
      <c r="BA470" s="171"/>
      <c r="BB470" s="171"/>
      <c r="BF470" s="171"/>
      <c r="BH470" s="171"/>
    </row>
    <row r="471" spans="1:102" x14ac:dyDescent="0.25">
      <c r="A471" s="182"/>
      <c r="B471" s="182"/>
      <c r="C471" s="171"/>
      <c r="D471" s="171"/>
      <c r="E471" s="160"/>
      <c r="F471" s="171"/>
      <c r="G471" s="171"/>
      <c r="H471"/>
      <c r="I471" s="171"/>
      <c r="J471"/>
      <c r="K471"/>
      <c r="L471" s="247"/>
      <c r="M471" s="247"/>
      <c r="N471" s="171"/>
      <c r="O471" s="160"/>
      <c r="P471" s="171"/>
      <c r="Q471" s="160"/>
      <c r="R471" s="160"/>
      <c r="S471" s="171"/>
      <c r="T471" s="171"/>
      <c r="Y471" s="171"/>
      <c r="Z471" s="171"/>
      <c r="AA471" s="171"/>
      <c r="AB471" s="171"/>
      <c r="AC471" s="171"/>
      <c r="AD471" s="171"/>
      <c r="AE471" s="171"/>
      <c r="AF471" s="171"/>
      <c r="AN471" s="171"/>
      <c r="AO471" s="171"/>
      <c r="AP471" s="171"/>
      <c r="AQ471" s="171"/>
      <c r="AR471" s="171"/>
      <c r="AS471" s="171"/>
      <c r="AT471" s="171"/>
      <c r="AU471" s="171"/>
      <c r="AX471" s="171"/>
      <c r="AY471" s="171"/>
      <c r="BA471" s="171"/>
      <c r="BB471" s="171"/>
      <c r="BF471" s="171"/>
      <c r="BH471" s="171"/>
    </row>
    <row r="472" spans="1:102" x14ac:dyDescent="0.25">
      <c r="A472" s="182"/>
      <c r="B472" s="182"/>
      <c r="C472" s="171"/>
      <c r="D472" s="171"/>
      <c r="E472" s="160"/>
      <c r="F472" s="171"/>
      <c r="G472" s="171"/>
      <c r="H472"/>
      <c r="I472" s="171"/>
      <c r="J472"/>
      <c r="K472"/>
      <c r="L472" s="247"/>
      <c r="M472" s="247"/>
      <c r="N472" s="171"/>
      <c r="O472" s="160"/>
      <c r="P472" s="171"/>
      <c r="Q472" s="160"/>
      <c r="R472" s="160"/>
      <c r="S472" s="171"/>
      <c r="T472" s="171"/>
      <c r="Y472" s="171"/>
      <c r="Z472" s="171"/>
      <c r="AA472" s="171"/>
      <c r="AB472" s="171"/>
      <c r="AC472" s="171"/>
      <c r="AD472" s="171"/>
      <c r="AE472" s="171"/>
      <c r="AF472" s="171"/>
      <c r="AN472" s="171"/>
      <c r="AO472" s="171"/>
      <c r="AP472" s="171"/>
      <c r="AQ472" s="171"/>
      <c r="AR472" s="171"/>
      <c r="AS472" s="171"/>
      <c r="AT472" s="171"/>
      <c r="AU472" s="171"/>
      <c r="AX472" s="171"/>
      <c r="AY472" s="171"/>
      <c r="BA472" s="171"/>
      <c r="BB472" s="171"/>
      <c r="BF472" s="171"/>
      <c r="BH472" s="171"/>
    </row>
    <row r="473" spans="1:102" x14ac:dyDescent="0.25">
      <c r="A473" s="182"/>
      <c r="B473" s="182"/>
      <c r="C473" s="171"/>
      <c r="D473" s="171"/>
      <c r="E473" s="160"/>
      <c r="F473" s="171"/>
      <c r="G473" s="171"/>
      <c r="H473" s="171"/>
      <c r="I473" s="171"/>
      <c r="J473" s="171"/>
      <c r="K473" s="171"/>
      <c r="L473" s="629"/>
      <c r="M473" s="629"/>
      <c r="N473" s="171"/>
      <c r="O473" s="160"/>
      <c r="P473" s="171"/>
      <c r="Q473" s="160"/>
      <c r="R473" s="160"/>
      <c r="S473" s="171"/>
      <c r="T473" s="171"/>
      <c r="Y473" s="171"/>
      <c r="Z473" s="171"/>
      <c r="AA473" s="171"/>
      <c r="AB473" s="171"/>
      <c r="AC473" s="171"/>
      <c r="AD473" s="171"/>
      <c r="AE473" s="171"/>
      <c r="AF473" s="171"/>
      <c r="AN473" s="171"/>
      <c r="AO473" s="171"/>
      <c r="AP473" s="171"/>
      <c r="AQ473" s="171"/>
      <c r="AR473" s="171"/>
      <c r="AS473" s="171"/>
      <c r="AT473" s="171"/>
      <c r="AU473" s="171"/>
      <c r="AX473" s="171"/>
      <c r="AY473" s="171"/>
      <c r="AZ473" s="171"/>
      <c r="BA473" s="171"/>
      <c r="BB473" s="171"/>
      <c r="BC473" s="171"/>
      <c r="BD473" s="171"/>
      <c r="BF473" s="171"/>
      <c r="BH473" s="171"/>
      <c r="BI473" s="168"/>
      <c r="BJ473" s="168"/>
      <c r="BL473" s="168"/>
      <c r="BM473" s="168"/>
      <c r="BN473" s="168"/>
      <c r="BO473" s="168"/>
      <c r="BP473" s="168"/>
      <c r="BQ473" s="168"/>
      <c r="BR473" s="168"/>
      <c r="BS473" s="168"/>
      <c r="BT473" s="168"/>
      <c r="BU473" s="168"/>
      <c r="BV473" s="168"/>
      <c r="BW473" s="168"/>
      <c r="BX473" s="168"/>
      <c r="BY473" s="168"/>
      <c r="BZ473" s="168"/>
      <c r="CA473" s="168"/>
      <c r="CB473" s="168"/>
      <c r="CC473" s="168"/>
      <c r="CD473" s="168"/>
      <c r="CE473" s="168"/>
      <c r="CF473" s="168"/>
      <c r="CG473" s="168"/>
      <c r="CH473" s="168"/>
      <c r="CI473" s="168"/>
      <c r="CJ473" s="168"/>
      <c r="CK473" s="168"/>
      <c r="CL473" s="168"/>
      <c r="CM473" s="168"/>
      <c r="CN473" s="168"/>
      <c r="CO473" s="168"/>
      <c r="CP473" s="168"/>
      <c r="CQ473" s="168"/>
      <c r="CR473" s="168"/>
      <c r="CS473" s="168"/>
      <c r="CT473" s="168"/>
      <c r="CU473" s="168"/>
      <c r="CV473" s="168"/>
      <c r="CW473" s="168"/>
      <c r="CX473" s="168"/>
    </row>
    <row r="474" spans="1:102" x14ac:dyDescent="0.25">
      <c r="A474" s="182"/>
      <c r="B474" s="182"/>
      <c r="C474" s="171"/>
      <c r="D474" s="171"/>
      <c r="E474" s="160"/>
      <c r="F474" s="171"/>
      <c r="G474"/>
      <c r="H474"/>
      <c r="I474" s="171"/>
      <c r="J474"/>
      <c r="K474"/>
      <c r="L474" s="247"/>
      <c r="M474" s="247"/>
      <c r="N474" s="171"/>
      <c r="O474" s="160"/>
      <c r="P474" s="171"/>
      <c r="Q474" s="160"/>
      <c r="R474" s="160"/>
      <c r="S474" s="171"/>
      <c r="T474" s="171"/>
      <c r="Y474" s="171"/>
      <c r="Z474" s="171"/>
      <c r="AA474" s="171"/>
      <c r="AB474" s="171"/>
      <c r="AC474" s="171"/>
      <c r="AD474" s="171"/>
      <c r="AE474" s="171"/>
      <c r="AF474" s="171"/>
      <c r="AN474" s="171"/>
      <c r="AO474" s="171"/>
      <c r="AP474" s="171"/>
      <c r="AQ474" s="171"/>
      <c r="AR474" s="171"/>
      <c r="AS474" s="171"/>
      <c r="AT474" s="171"/>
      <c r="AU474" s="171"/>
      <c r="AX474" s="171"/>
      <c r="BA474" s="171"/>
      <c r="BB474" s="171"/>
      <c r="BF474" s="171"/>
      <c r="BH474" s="171"/>
    </row>
    <row r="475" spans="1:102" x14ac:dyDescent="0.25">
      <c r="A475" s="182"/>
      <c r="B475" s="182"/>
      <c r="C475" s="171"/>
      <c r="D475" s="171"/>
      <c r="E475" s="160"/>
      <c r="F475" s="171"/>
      <c r="G475" s="171"/>
      <c r="H475"/>
      <c r="I475" s="171"/>
      <c r="J475"/>
      <c r="K475"/>
      <c r="L475" s="247"/>
      <c r="M475" s="247"/>
      <c r="N475" s="171"/>
      <c r="O475" s="160"/>
      <c r="P475" s="171"/>
      <c r="Q475" s="160"/>
      <c r="R475" s="160"/>
      <c r="S475" s="171"/>
      <c r="T475" s="171"/>
      <c r="Y475" s="171"/>
      <c r="Z475" s="171"/>
      <c r="AA475" s="171"/>
      <c r="AB475" s="171"/>
      <c r="AC475" s="171"/>
      <c r="AD475" s="171"/>
      <c r="AE475" s="171"/>
      <c r="AF475" s="171"/>
      <c r="AN475" s="171"/>
      <c r="AO475" s="171"/>
      <c r="AP475" s="171"/>
      <c r="AQ475" s="171"/>
      <c r="AR475" s="171"/>
      <c r="AS475" s="171"/>
      <c r="AT475" s="171"/>
      <c r="AU475" s="171"/>
      <c r="AX475" s="171"/>
      <c r="AY475" s="171"/>
      <c r="BA475" s="171"/>
      <c r="BB475" s="171"/>
      <c r="BF475" s="171"/>
      <c r="BH475" s="171"/>
    </row>
    <row r="476" spans="1:102" x14ac:dyDescent="0.25">
      <c r="A476" s="182"/>
      <c r="B476" s="182"/>
      <c r="C476" s="171"/>
      <c r="D476" s="171"/>
      <c r="E476" s="160"/>
      <c r="F476" s="171"/>
      <c r="G476" s="171"/>
      <c r="H476"/>
      <c r="I476" s="171"/>
      <c r="J476"/>
      <c r="K476"/>
      <c r="L476" s="247"/>
      <c r="M476" s="247"/>
      <c r="N476" s="171"/>
      <c r="O476" s="160"/>
      <c r="P476" s="171"/>
      <c r="Q476" s="160"/>
      <c r="R476" s="160"/>
      <c r="S476" s="171"/>
      <c r="T476" s="171"/>
      <c r="Y476" s="171"/>
      <c r="Z476" s="171"/>
      <c r="AA476" s="171"/>
      <c r="AB476" s="171"/>
      <c r="AC476" s="171"/>
      <c r="AD476" s="171"/>
      <c r="AE476" s="171"/>
      <c r="AF476" s="171"/>
      <c r="AN476" s="171"/>
      <c r="AO476" s="171"/>
      <c r="AP476" s="171"/>
      <c r="AQ476" s="171"/>
      <c r="AR476" s="171"/>
      <c r="AS476" s="171"/>
      <c r="AT476" s="171"/>
      <c r="AU476" s="171"/>
      <c r="AX476" s="171"/>
      <c r="AY476" s="171"/>
      <c r="BA476" s="171"/>
      <c r="BB476" s="171"/>
      <c r="BF476" s="171"/>
      <c r="BH476" s="171"/>
    </row>
    <row r="477" spans="1:102" x14ac:dyDescent="0.25">
      <c r="A477" s="182"/>
      <c r="B477" s="182"/>
      <c r="C477" s="171"/>
      <c r="D477" s="171"/>
      <c r="E477" s="160"/>
      <c r="F477" s="171"/>
      <c r="G477" s="171"/>
      <c r="H477"/>
      <c r="I477" s="171"/>
      <c r="J477"/>
      <c r="K477"/>
      <c r="L477" s="247"/>
      <c r="M477" s="247"/>
      <c r="N477" s="171"/>
      <c r="O477" s="160"/>
      <c r="P477" s="171"/>
      <c r="Q477" s="160"/>
      <c r="R477" s="160"/>
      <c r="S477" s="171"/>
      <c r="T477" s="171"/>
      <c r="Y477" s="171"/>
      <c r="Z477" s="171"/>
      <c r="AA477" s="171"/>
      <c r="AB477" s="171"/>
      <c r="AC477" s="171"/>
      <c r="AD477" s="171"/>
      <c r="AE477" s="171"/>
      <c r="AF477" s="171"/>
      <c r="AN477" s="171"/>
      <c r="AO477" s="171"/>
      <c r="AP477" s="171"/>
      <c r="AQ477" s="171"/>
      <c r="AR477" s="171"/>
      <c r="AS477" s="171"/>
      <c r="AT477" s="171"/>
      <c r="AU477" s="171"/>
      <c r="AX477" s="171"/>
      <c r="AY477" s="171"/>
      <c r="BA477" s="171"/>
      <c r="BB477" s="171"/>
      <c r="BF477" s="171"/>
      <c r="BH477" s="171"/>
    </row>
    <row r="478" spans="1:102" x14ac:dyDescent="0.25">
      <c r="A478" s="182"/>
      <c r="B478" s="182"/>
      <c r="C478" s="171"/>
      <c r="D478" s="171"/>
      <c r="E478" s="160"/>
      <c r="F478" s="171"/>
      <c r="G478" s="171"/>
      <c r="H478"/>
      <c r="I478" s="171"/>
      <c r="J478"/>
      <c r="K478"/>
      <c r="L478" s="247"/>
      <c r="M478" s="247"/>
      <c r="N478" s="171"/>
      <c r="O478" s="160"/>
      <c r="P478" s="171"/>
      <c r="Q478" s="160"/>
      <c r="R478" s="160"/>
      <c r="S478" s="171"/>
      <c r="T478" s="171"/>
      <c r="Y478" s="171"/>
      <c r="Z478" s="171"/>
      <c r="AA478" s="171"/>
      <c r="AB478" s="171"/>
      <c r="AC478" s="171"/>
      <c r="AD478" s="171"/>
      <c r="AE478" s="171"/>
      <c r="AF478" s="171"/>
      <c r="AN478" s="171"/>
      <c r="AO478" s="171"/>
      <c r="AP478" s="171"/>
      <c r="AQ478" s="171"/>
      <c r="AR478" s="171"/>
      <c r="AS478" s="171"/>
      <c r="AT478" s="171"/>
      <c r="AU478" s="171"/>
      <c r="AX478" s="171"/>
      <c r="AY478" s="171"/>
      <c r="BA478" s="171"/>
      <c r="BB478" s="171"/>
      <c r="BF478" s="171"/>
      <c r="BH478" s="171"/>
    </row>
    <row r="479" spans="1:102" x14ac:dyDescent="0.25">
      <c r="A479" s="182"/>
      <c r="B479" s="182"/>
      <c r="C479" s="171"/>
      <c r="D479" s="171"/>
      <c r="E479" s="160"/>
      <c r="F479" s="171"/>
      <c r="G479"/>
      <c r="H479"/>
      <c r="I479" s="171"/>
      <c r="J479"/>
      <c r="K479"/>
      <c r="L479" s="247"/>
      <c r="M479" s="247"/>
      <c r="N479" s="171"/>
      <c r="O479" s="160"/>
      <c r="P479" s="171"/>
      <c r="Q479" s="160"/>
      <c r="R479" s="160"/>
      <c r="S479" s="171"/>
      <c r="T479" s="171"/>
      <c r="Y479" s="171"/>
      <c r="Z479" s="171"/>
      <c r="AA479" s="171"/>
      <c r="AB479" s="171"/>
      <c r="AC479" s="171"/>
      <c r="AD479" s="171"/>
      <c r="AE479" s="171"/>
      <c r="AF479" s="171"/>
      <c r="AN479" s="171"/>
      <c r="AO479" s="171"/>
      <c r="AP479" s="171"/>
      <c r="AQ479" s="171"/>
      <c r="AR479" s="171"/>
      <c r="AS479" s="171"/>
      <c r="AT479" s="171"/>
      <c r="AU479" s="171"/>
      <c r="AX479" s="171"/>
      <c r="BA479" s="171"/>
      <c r="BB479" s="171"/>
      <c r="BF479" s="171"/>
      <c r="BH479" s="171"/>
    </row>
    <row r="480" spans="1:102" x14ac:dyDescent="0.25">
      <c r="A480" s="182"/>
      <c r="B480" s="182"/>
      <c r="C480" s="171"/>
      <c r="D480" s="171"/>
      <c r="E480" s="160"/>
      <c r="F480" s="171"/>
      <c r="G480" s="171"/>
      <c r="H480"/>
      <c r="I480" s="171"/>
      <c r="J480"/>
      <c r="K480"/>
      <c r="L480" s="247"/>
      <c r="M480" s="247"/>
      <c r="N480" s="171"/>
      <c r="O480" s="160"/>
      <c r="P480" s="171"/>
      <c r="Q480" s="160"/>
      <c r="R480" s="160"/>
      <c r="S480" s="171"/>
      <c r="T480" s="171"/>
      <c r="Y480" s="171"/>
      <c r="Z480" s="171"/>
      <c r="AA480" s="171"/>
      <c r="AB480" s="171"/>
      <c r="AC480" s="171"/>
      <c r="AD480" s="171"/>
      <c r="AE480" s="171"/>
      <c r="AF480" s="171"/>
      <c r="AN480" s="171"/>
      <c r="AO480" s="171"/>
      <c r="AP480" s="171"/>
      <c r="AQ480" s="171"/>
      <c r="AR480" s="171"/>
      <c r="AS480" s="171"/>
      <c r="AT480" s="171"/>
      <c r="AU480" s="171"/>
      <c r="AX480" s="171"/>
      <c r="AY480" s="171"/>
      <c r="BA480" s="171"/>
      <c r="BB480" s="171"/>
      <c r="BF480" s="171"/>
      <c r="BH480" s="171"/>
    </row>
    <row r="481" spans="1:102" x14ac:dyDescent="0.25">
      <c r="A481" s="182"/>
      <c r="B481" s="182"/>
      <c r="C481" s="171"/>
      <c r="D481" s="171"/>
      <c r="E481" s="160"/>
      <c r="F481" s="171"/>
      <c r="G481" s="171"/>
      <c r="H481"/>
      <c r="I481" s="171"/>
      <c r="J481"/>
      <c r="K481"/>
      <c r="L481" s="247"/>
      <c r="M481" s="247"/>
      <c r="N481" s="171"/>
      <c r="O481" s="160"/>
      <c r="P481" s="171"/>
      <c r="Q481" s="160"/>
      <c r="R481" s="160"/>
      <c r="S481" s="171"/>
      <c r="T481" s="171"/>
      <c r="Y481" s="171"/>
      <c r="Z481" s="171"/>
      <c r="AA481" s="171"/>
      <c r="AB481" s="171"/>
      <c r="AC481" s="171"/>
      <c r="AD481" s="171"/>
      <c r="AE481" s="171"/>
      <c r="AF481" s="171"/>
      <c r="AN481" s="171"/>
      <c r="AO481" s="171"/>
      <c r="AP481" s="171"/>
      <c r="AQ481" s="171"/>
      <c r="AR481" s="171"/>
      <c r="AS481" s="171"/>
      <c r="AT481" s="171"/>
      <c r="AU481" s="171"/>
      <c r="AX481" s="171"/>
      <c r="AY481" s="171"/>
      <c r="BA481" s="171"/>
      <c r="BB481" s="171"/>
      <c r="BF481" s="171"/>
      <c r="BH481" s="171"/>
    </row>
    <row r="482" spans="1:102" x14ac:dyDescent="0.25">
      <c r="A482" s="182"/>
      <c r="B482" s="182"/>
      <c r="C482" s="171"/>
      <c r="D482" s="171"/>
      <c r="E482" s="160"/>
      <c r="F482" s="171"/>
      <c r="G482" s="171"/>
      <c r="H482"/>
      <c r="I482" s="171"/>
      <c r="J482"/>
      <c r="K482"/>
      <c r="L482" s="247"/>
      <c r="M482" s="247"/>
      <c r="N482" s="171"/>
      <c r="O482" s="160"/>
      <c r="P482" s="171"/>
      <c r="Q482" s="160"/>
      <c r="R482" s="160"/>
      <c r="S482" s="171"/>
      <c r="T482" s="171"/>
      <c r="Y482" s="171"/>
      <c r="Z482" s="171"/>
      <c r="AA482" s="171"/>
      <c r="AB482" s="171"/>
      <c r="AC482" s="171"/>
      <c r="AD482" s="171"/>
      <c r="AE482" s="171"/>
      <c r="AF482" s="171"/>
      <c r="AN482" s="171"/>
      <c r="AO482" s="171"/>
      <c r="AP482" s="171"/>
      <c r="AQ482" s="171"/>
      <c r="AR482" s="171"/>
      <c r="AS482" s="171"/>
      <c r="AT482" s="171"/>
      <c r="AU482" s="171"/>
      <c r="AX482" s="171"/>
      <c r="AY482" s="171"/>
      <c r="BA482" s="171"/>
      <c r="BB482" s="171"/>
      <c r="BF482" s="171"/>
      <c r="BH482" s="171"/>
    </row>
    <row r="483" spans="1:102" x14ac:dyDescent="0.25">
      <c r="A483" s="182"/>
      <c r="B483" s="182"/>
      <c r="C483" s="171"/>
      <c r="D483" s="171"/>
      <c r="E483" s="160"/>
      <c r="F483" s="171"/>
      <c r="G483" s="171"/>
      <c r="H483"/>
      <c r="I483" s="171"/>
      <c r="J483"/>
      <c r="K483"/>
      <c r="L483" s="247"/>
      <c r="M483" s="247"/>
      <c r="N483" s="171"/>
      <c r="O483" s="160"/>
      <c r="P483" s="171"/>
      <c r="Q483" s="160"/>
      <c r="R483" s="160"/>
      <c r="S483" s="171"/>
      <c r="T483" s="171"/>
      <c r="Y483" s="171"/>
      <c r="Z483" s="171"/>
      <c r="AA483" s="171"/>
      <c r="AB483" s="171"/>
      <c r="AC483" s="171"/>
      <c r="AD483" s="171"/>
      <c r="AE483" s="171"/>
      <c r="AF483" s="171"/>
      <c r="AN483" s="171"/>
      <c r="AO483" s="171"/>
      <c r="AP483" s="171"/>
      <c r="AQ483" s="171"/>
      <c r="AR483" s="171"/>
      <c r="AS483" s="171"/>
      <c r="AT483" s="171"/>
      <c r="AU483" s="171"/>
      <c r="AX483" s="171"/>
      <c r="AY483" s="171"/>
      <c r="BA483" s="171"/>
      <c r="BB483" s="171"/>
      <c r="BF483" s="171"/>
      <c r="BH483" s="171"/>
    </row>
    <row r="484" spans="1:102" x14ac:dyDescent="0.25">
      <c r="A484" s="182"/>
      <c r="B484" s="182"/>
      <c r="C484" s="171"/>
      <c r="D484" s="171"/>
      <c r="E484" s="160"/>
      <c r="F484" s="171"/>
      <c r="G484" s="171"/>
      <c r="H484" s="171"/>
      <c r="I484" s="171"/>
      <c r="J484"/>
      <c r="K484"/>
      <c r="L484" s="247"/>
      <c r="M484" s="247"/>
      <c r="N484" s="171"/>
      <c r="O484" s="160"/>
      <c r="P484" s="171"/>
      <c r="Q484" s="160"/>
      <c r="R484" s="160"/>
      <c r="S484" s="171"/>
      <c r="T484" s="171"/>
      <c r="Y484" s="171"/>
      <c r="Z484" s="171"/>
      <c r="AA484" s="171"/>
      <c r="AB484" s="171"/>
      <c r="AC484" s="171"/>
      <c r="AD484" s="171"/>
      <c r="AE484" s="171"/>
      <c r="AF484" s="171"/>
      <c r="AN484" s="171"/>
      <c r="AO484" s="171"/>
      <c r="AP484" s="171"/>
      <c r="AQ484" s="171"/>
      <c r="AR484" s="171"/>
      <c r="AS484" s="171"/>
      <c r="AT484" s="171"/>
      <c r="AU484" s="171"/>
      <c r="AX484" s="171"/>
      <c r="AY484" s="171"/>
      <c r="AZ484" s="171"/>
      <c r="BA484" s="171"/>
      <c r="BB484" s="171"/>
      <c r="BF484" s="171"/>
      <c r="BH484" s="171"/>
    </row>
    <row r="485" spans="1:102" x14ac:dyDescent="0.25">
      <c r="A485" s="182"/>
      <c r="B485" s="182"/>
      <c r="C485" s="171"/>
      <c r="D485" s="171"/>
      <c r="E485" s="160"/>
      <c r="F485" s="171"/>
      <c r="G485" s="171"/>
      <c r="H485"/>
      <c r="I485" s="171"/>
      <c r="J485"/>
      <c r="K485"/>
      <c r="L485" s="247"/>
      <c r="M485" s="247"/>
      <c r="N485" s="171"/>
      <c r="O485" s="160"/>
      <c r="P485" s="171"/>
      <c r="Q485" s="160"/>
      <c r="R485" s="160"/>
      <c r="S485" s="171"/>
      <c r="T485" s="171"/>
      <c r="Y485" s="171"/>
      <c r="Z485" s="171"/>
      <c r="AA485" s="171"/>
      <c r="AB485" s="171"/>
      <c r="AC485" s="171"/>
      <c r="AD485" s="171"/>
      <c r="AE485" s="171"/>
      <c r="AF485" s="171"/>
      <c r="AN485" s="171"/>
      <c r="AO485" s="171"/>
      <c r="AP485" s="171"/>
      <c r="AQ485" s="171"/>
      <c r="AR485" s="171"/>
      <c r="AS485" s="171"/>
      <c r="AT485" s="171"/>
      <c r="AU485" s="171"/>
      <c r="AX485" s="171"/>
      <c r="AY485" s="171"/>
      <c r="BA485" s="171"/>
      <c r="BB485" s="171"/>
      <c r="BF485" s="171"/>
      <c r="BH485" s="171"/>
    </row>
    <row r="486" spans="1:102" x14ac:dyDescent="0.25">
      <c r="A486" s="182"/>
      <c r="B486" s="182"/>
      <c r="C486" s="171"/>
      <c r="D486" s="171"/>
      <c r="E486" s="160"/>
      <c r="F486" s="171"/>
      <c r="G486" s="171"/>
      <c r="H486"/>
      <c r="I486" s="171"/>
      <c r="J486"/>
      <c r="K486"/>
      <c r="L486" s="247"/>
      <c r="M486" s="247"/>
      <c r="N486" s="171"/>
      <c r="O486" s="160"/>
      <c r="P486" s="171"/>
      <c r="Q486" s="160"/>
      <c r="R486" s="160"/>
      <c r="S486" s="171"/>
      <c r="T486" s="171"/>
      <c r="Y486" s="171"/>
      <c r="Z486" s="171"/>
      <c r="AA486" s="171"/>
      <c r="AB486" s="171"/>
      <c r="AC486" s="171"/>
      <c r="AD486" s="171"/>
      <c r="AE486" s="171"/>
      <c r="AF486" s="171"/>
      <c r="AN486" s="171"/>
      <c r="AO486" s="171"/>
      <c r="AP486" s="171"/>
      <c r="AQ486" s="171"/>
      <c r="AR486" s="171"/>
      <c r="AS486" s="171"/>
      <c r="AT486" s="171"/>
      <c r="AU486" s="171"/>
      <c r="AX486" s="171"/>
      <c r="AY486" s="171"/>
      <c r="BA486" s="171"/>
      <c r="BB486" s="171"/>
      <c r="BF486" s="171"/>
      <c r="BH486" s="171"/>
    </row>
    <row r="487" spans="1:102" x14ac:dyDescent="0.25">
      <c r="A487" s="182"/>
      <c r="B487" s="182"/>
      <c r="C487" s="171"/>
      <c r="D487" s="171"/>
      <c r="E487" s="160"/>
      <c r="F487" s="171"/>
      <c r="G487" s="171"/>
      <c r="H487"/>
      <c r="I487" s="171"/>
      <c r="J487"/>
      <c r="K487"/>
      <c r="L487" s="247"/>
      <c r="M487" s="247"/>
      <c r="N487" s="171"/>
      <c r="O487" s="160"/>
      <c r="P487" s="171"/>
      <c r="Q487" s="160"/>
      <c r="R487" s="160"/>
      <c r="S487" s="171"/>
      <c r="T487" s="171"/>
      <c r="Y487" s="171"/>
      <c r="Z487" s="171"/>
      <c r="AA487" s="171"/>
      <c r="AB487" s="171"/>
      <c r="AC487" s="171"/>
      <c r="AD487" s="171"/>
      <c r="AE487" s="171"/>
      <c r="AF487" s="171"/>
      <c r="AN487" s="171"/>
      <c r="AO487" s="171"/>
      <c r="AP487" s="171"/>
      <c r="AQ487" s="171"/>
      <c r="AR487" s="171"/>
      <c r="AS487" s="171"/>
      <c r="AT487" s="171"/>
      <c r="AU487" s="171"/>
      <c r="AX487" s="171"/>
      <c r="AY487" s="171"/>
      <c r="BA487" s="171"/>
      <c r="BB487" s="171"/>
      <c r="BF487" s="171"/>
      <c r="BH487" s="171"/>
    </row>
    <row r="488" spans="1:102" x14ac:dyDescent="0.25">
      <c r="A488" s="182"/>
      <c r="B488" s="182"/>
      <c r="C488" s="171"/>
      <c r="D488" s="171"/>
      <c r="E488" s="160"/>
      <c r="F488" s="171"/>
      <c r="G488" s="171"/>
      <c r="H488"/>
      <c r="I488" s="171"/>
      <c r="J488"/>
      <c r="K488"/>
      <c r="L488" s="247"/>
      <c r="M488" s="247"/>
      <c r="N488" s="171"/>
      <c r="O488" s="160"/>
      <c r="P488" s="171"/>
      <c r="Q488" s="160"/>
      <c r="R488" s="160"/>
      <c r="S488" s="171"/>
      <c r="T488" s="171"/>
      <c r="Y488" s="171"/>
      <c r="Z488" s="171"/>
      <c r="AA488" s="171"/>
      <c r="AB488" s="171"/>
      <c r="AC488" s="171"/>
      <c r="AD488" s="171"/>
      <c r="AE488" s="171"/>
      <c r="AF488" s="171"/>
      <c r="AN488" s="171"/>
      <c r="AO488" s="171"/>
      <c r="AP488" s="171"/>
      <c r="AQ488" s="171"/>
      <c r="AR488" s="171"/>
      <c r="AS488" s="171"/>
      <c r="AT488" s="171"/>
      <c r="AU488" s="171"/>
      <c r="AX488" s="171"/>
      <c r="AY488" s="171"/>
      <c r="BA488" s="171"/>
      <c r="BB488" s="171"/>
      <c r="BF488" s="171"/>
      <c r="BH488" s="171"/>
    </row>
    <row r="489" spans="1:102" x14ac:dyDescent="0.25">
      <c r="A489" s="182"/>
      <c r="B489" s="182"/>
      <c r="C489" s="171"/>
      <c r="D489" s="171"/>
      <c r="E489" s="160"/>
      <c r="F489" s="171"/>
      <c r="G489" s="171"/>
      <c r="H489" s="171"/>
      <c r="I489" s="171"/>
      <c r="J489" s="171"/>
      <c r="K489" s="171"/>
      <c r="L489" s="629"/>
      <c r="M489" s="629"/>
      <c r="N489" s="171"/>
      <c r="O489" s="160"/>
      <c r="P489" s="171"/>
      <c r="Q489" s="160"/>
      <c r="R489" s="160"/>
      <c r="S489" s="171"/>
      <c r="T489" s="171"/>
      <c r="Y489" s="171"/>
      <c r="Z489" s="171"/>
      <c r="AA489" s="171"/>
      <c r="AB489" s="171"/>
      <c r="AC489" s="171"/>
      <c r="AD489" s="171"/>
      <c r="AE489" s="171"/>
      <c r="AF489" s="171"/>
      <c r="AN489" s="171"/>
      <c r="AO489" s="171"/>
      <c r="AP489" s="171"/>
      <c r="AQ489" s="171"/>
      <c r="AR489" s="171"/>
      <c r="AS489" s="171"/>
      <c r="AT489" s="171"/>
      <c r="AU489" s="171"/>
      <c r="AX489" s="171"/>
      <c r="AY489" s="171"/>
      <c r="AZ489" s="171"/>
      <c r="BA489" s="171"/>
      <c r="BB489" s="171"/>
      <c r="BC489" s="171"/>
      <c r="BD489" s="171"/>
      <c r="BF489" s="171"/>
      <c r="BH489" s="171"/>
      <c r="BI489" s="168"/>
      <c r="BL489" s="168"/>
      <c r="BM489" s="168"/>
      <c r="BN489" s="168"/>
      <c r="BO489" s="168"/>
      <c r="BP489" s="168"/>
      <c r="BQ489" s="168"/>
      <c r="BR489" s="168"/>
      <c r="BS489" s="168"/>
      <c r="BT489" s="168"/>
      <c r="BU489" s="168"/>
      <c r="BV489" s="168"/>
      <c r="BW489" s="168"/>
      <c r="BX489" s="168"/>
      <c r="BY489" s="168"/>
      <c r="BZ489" s="168"/>
      <c r="CA489" s="168"/>
      <c r="CB489" s="168"/>
      <c r="CC489" s="168"/>
      <c r="CD489" s="168"/>
      <c r="CE489" s="168"/>
      <c r="CF489" s="168"/>
      <c r="CG489" s="168"/>
      <c r="CH489" s="168"/>
      <c r="CI489" s="168"/>
      <c r="CJ489" s="168"/>
      <c r="CK489" s="168"/>
      <c r="CL489" s="168"/>
      <c r="CM489" s="168"/>
      <c r="CN489" s="168"/>
      <c r="CO489" s="168"/>
      <c r="CP489" s="168"/>
      <c r="CQ489" s="168"/>
      <c r="CR489" s="168"/>
      <c r="CS489" s="168"/>
      <c r="CT489" s="168"/>
      <c r="CU489" s="168"/>
      <c r="CV489" s="168"/>
      <c r="CW489" s="168"/>
      <c r="CX489" s="168"/>
    </row>
    <row r="490" spans="1:102" x14ac:dyDescent="0.25">
      <c r="A490" s="182"/>
      <c r="B490" s="182"/>
      <c r="C490" s="171"/>
      <c r="D490" s="171"/>
      <c r="E490" s="160"/>
      <c r="F490" s="171"/>
      <c r="G490" s="171"/>
      <c r="H490" s="171"/>
      <c r="I490" s="171"/>
      <c r="J490" s="171"/>
      <c r="K490" s="171"/>
      <c r="L490" s="629"/>
      <c r="M490" s="629"/>
      <c r="N490" s="171"/>
      <c r="O490" s="160"/>
      <c r="P490" s="171"/>
      <c r="Q490" s="160"/>
      <c r="R490" s="160"/>
      <c r="S490" s="171"/>
      <c r="T490" s="171"/>
      <c r="Y490" s="171"/>
      <c r="Z490" s="171"/>
      <c r="AA490" s="171"/>
      <c r="AB490" s="171"/>
      <c r="AC490" s="171"/>
      <c r="AD490" s="171"/>
      <c r="AE490" s="171"/>
      <c r="AF490" s="171"/>
      <c r="AN490" s="171"/>
      <c r="AO490" s="171"/>
      <c r="AP490" s="171"/>
      <c r="AQ490" s="171"/>
      <c r="AR490" s="171"/>
      <c r="AS490" s="171"/>
      <c r="AT490" s="171"/>
      <c r="AU490" s="171"/>
      <c r="AX490" s="171"/>
      <c r="AY490" s="171"/>
      <c r="AZ490" s="171"/>
      <c r="BA490" s="171"/>
      <c r="BB490" s="171"/>
      <c r="BC490" s="171"/>
      <c r="BD490" s="171"/>
      <c r="BF490" s="171"/>
      <c r="BH490" s="171"/>
      <c r="BI490" s="168"/>
      <c r="BL490" s="168"/>
      <c r="BM490" s="168"/>
      <c r="BN490" s="168"/>
      <c r="BO490" s="168"/>
      <c r="BP490" s="168"/>
      <c r="BQ490" s="168"/>
      <c r="BR490" s="168"/>
      <c r="BS490" s="168"/>
      <c r="BT490" s="168"/>
      <c r="BU490" s="168"/>
      <c r="BV490" s="168"/>
      <c r="BW490" s="168"/>
      <c r="BX490" s="168"/>
      <c r="BY490" s="168"/>
      <c r="BZ490" s="168"/>
      <c r="CA490" s="168"/>
      <c r="CB490" s="168"/>
      <c r="CC490" s="168"/>
      <c r="CD490" s="168"/>
      <c r="CE490" s="168"/>
      <c r="CF490" s="168"/>
      <c r="CG490" s="168"/>
      <c r="CH490" s="168"/>
      <c r="CI490" s="168"/>
      <c r="CJ490" s="168"/>
      <c r="CK490" s="168"/>
      <c r="CL490" s="168"/>
      <c r="CM490" s="168"/>
      <c r="CN490" s="168"/>
      <c r="CO490" s="168"/>
      <c r="CP490" s="168"/>
      <c r="CQ490" s="168"/>
      <c r="CR490" s="168"/>
      <c r="CS490" s="168"/>
      <c r="CT490" s="168"/>
      <c r="CU490" s="168"/>
      <c r="CV490" s="168"/>
      <c r="CW490" s="168"/>
      <c r="CX490" s="168"/>
    </row>
    <row r="491" spans="1:102" x14ac:dyDescent="0.25">
      <c r="A491" s="182"/>
      <c r="B491" s="182"/>
      <c r="C491" s="171"/>
      <c r="D491" s="171"/>
      <c r="E491" s="160"/>
      <c r="F491" s="171"/>
      <c r="G491" s="171"/>
      <c r="H491"/>
      <c r="I491" s="171"/>
      <c r="J491"/>
      <c r="K491"/>
      <c r="L491" s="247"/>
      <c r="M491" s="247"/>
      <c r="N491" s="171"/>
      <c r="O491" s="160"/>
      <c r="P491" s="171"/>
      <c r="Q491" s="160"/>
      <c r="R491" s="160"/>
      <c r="S491" s="171"/>
      <c r="T491" s="171"/>
      <c r="Y491" s="171"/>
      <c r="Z491" s="171"/>
      <c r="AA491" s="171"/>
      <c r="AB491" s="171"/>
      <c r="AC491" s="171"/>
      <c r="AD491" s="171"/>
      <c r="AE491" s="171"/>
      <c r="AF491" s="171"/>
      <c r="AN491" s="171"/>
      <c r="AO491" s="171"/>
      <c r="AP491" s="171"/>
      <c r="AQ491" s="171"/>
      <c r="AR491" s="171"/>
      <c r="AS491" s="171"/>
      <c r="AT491" s="171"/>
      <c r="AU491" s="171"/>
      <c r="AX491" s="171"/>
      <c r="AY491" s="171"/>
      <c r="BA491" s="171"/>
      <c r="BB491" s="171"/>
      <c r="BF491" s="171"/>
      <c r="BH491" s="171"/>
    </row>
    <row r="492" spans="1:102" x14ac:dyDescent="0.25">
      <c r="A492" s="182"/>
      <c r="B492" s="182"/>
      <c r="C492" s="171"/>
      <c r="D492" s="171"/>
      <c r="E492" s="160"/>
      <c r="F492" s="171"/>
      <c r="G492" s="171"/>
      <c r="H492"/>
      <c r="I492" s="171"/>
      <c r="J492"/>
      <c r="K492"/>
      <c r="L492" s="247"/>
      <c r="M492" s="247"/>
      <c r="N492" s="171"/>
      <c r="O492" s="160"/>
      <c r="P492" s="171"/>
      <c r="Q492" s="160"/>
      <c r="R492" s="160"/>
      <c r="S492" s="171"/>
      <c r="T492" s="171"/>
      <c r="Y492" s="171"/>
      <c r="Z492" s="171"/>
      <c r="AA492" s="171"/>
      <c r="AB492" s="171"/>
      <c r="AC492" s="171"/>
      <c r="AD492" s="171"/>
      <c r="AE492" s="171"/>
      <c r="AF492" s="171"/>
      <c r="AN492" s="171"/>
      <c r="AO492" s="171"/>
      <c r="AP492" s="171"/>
      <c r="AQ492" s="171"/>
      <c r="AR492" s="171"/>
      <c r="AS492" s="171"/>
      <c r="AT492" s="171"/>
      <c r="AU492" s="171"/>
      <c r="AX492" s="171"/>
      <c r="AY492" s="171"/>
      <c r="BA492" s="171"/>
      <c r="BB492" s="171"/>
      <c r="BF492" s="171"/>
      <c r="BH492" s="171"/>
    </row>
    <row r="493" spans="1:102" x14ac:dyDescent="0.25">
      <c r="A493" s="182"/>
      <c r="B493" s="182"/>
      <c r="C493" s="171"/>
      <c r="D493" s="171"/>
      <c r="E493" s="160"/>
      <c r="F493" s="171"/>
      <c r="G493" s="171"/>
      <c r="H493"/>
      <c r="I493" s="171"/>
      <c r="J493"/>
      <c r="K493"/>
      <c r="L493" s="247"/>
      <c r="M493" s="247"/>
      <c r="N493" s="171"/>
      <c r="O493" s="160"/>
      <c r="P493" s="171"/>
      <c r="Q493" s="160"/>
      <c r="R493" s="160"/>
      <c r="S493" s="171"/>
      <c r="T493" s="171"/>
      <c r="Y493" s="171"/>
      <c r="Z493" s="171"/>
      <c r="AA493" s="171"/>
      <c r="AB493" s="171"/>
      <c r="AC493" s="171"/>
      <c r="AD493" s="171"/>
      <c r="AE493" s="171"/>
      <c r="AF493" s="171"/>
      <c r="AN493" s="171"/>
      <c r="AO493" s="171"/>
      <c r="AP493" s="171"/>
      <c r="AQ493" s="171"/>
      <c r="AR493" s="171"/>
      <c r="AS493" s="171"/>
      <c r="AT493" s="171"/>
      <c r="AU493" s="171"/>
      <c r="AX493" s="171"/>
      <c r="AY493" s="171"/>
      <c r="BA493" s="171"/>
      <c r="BB493" s="171"/>
      <c r="BF493" s="171"/>
      <c r="BH493" s="171"/>
    </row>
    <row r="494" spans="1:102" x14ac:dyDescent="0.25">
      <c r="A494" s="182"/>
      <c r="B494" s="182"/>
      <c r="C494" s="171"/>
      <c r="D494" s="171"/>
      <c r="E494" s="160"/>
      <c r="F494" s="171"/>
      <c r="G494" s="171"/>
      <c r="H494"/>
      <c r="I494" s="171"/>
      <c r="J494"/>
      <c r="K494"/>
      <c r="L494" s="247"/>
      <c r="M494" s="247"/>
      <c r="N494" s="171"/>
      <c r="O494" s="160"/>
      <c r="P494" s="171"/>
      <c r="Q494" s="160"/>
      <c r="R494" s="160"/>
      <c r="S494" s="171"/>
      <c r="T494" s="171"/>
      <c r="Y494" s="171"/>
      <c r="Z494" s="171"/>
      <c r="AA494" s="171"/>
      <c r="AB494" s="171"/>
      <c r="AC494" s="171"/>
      <c r="AD494" s="171"/>
      <c r="AE494" s="171"/>
      <c r="AF494" s="171"/>
      <c r="AN494" s="171"/>
      <c r="AO494" s="171"/>
      <c r="AP494" s="171"/>
      <c r="AQ494" s="171"/>
      <c r="AR494" s="171"/>
      <c r="AS494" s="171"/>
      <c r="AT494" s="171"/>
      <c r="AU494" s="171"/>
      <c r="AX494" s="171"/>
      <c r="AY494" s="171"/>
      <c r="BA494" s="171"/>
      <c r="BB494" s="171"/>
      <c r="BF494" s="171"/>
      <c r="BH494" s="171"/>
    </row>
    <row r="495" spans="1:102" x14ac:dyDescent="0.25">
      <c r="A495" s="182"/>
      <c r="B495" s="182"/>
      <c r="C495" s="171"/>
      <c r="D495" s="171"/>
      <c r="E495" s="160"/>
      <c r="F495" s="171"/>
      <c r="G495" s="171"/>
      <c r="H495" s="171"/>
      <c r="I495" s="171"/>
      <c r="J495"/>
      <c r="K495"/>
      <c r="L495" s="247"/>
      <c r="M495" s="247"/>
      <c r="N495" s="171"/>
      <c r="O495" s="160"/>
      <c r="P495" s="171"/>
      <c r="Q495" s="160"/>
      <c r="R495" s="160"/>
      <c r="S495" s="171"/>
      <c r="T495" s="171"/>
      <c r="Y495" s="171"/>
      <c r="Z495" s="171"/>
      <c r="AA495" s="171"/>
      <c r="AB495" s="171"/>
      <c r="AC495" s="171"/>
      <c r="AD495" s="171"/>
      <c r="AE495" s="171"/>
      <c r="AF495" s="171"/>
      <c r="AN495" s="171"/>
      <c r="AO495" s="171"/>
      <c r="AP495" s="171"/>
      <c r="AQ495" s="171"/>
      <c r="AR495" s="171"/>
      <c r="AS495" s="171"/>
      <c r="AT495" s="171"/>
      <c r="AU495" s="171"/>
      <c r="AX495" s="171"/>
      <c r="AY495" s="171"/>
      <c r="AZ495" s="171"/>
      <c r="BA495" s="171"/>
      <c r="BB495" s="171"/>
      <c r="BF495" s="171"/>
      <c r="BH495" s="171"/>
    </row>
    <row r="496" spans="1:102" x14ac:dyDescent="0.25">
      <c r="A496" s="182"/>
      <c r="B496" s="182"/>
      <c r="C496" s="171"/>
      <c r="D496" s="171"/>
      <c r="E496" s="160"/>
      <c r="F496" s="171"/>
      <c r="G496" s="171"/>
      <c r="H496"/>
      <c r="I496" s="171"/>
      <c r="J496"/>
      <c r="K496"/>
      <c r="L496" s="247"/>
      <c r="M496" s="247"/>
      <c r="N496" s="171"/>
      <c r="O496" s="160"/>
      <c r="P496" s="171"/>
      <c r="Q496" s="160"/>
      <c r="R496" s="160"/>
      <c r="S496" s="171"/>
      <c r="T496" s="171"/>
      <c r="Y496" s="171"/>
      <c r="Z496" s="171"/>
      <c r="AA496" s="171"/>
      <c r="AB496" s="171"/>
      <c r="AC496" s="171"/>
      <c r="AD496" s="171"/>
      <c r="AE496" s="171"/>
      <c r="AF496" s="171"/>
      <c r="AN496" s="171"/>
      <c r="AO496" s="171"/>
      <c r="AP496" s="171"/>
      <c r="AQ496" s="171"/>
      <c r="AR496" s="171"/>
      <c r="AS496" s="171"/>
      <c r="AT496" s="171"/>
      <c r="AU496" s="171"/>
      <c r="AX496" s="171"/>
      <c r="AY496" s="171"/>
      <c r="BA496" s="171"/>
      <c r="BB496" s="171"/>
      <c r="BF496" s="171"/>
      <c r="BH496" s="171"/>
    </row>
    <row r="497" spans="1:102" x14ac:dyDescent="0.25">
      <c r="A497" s="182"/>
      <c r="B497" s="182"/>
      <c r="C497" s="171"/>
      <c r="D497" s="171"/>
      <c r="E497" s="160"/>
      <c r="F497" s="171"/>
      <c r="G497" s="171"/>
      <c r="H497"/>
      <c r="I497" s="171"/>
      <c r="J497"/>
      <c r="K497"/>
      <c r="L497" s="247"/>
      <c r="M497" s="247"/>
      <c r="N497" s="171"/>
      <c r="O497" s="160"/>
      <c r="P497" s="171"/>
      <c r="Q497" s="160"/>
      <c r="R497" s="160"/>
      <c r="S497" s="171"/>
      <c r="T497" s="171"/>
      <c r="Y497" s="171"/>
      <c r="Z497" s="171"/>
      <c r="AA497" s="171"/>
      <c r="AB497" s="171"/>
      <c r="AC497" s="171"/>
      <c r="AD497" s="171"/>
      <c r="AE497" s="171"/>
      <c r="AF497" s="171"/>
      <c r="AN497" s="171"/>
      <c r="AO497" s="171"/>
      <c r="AP497" s="171"/>
      <c r="AQ497" s="171"/>
      <c r="AR497" s="171"/>
      <c r="AS497" s="171"/>
      <c r="AT497" s="171"/>
      <c r="AU497" s="171"/>
      <c r="AX497" s="171"/>
      <c r="AY497" s="171"/>
      <c r="BA497" s="171"/>
      <c r="BB497" s="171"/>
      <c r="BF497" s="171"/>
      <c r="BH497" s="171"/>
    </row>
    <row r="498" spans="1:102" x14ac:dyDescent="0.25">
      <c r="A498" s="182"/>
      <c r="B498" s="182"/>
      <c r="C498" s="171"/>
      <c r="D498" s="171"/>
      <c r="E498" s="160"/>
      <c r="F498" s="171"/>
      <c r="G498" s="171"/>
      <c r="H498"/>
      <c r="I498" s="171"/>
      <c r="J498"/>
      <c r="K498"/>
      <c r="L498" s="247"/>
      <c r="M498" s="247"/>
      <c r="N498" s="171"/>
      <c r="O498" s="160"/>
      <c r="P498" s="171"/>
      <c r="Q498" s="160"/>
      <c r="R498" s="160"/>
      <c r="S498" s="171"/>
      <c r="T498" s="171"/>
      <c r="Y498" s="171"/>
      <c r="Z498" s="171"/>
      <c r="AA498" s="171"/>
      <c r="AB498" s="171"/>
      <c r="AC498" s="171"/>
      <c r="AD498" s="171"/>
      <c r="AE498" s="171"/>
      <c r="AF498" s="171"/>
      <c r="AN498" s="171"/>
      <c r="AO498" s="171"/>
      <c r="AP498" s="171"/>
      <c r="AQ498" s="171"/>
      <c r="AR498" s="171"/>
      <c r="AS498" s="171"/>
      <c r="AT498" s="171"/>
      <c r="AU498" s="171"/>
      <c r="AX498" s="171"/>
      <c r="AY498" s="171"/>
      <c r="BA498" s="171"/>
      <c r="BB498" s="171"/>
      <c r="BF498" s="171"/>
      <c r="BH498" s="171"/>
    </row>
    <row r="499" spans="1:102" x14ac:dyDescent="0.25">
      <c r="A499" s="182"/>
      <c r="B499" s="182"/>
      <c r="C499" s="171"/>
      <c r="D499" s="171"/>
      <c r="E499" s="160"/>
      <c r="F499" s="171"/>
      <c r="G499" s="171"/>
      <c r="H499"/>
      <c r="I499" s="171"/>
      <c r="J499"/>
      <c r="K499"/>
      <c r="L499" s="247"/>
      <c r="M499" s="247"/>
      <c r="N499" s="171"/>
      <c r="O499" s="160"/>
      <c r="P499" s="171"/>
      <c r="Q499" s="160"/>
      <c r="R499" s="160"/>
      <c r="S499" s="171"/>
      <c r="T499" s="171"/>
      <c r="Y499" s="171"/>
      <c r="Z499" s="171"/>
      <c r="AA499" s="171"/>
      <c r="AB499" s="171"/>
      <c r="AC499" s="171"/>
      <c r="AD499" s="171"/>
      <c r="AE499" s="171"/>
      <c r="AF499" s="171"/>
      <c r="AN499" s="171"/>
      <c r="AO499" s="171"/>
      <c r="AP499" s="171"/>
      <c r="AQ499" s="171"/>
      <c r="AR499" s="171"/>
      <c r="AS499" s="171"/>
      <c r="AT499" s="171"/>
      <c r="AU499" s="171"/>
      <c r="AX499" s="171"/>
      <c r="AY499" s="171"/>
      <c r="BA499" s="171"/>
      <c r="BB499" s="171"/>
      <c r="BF499" s="171"/>
      <c r="BH499" s="171"/>
    </row>
    <row r="500" spans="1:102" x14ac:dyDescent="0.25">
      <c r="A500" s="182"/>
      <c r="B500" s="182"/>
      <c r="C500" s="171"/>
      <c r="D500" s="171"/>
      <c r="E500" s="160"/>
      <c r="F500" s="171"/>
      <c r="G500" s="171"/>
      <c r="H500"/>
      <c r="I500" s="171"/>
      <c r="J500"/>
      <c r="K500"/>
      <c r="L500" s="247"/>
      <c r="M500" s="247"/>
      <c r="N500" s="171"/>
      <c r="O500" s="160"/>
      <c r="P500" s="171"/>
      <c r="Q500" s="160"/>
      <c r="R500" s="160"/>
      <c r="S500" s="171"/>
      <c r="T500" s="171"/>
      <c r="Y500" s="171"/>
      <c r="Z500" s="171"/>
      <c r="AA500" s="171"/>
      <c r="AB500" s="171"/>
      <c r="AC500" s="171"/>
      <c r="AD500" s="171"/>
      <c r="AE500" s="171"/>
      <c r="AF500" s="171"/>
      <c r="AN500" s="171"/>
      <c r="AO500" s="171"/>
      <c r="AP500" s="171"/>
      <c r="AQ500" s="171"/>
      <c r="AR500" s="171"/>
      <c r="AS500" s="171"/>
      <c r="AT500" s="171"/>
      <c r="AU500" s="171"/>
      <c r="AX500" s="171"/>
      <c r="AY500" s="171"/>
      <c r="BA500" s="171"/>
      <c r="BB500" s="171"/>
      <c r="BF500" s="171"/>
      <c r="BH500" s="171"/>
    </row>
    <row r="501" spans="1:102" x14ac:dyDescent="0.25">
      <c r="A501" s="182"/>
      <c r="B501" s="182"/>
      <c r="C501" s="171"/>
      <c r="D501" s="171"/>
      <c r="E501" s="160"/>
      <c r="F501" s="171"/>
      <c r="G501" s="171"/>
      <c r="H501"/>
      <c r="I501" s="171"/>
      <c r="J501"/>
      <c r="K501"/>
      <c r="L501" s="247"/>
      <c r="M501" s="247"/>
      <c r="N501" s="171"/>
      <c r="O501" s="160"/>
      <c r="P501" s="171"/>
      <c r="Q501" s="160"/>
      <c r="R501" s="160"/>
      <c r="S501" s="171"/>
      <c r="T501" s="171"/>
      <c r="Y501" s="171"/>
      <c r="Z501" s="171"/>
      <c r="AA501" s="171"/>
      <c r="AB501" s="171"/>
      <c r="AC501" s="171"/>
      <c r="AD501" s="171"/>
      <c r="AE501" s="171"/>
      <c r="AF501" s="171"/>
      <c r="AN501" s="171"/>
      <c r="AO501" s="171"/>
      <c r="AP501" s="171"/>
      <c r="AQ501" s="171"/>
      <c r="AR501" s="171"/>
      <c r="AS501" s="171"/>
      <c r="AT501" s="171"/>
      <c r="AU501" s="171"/>
      <c r="AX501" s="171"/>
      <c r="AY501" s="171"/>
      <c r="BA501" s="171"/>
      <c r="BB501" s="171"/>
      <c r="BF501" s="171"/>
      <c r="BH501" s="171"/>
    </row>
    <row r="502" spans="1:102" x14ac:dyDescent="0.25">
      <c r="A502" s="182"/>
      <c r="B502" s="182"/>
      <c r="C502" s="171"/>
      <c r="D502" s="171"/>
      <c r="E502" s="160"/>
      <c r="F502" s="171"/>
      <c r="G502" s="171"/>
      <c r="H502"/>
      <c r="I502" s="171"/>
      <c r="J502"/>
      <c r="K502"/>
      <c r="L502" s="247"/>
      <c r="M502" s="247"/>
      <c r="N502" s="171"/>
      <c r="O502" s="160"/>
      <c r="P502" s="171"/>
      <c r="Q502" s="160"/>
      <c r="R502" s="160"/>
      <c r="S502" s="171"/>
      <c r="T502" s="171"/>
      <c r="Y502" s="171"/>
      <c r="Z502" s="171"/>
      <c r="AA502" s="171"/>
      <c r="AB502" s="171"/>
      <c r="AC502" s="171"/>
      <c r="AD502" s="171"/>
      <c r="AE502" s="171"/>
      <c r="AF502" s="171"/>
      <c r="AN502" s="171"/>
      <c r="AO502" s="171"/>
      <c r="AP502" s="171"/>
      <c r="AQ502" s="171"/>
      <c r="AR502" s="171"/>
      <c r="AS502" s="171"/>
      <c r="AT502" s="171"/>
      <c r="AU502" s="171"/>
      <c r="AX502" s="171"/>
      <c r="AY502" s="171"/>
      <c r="BA502" s="171"/>
      <c r="BB502" s="171"/>
      <c r="BF502" s="171"/>
      <c r="BH502" s="171"/>
    </row>
    <row r="503" spans="1:102" x14ac:dyDescent="0.25">
      <c r="A503" s="182"/>
      <c r="B503" s="182"/>
      <c r="C503" s="171"/>
      <c r="D503" s="171"/>
      <c r="E503" s="160"/>
      <c r="F503" s="171"/>
      <c r="G503" s="171"/>
      <c r="H503"/>
      <c r="I503" s="171"/>
      <c r="J503"/>
      <c r="K503"/>
      <c r="L503" s="247"/>
      <c r="M503" s="247"/>
      <c r="N503" s="171"/>
      <c r="O503" s="160"/>
      <c r="P503" s="171"/>
      <c r="Q503" s="160"/>
      <c r="R503" s="160"/>
      <c r="S503" s="171"/>
      <c r="T503" s="171"/>
      <c r="Y503" s="171"/>
      <c r="Z503" s="171"/>
      <c r="AA503" s="171"/>
      <c r="AB503" s="171"/>
      <c r="AC503" s="171"/>
      <c r="AD503" s="171"/>
      <c r="AE503" s="171"/>
      <c r="AF503" s="171"/>
      <c r="AN503" s="171"/>
      <c r="AO503" s="171"/>
      <c r="AP503" s="171"/>
      <c r="AQ503" s="171"/>
      <c r="AR503" s="171"/>
      <c r="AS503" s="171"/>
      <c r="AT503" s="171"/>
      <c r="AU503" s="171"/>
      <c r="AX503" s="171"/>
      <c r="AY503" s="171"/>
      <c r="BA503" s="171"/>
      <c r="BB503" s="171"/>
      <c r="BF503" s="171"/>
      <c r="BH503" s="171"/>
    </row>
    <row r="504" spans="1:102" x14ac:dyDescent="0.25">
      <c r="A504" s="182"/>
      <c r="B504" s="182"/>
      <c r="C504" s="171"/>
      <c r="D504" s="171"/>
      <c r="E504" s="160"/>
      <c r="F504" s="171"/>
      <c r="G504" s="171"/>
      <c r="H504"/>
      <c r="I504" s="171"/>
      <c r="J504"/>
      <c r="K504"/>
      <c r="L504" s="247"/>
      <c r="M504" s="247"/>
      <c r="N504" s="171"/>
      <c r="O504" s="160"/>
      <c r="P504" s="171"/>
      <c r="Q504" s="160"/>
      <c r="R504" s="160"/>
      <c r="S504" s="171"/>
      <c r="T504" s="171"/>
      <c r="Y504" s="171"/>
      <c r="Z504" s="171"/>
      <c r="AA504" s="171"/>
      <c r="AB504" s="171"/>
      <c r="AC504" s="171"/>
      <c r="AD504" s="171"/>
      <c r="AE504" s="171"/>
      <c r="AF504" s="171"/>
      <c r="AN504" s="171"/>
      <c r="AO504" s="171"/>
      <c r="AP504" s="171"/>
      <c r="AQ504" s="171"/>
      <c r="AR504" s="171"/>
      <c r="AS504" s="171"/>
      <c r="AT504" s="171"/>
      <c r="AU504" s="171"/>
      <c r="AX504" s="171"/>
      <c r="AY504" s="171"/>
      <c r="BA504" s="171"/>
      <c r="BB504" s="171"/>
      <c r="BF504" s="171"/>
      <c r="BH504" s="171"/>
    </row>
    <row r="505" spans="1:102" x14ac:dyDescent="0.25">
      <c r="A505" s="182"/>
      <c r="B505" s="182"/>
      <c r="C505" s="171"/>
      <c r="D505" s="171"/>
      <c r="E505" s="160"/>
      <c r="F505" s="171"/>
      <c r="G505" s="171"/>
      <c r="H505"/>
      <c r="I505" s="171"/>
      <c r="J505"/>
      <c r="K505"/>
      <c r="L505" s="247"/>
      <c r="M505" s="247"/>
      <c r="N505" s="171"/>
      <c r="O505" s="160"/>
      <c r="P505" s="171"/>
      <c r="Q505" s="160"/>
      <c r="R505" s="160"/>
      <c r="S505" s="171"/>
      <c r="T505" s="171"/>
      <c r="Y505" s="171"/>
      <c r="Z505" s="171"/>
      <c r="AA505" s="171"/>
      <c r="AB505" s="171"/>
      <c r="AC505" s="171"/>
      <c r="AD505" s="171"/>
      <c r="AE505" s="171"/>
      <c r="AF505" s="171"/>
      <c r="AN505" s="171"/>
      <c r="AO505" s="171"/>
      <c r="AP505" s="171"/>
      <c r="AQ505" s="171"/>
      <c r="AR505" s="171"/>
      <c r="AS505" s="171"/>
      <c r="AT505" s="171"/>
      <c r="AU505" s="171"/>
      <c r="AX505" s="171"/>
      <c r="AY505" s="171"/>
      <c r="BA505" s="171"/>
      <c r="BB505" s="171"/>
      <c r="BF505" s="171"/>
      <c r="BH505" s="171"/>
    </row>
    <row r="506" spans="1:102" x14ac:dyDescent="0.25">
      <c r="A506" s="182"/>
      <c r="B506" s="182"/>
      <c r="C506" s="171"/>
      <c r="D506" s="171"/>
      <c r="E506" s="160"/>
      <c r="F506" s="171"/>
      <c r="G506" s="171"/>
      <c r="H506"/>
      <c r="I506" s="171"/>
      <c r="J506"/>
      <c r="K506"/>
      <c r="L506" s="247"/>
      <c r="M506" s="247"/>
      <c r="N506" s="171"/>
      <c r="O506" s="160"/>
      <c r="P506" s="171"/>
      <c r="Q506" s="160"/>
      <c r="R506" s="160"/>
      <c r="S506" s="171"/>
      <c r="T506" s="171"/>
      <c r="Y506" s="171"/>
      <c r="Z506" s="171"/>
      <c r="AA506" s="171"/>
      <c r="AB506" s="171"/>
      <c r="AC506" s="171"/>
      <c r="AD506" s="171"/>
      <c r="AE506" s="171"/>
      <c r="AF506" s="171"/>
      <c r="AN506" s="171"/>
      <c r="AO506" s="171"/>
      <c r="AP506" s="171"/>
      <c r="AQ506" s="171"/>
      <c r="AR506" s="171"/>
      <c r="AS506" s="171"/>
      <c r="AT506" s="171"/>
      <c r="AU506" s="171"/>
      <c r="AX506" s="171"/>
      <c r="AY506" s="171"/>
      <c r="BA506" s="171"/>
      <c r="BB506" s="171"/>
      <c r="BF506" s="171"/>
      <c r="BH506" s="171"/>
    </row>
    <row r="507" spans="1:102" x14ac:dyDescent="0.25">
      <c r="A507" s="182"/>
      <c r="B507" s="182"/>
      <c r="C507" s="171"/>
      <c r="D507" s="171"/>
      <c r="E507" s="160"/>
      <c r="F507" s="171"/>
      <c r="G507" s="171"/>
      <c r="H507" s="171"/>
      <c r="I507" s="171"/>
      <c r="J507"/>
      <c r="K507"/>
      <c r="L507" s="247"/>
      <c r="M507" s="247"/>
      <c r="N507" s="171"/>
      <c r="O507" s="160"/>
      <c r="P507" s="171"/>
      <c r="Q507" s="160"/>
      <c r="R507" s="160"/>
      <c r="S507" s="171"/>
      <c r="T507" s="171"/>
      <c r="Y507" s="171"/>
      <c r="Z507" s="171"/>
      <c r="AA507" s="171"/>
      <c r="AB507" s="171"/>
      <c r="AC507" s="171"/>
      <c r="AD507" s="171"/>
      <c r="AE507" s="171"/>
      <c r="AF507" s="171"/>
      <c r="AN507" s="171"/>
      <c r="AO507" s="171"/>
      <c r="AP507" s="171"/>
      <c r="AQ507" s="171"/>
      <c r="AR507" s="171"/>
      <c r="AS507" s="171"/>
      <c r="AT507" s="171"/>
      <c r="AU507" s="171"/>
      <c r="AX507" s="171"/>
      <c r="AY507" s="171"/>
      <c r="AZ507" s="171"/>
      <c r="BA507" s="171"/>
      <c r="BB507" s="171"/>
      <c r="BF507" s="171"/>
      <c r="BH507" s="171"/>
    </row>
    <row r="508" spans="1:102" x14ac:dyDescent="0.25">
      <c r="A508" s="182"/>
      <c r="B508" s="182"/>
      <c r="C508" s="171"/>
      <c r="D508" s="171"/>
      <c r="E508" s="160"/>
      <c r="F508" s="171"/>
      <c r="G508" s="171"/>
      <c r="H508"/>
      <c r="I508" s="171"/>
      <c r="J508"/>
      <c r="K508"/>
      <c r="L508" s="247"/>
      <c r="M508" s="247"/>
      <c r="N508" s="171"/>
      <c r="O508" s="160"/>
      <c r="P508" s="171"/>
      <c r="Q508" s="160"/>
      <c r="R508" s="160"/>
      <c r="S508" s="171"/>
      <c r="T508" s="171"/>
      <c r="Y508" s="171"/>
      <c r="Z508" s="171"/>
      <c r="AA508" s="171"/>
      <c r="AB508" s="171"/>
      <c r="AC508" s="171"/>
      <c r="AD508" s="171"/>
      <c r="AE508" s="171"/>
      <c r="AF508" s="171"/>
      <c r="AN508" s="171"/>
      <c r="AO508" s="171"/>
      <c r="AP508" s="171"/>
      <c r="AQ508" s="171"/>
      <c r="AR508" s="171"/>
      <c r="AS508" s="171"/>
      <c r="AT508" s="171"/>
      <c r="AU508" s="171"/>
      <c r="AX508" s="171"/>
      <c r="AY508" s="171"/>
      <c r="BA508" s="171"/>
      <c r="BB508" s="171"/>
      <c r="BF508" s="171"/>
      <c r="BH508" s="171"/>
    </row>
    <row r="509" spans="1:102" x14ac:dyDescent="0.25">
      <c r="A509" s="182"/>
      <c r="B509" s="182"/>
      <c r="C509" s="171"/>
      <c r="D509" s="171"/>
      <c r="E509" s="160"/>
      <c r="F509" s="171"/>
      <c r="G509" s="171"/>
      <c r="H509" s="171"/>
      <c r="I509" s="171"/>
      <c r="J509"/>
      <c r="K509"/>
      <c r="L509" s="247"/>
      <c r="M509" s="247"/>
      <c r="N509" s="171"/>
      <c r="O509" s="160"/>
      <c r="P509" s="171"/>
      <c r="Q509" s="160"/>
      <c r="R509" s="160"/>
      <c r="S509" s="171"/>
      <c r="T509" s="171"/>
      <c r="Y509" s="171"/>
      <c r="Z509" s="171"/>
      <c r="AA509" s="171"/>
      <c r="AB509" s="171"/>
      <c r="AC509" s="171"/>
      <c r="AD509" s="171"/>
      <c r="AE509" s="171"/>
      <c r="AF509" s="171"/>
      <c r="AN509" s="171"/>
      <c r="AO509" s="171"/>
      <c r="AP509" s="171"/>
      <c r="AQ509" s="171"/>
      <c r="AR509" s="171"/>
      <c r="AS509" s="171"/>
      <c r="AT509" s="171"/>
      <c r="AU509" s="171"/>
      <c r="AX509" s="171"/>
      <c r="AY509" s="171"/>
      <c r="AZ509" s="171"/>
      <c r="BA509" s="171"/>
      <c r="BB509" s="171"/>
      <c r="BF509" s="171"/>
      <c r="BH509" s="171"/>
    </row>
    <row r="510" spans="1:102" x14ac:dyDescent="0.25">
      <c r="A510" s="182"/>
      <c r="B510" s="182"/>
      <c r="C510" s="171"/>
      <c r="D510" s="171"/>
      <c r="E510" s="160"/>
      <c r="F510" s="171"/>
      <c r="G510" s="171"/>
      <c r="H510"/>
      <c r="I510" s="171"/>
      <c r="J510"/>
      <c r="K510"/>
      <c r="L510" s="247"/>
      <c r="M510" s="247"/>
      <c r="N510" s="171"/>
      <c r="O510" s="160"/>
      <c r="P510" s="171"/>
      <c r="Q510" s="160"/>
      <c r="R510" s="160"/>
      <c r="S510" s="171"/>
      <c r="T510" s="171"/>
      <c r="Y510" s="171"/>
      <c r="Z510" s="171"/>
      <c r="AA510" s="171"/>
      <c r="AB510" s="171"/>
      <c r="AC510" s="171"/>
      <c r="AD510" s="171"/>
      <c r="AE510" s="171"/>
      <c r="AF510" s="171"/>
      <c r="AN510" s="171"/>
      <c r="AO510" s="171"/>
      <c r="AP510" s="171"/>
      <c r="AQ510" s="171"/>
      <c r="AR510" s="171"/>
      <c r="AS510" s="171"/>
      <c r="AT510" s="171"/>
      <c r="AU510" s="171"/>
      <c r="AX510" s="171"/>
      <c r="AY510" s="171"/>
      <c r="BA510" s="171"/>
      <c r="BB510" s="171"/>
      <c r="BF510" s="171"/>
      <c r="BH510" s="171"/>
    </row>
    <row r="511" spans="1:102" x14ac:dyDescent="0.25">
      <c r="A511" s="182"/>
      <c r="B511" s="182"/>
      <c r="C511" s="171"/>
      <c r="D511" s="171"/>
      <c r="E511" s="160"/>
      <c r="F511" s="171"/>
      <c r="G511" s="171"/>
      <c r="H511" s="171"/>
      <c r="I511" s="171"/>
      <c r="J511" s="171"/>
      <c r="K511" s="171"/>
      <c r="L511" s="629"/>
      <c r="M511" s="629"/>
      <c r="N511" s="171"/>
      <c r="O511" s="160"/>
      <c r="P511" s="171"/>
      <c r="Q511" s="160"/>
      <c r="R511" s="160"/>
      <c r="S511" s="171"/>
      <c r="T511" s="171"/>
      <c r="Y511" s="171"/>
      <c r="Z511" s="171"/>
      <c r="AA511" s="171"/>
      <c r="AB511" s="171"/>
      <c r="AC511" s="171"/>
      <c r="AD511" s="171"/>
      <c r="AE511" s="171"/>
      <c r="AF511" s="171"/>
      <c r="AN511" s="171"/>
      <c r="AO511" s="171"/>
      <c r="AP511" s="171"/>
      <c r="AQ511" s="171"/>
      <c r="AR511" s="171"/>
      <c r="AS511" s="171"/>
      <c r="AT511" s="171"/>
      <c r="AU511" s="171"/>
      <c r="AX511" s="171"/>
      <c r="AY511" s="171"/>
      <c r="AZ511" s="171"/>
      <c r="BA511" s="171"/>
      <c r="BB511" s="171"/>
      <c r="BC511" s="171"/>
      <c r="BD511" s="171"/>
      <c r="BF511" s="171"/>
      <c r="BH511" s="171"/>
      <c r="BI511" s="168"/>
      <c r="BL511" s="168"/>
      <c r="BM511" s="168"/>
      <c r="BN511" s="168"/>
      <c r="BO511" s="168"/>
      <c r="BP511" s="168"/>
      <c r="BQ511" s="168"/>
      <c r="BR511" s="168"/>
      <c r="BS511" s="168"/>
      <c r="BT511" s="168"/>
      <c r="BU511" s="168"/>
      <c r="BV511" s="168"/>
      <c r="BW511" s="168"/>
      <c r="BX511" s="168"/>
      <c r="BY511" s="168"/>
      <c r="BZ511" s="168"/>
      <c r="CA511" s="168"/>
      <c r="CB511" s="168"/>
      <c r="CC511" s="168"/>
      <c r="CD511" s="168"/>
      <c r="CE511" s="168"/>
      <c r="CF511" s="168"/>
      <c r="CG511" s="168"/>
      <c r="CH511" s="168"/>
      <c r="CI511" s="168"/>
      <c r="CJ511" s="168"/>
      <c r="CK511" s="168"/>
      <c r="CL511" s="168"/>
      <c r="CM511" s="168"/>
      <c r="CN511" s="168"/>
      <c r="CO511" s="168"/>
      <c r="CP511" s="168"/>
      <c r="CR511" s="168"/>
      <c r="CS511" s="168"/>
      <c r="CT511" s="168"/>
      <c r="CU511" s="168"/>
      <c r="CV511" s="168"/>
      <c r="CW511" s="168"/>
      <c r="CX511" s="168"/>
    </row>
    <row r="512" spans="1:102" x14ac:dyDescent="0.25">
      <c r="A512" s="182"/>
      <c r="B512" s="182"/>
      <c r="C512" s="171"/>
      <c r="D512" s="171"/>
      <c r="E512" s="160"/>
      <c r="F512" s="171"/>
      <c r="G512" s="171"/>
      <c r="H512"/>
      <c r="I512" s="171"/>
      <c r="J512"/>
      <c r="K512"/>
      <c r="L512" s="247"/>
      <c r="M512" s="247"/>
      <c r="N512" s="171"/>
      <c r="O512" s="160"/>
      <c r="P512" s="171"/>
      <c r="Q512" s="160"/>
      <c r="R512" s="160"/>
      <c r="S512" s="171"/>
      <c r="T512" s="171"/>
      <c r="Y512" s="171"/>
      <c r="Z512" s="171"/>
      <c r="AA512" s="171"/>
      <c r="AB512" s="171"/>
      <c r="AC512" s="171"/>
      <c r="AD512" s="171"/>
      <c r="AE512" s="171"/>
      <c r="AF512" s="171"/>
      <c r="AN512" s="171"/>
      <c r="AO512" s="171"/>
      <c r="AP512" s="171"/>
      <c r="AQ512" s="171"/>
      <c r="AR512" s="171"/>
      <c r="AS512" s="171"/>
      <c r="AT512" s="171"/>
      <c r="AU512" s="171"/>
      <c r="AX512" s="171"/>
      <c r="AY512" s="171"/>
      <c r="BA512" s="171"/>
      <c r="BB512" s="171"/>
      <c r="BF512" s="171"/>
      <c r="BH512" s="171"/>
    </row>
    <row r="513" spans="1:60" x14ac:dyDescent="0.25">
      <c r="A513" s="182"/>
      <c r="B513" s="182"/>
      <c r="C513" s="171"/>
      <c r="D513" s="171"/>
      <c r="E513" s="160"/>
      <c r="F513" s="171"/>
      <c r="G513" s="171"/>
      <c r="H513"/>
      <c r="I513" s="171"/>
      <c r="J513"/>
      <c r="K513"/>
      <c r="L513" s="247"/>
      <c r="M513" s="247"/>
      <c r="N513" s="171"/>
      <c r="O513" s="160"/>
      <c r="P513" s="171"/>
      <c r="Q513" s="160"/>
      <c r="R513" s="160"/>
      <c r="S513" s="171"/>
      <c r="T513" s="171"/>
      <c r="Y513" s="171"/>
      <c r="Z513" s="171"/>
      <c r="AA513" s="171"/>
      <c r="AB513" s="171"/>
      <c r="AC513" s="171"/>
      <c r="AD513" s="171"/>
      <c r="AE513" s="171"/>
      <c r="AF513" s="171"/>
      <c r="AN513" s="171"/>
      <c r="AO513" s="171"/>
      <c r="AP513" s="171"/>
      <c r="AQ513" s="171"/>
      <c r="AR513" s="171"/>
      <c r="AS513" s="171"/>
      <c r="AT513" s="171"/>
      <c r="AU513" s="171"/>
      <c r="AX513" s="171"/>
      <c r="AY513" s="171"/>
      <c r="BA513" s="171"/>
      <c r="BB513" s="171"/>
      <c r="BF513" s="171"/>
      <c r="BH513" s="171"/>
    </row>
    <row r="514" spans="1:60" x14ac:dyDescent="0.25">
      <c r="A514" s="182"/>
      <c r="B514" s="182"/>
      <c r="C514" s="171"/>
      <c r="D514" s="171"/>
      <c r="E514" s="160"/>
      <c r="F514" s="171"/>
      <c r="G514" s="171"/>
      <c r="H514"/>
      <c r="I514" s="171"/>
      <c r="J514"/>
      <c r="K514"/>
      <c r="L514" s="247"/>
      <c r="M514" s="247"/>
      <c r="N514" s="171"/>
      <c r="O514" s="160"/>
      <c r="P514" s="171"/>
      <c r="Q514" s="160"/>
      <c r="R514" s="160"/>
      <c r="S514" s="171"/>
      <c r="T514" s="171"/>
      <c r="Y514" s="171"/>
      <c r="Z514" s="171"/>
      <c r="AA514" s="171"/>
      <c r="AB514" s="171"/>
      <c r="AC514" s="171"/>
      <c r="AD514" s="171"/>
      <c r="AE514" s="171"/>
      <c r="AF514" s="171"/>
      <c r="AN514" s="171"/>
      <c r="AO514" s="171"/>
      <c r="AP514" s="171"/>
      <c r="AQ514" s="171"/>
      <c r="AR514" s="171"/>
      <c r="AS514" s="171"/>
      <c r="AT514" s="171"/>
      <c r="AU514" s="171"/>
      <c r="AX514" s="171"/>
      <c r="AY514" s="171"/>
      <c r="BA514" s="171"/>
      <c r="BB514" s="171"/>
      <c r="BF514" s="171"/>
      <c r="BH514" s="171"/>
    </row>
    <row r="515" spans="1:60" x14ac:dyDescent="0.25">
      <c r="A515" s="182"/>
      <c r="B515" s="182"/>
      <c r="C515" s="171"/>
      <c r="D515" s="171"/>
      <c r="E515" s="160"/>
      <c r="F515" s="171"/>
      <c r="G515" s="171"/>
      <c r="H515"/>
      <c r="I515" s="171"/>
      <c r="J515"/>
      <c r="K515"/>
      <c r="L515" s="247"/>
      <c r="M515" s="247"/>
      <c r="N515" s="171"/>
      <c r="O515" s="160"/>
      <c r="P515" s="171"/>
      <c r="Q515" s="160"/>
      <c r="R515" s="160"/>
      <c r="S515" s="171"/>
      <c r="T515" s="171"/>
      <c r="Y515" s="171"/>
      <c r="Z515" s="171"/>
      <c r="AA515" s="171"/>
      <c r="AB515" s="171"/>
      <c r="AC515" s="171"/>
      <c r="AD515" s="171"/>
      <c r="AE515" s="171"/>
      <c r="AF515" s="171"/>
      <c r="AN515" s="171"/>
      <c r="AO515" s="171"/>
      <c r="AP515" s="171"/>
      <c r="AQ515" s="171"/>
      <c r="AR515" s="171"/>
      <c r="AS515" s="171"/>
      <c r="AT515" s="171"/>
      <c r="AU515" s="171"/>
      <c r="AX515" s="171"/>
      <c r="AY515" s="171"/>
      <c r="BA515" s="171"/>
      <c r="BB515" s="171"/>
      <c r="BF515" s="171"/>
      <c r="BH515" s="171"/>
    </row>
    <row r="516" spans="1:60" x14ac:dyDescent="0.25">
      <c r="A516" s="182"/>
      <c r="B516" s="182"/>
      <c r="C516" s="171"/>
      <c r="D516" s="171"/>
      <c r="E516" s="160"/>
      <c r="F516" s="171"/>
      <c r="G516" s="171"/>
      <c r="H516"/>
      <c r="I516" s="171"/>
      <c r="J516"/>
      <c r="K516"/>
      <c r="L516" s="247"/>
      <c r="M516" s="247"/>
      <c r="N516" s="171"/>
      <c r="O516" s="160"/>
      <c r="P516" s="171"/>
      <c r="Q516" s="160"/>
      <c r="R516" s="160"/>
      <c r="S516" s="171"/>
      <c r="T516" s="171"/>
      <c r="Y516" s="171"/>
      <c r="Z516" s="171"/>
      <c r="AA516" s="171"/>
      <c r="AB516" s="171"/>
      <c r="AC516" s="171"/>
      <c r="AD516" s="171"/>
      <c r="AE516" s="171"/>
      <c r="AF516" s="171"/>
      <c r="AN516" s="171"/>
      <c r="AO516" s="171"/>
      <c r="AP516" s="171"/>
      <c r="AQ516" s="171"/>
      <c r="AR516" s="171"/>
      <c r="AS516" s="171"/>
      <c r="AT516" s="171"/>
      <c r="AU516" s="171"/>
      <c r="AX516" s="171"/>
      <c r="AY516" s="171"/>
      <c r="BA516" s="171"/>
      <c r="BB516" s="171"/>
      <c r="BF516" s="171"/>
      <c r="BH516" s="171"/>
    </row>
    <row r="517" spans="1:60" x14ac:dyDescent="0.25">
      <c r="A517" s="182"/>
      <c r="B517" s="182"/>
      <c r="C517" s="171"/>
      <c r="D517" s="171"/>
      <c r="E517" s="160"/>
      <c r="F517" s="171"/>
      <c r="G517" s="171"/>
      <c r="H517"/>
      <c r="I517" s="171"/>
      <c r="J517"/>
      <c r="K517"/>
      <c r="L517" s="247"/>
      <c r="M517" s="247"/>
      <c r="N517" s="171"/>
      <c r="O517" s="160"/>
      <c r="P517" s="171"/>
      <c r="Q517" s="160"/>
      <c r="R517" s="160"/>
      <c r="S517" s="171"/>
      <c r="T517" s="171"/>
      <c r="Y517" s="171"/>
      <c r="Z517" s="171"/>
      <c r="AA517" s="171"/>
      <c r="AB517" s="171"/>
      <c r="AC517" s="171"/>
      <c r="AD517" s="171"/>
      <c r="AE517" s="171"/>
      <c r="AF517" s="171"/>
      <c r="AN517" s="171"/>
      <c r="AO517" s="171"/>
      <c r="AP517" s="171"/>
      <c r="AQ517" s="171"/>
      <c r="AR517" s="171"/>
      <c r="AS517" s="171"/>
      <c r="AT517" s="171"/>
      <c r="AU517" s="171"/>
      <c r="AX517" s="171"/>
      <c r="AY517" s="171"/>
      <c r="BA517" s="171"/>
      <c r="BB517" s="171"/>
      <c r="BF517" s="171"/>
      <c r="BH517" s="171"/>
    </row>
    <row r="518" spans="1:60" x14ac:dyDescent="0.25">
      <c r="A518" s="182"/>
      <c r="B518" s="182"/>
      <c r="C518" s="171"/>
      <c r="D518" s="171"/>
      <c r="E518" s="160"/>
      <c r="F518" s="171"/>
      <c r="G518" s="171"/>
      <c r="H518"/>
      <c r="I518" s="171"/>
      <c r="J518"/>
      <c r="K518"/>
      <c r="L518" s="247"/>
      <c r="M518" s="247"/>
      <c r="N518" s="171"/>
      <c r="O518" s="160"/>
      <c r="P518" s="171"/>
      <c r="Q518" s="160"/>
      <c r="R518" s="160"/>
      <c r="S518" s="171"/>
      <c r="T518" s="171"/>
      <c r="Y518" s="171"/>
      <c r="Z518" s="171"/>
      <c r="AA518" s="171"/>
      <c r="AB518" s="171"/>
      <c r="AC518" s="171"/>
      <c r="AD518" s="171"/>
      <c r="AE518" s="171"/>
      <c r="AF518" s="171"/>
      <c r="AN518" s="171"/>
      <c r="AO518" s="171"/>
      <c r="AP518" s="171"/>
      <c r="AQ518" s="171"/>
      <c r="AR518" s="171"/>
      <c r="AS518" s="171"/>
      <c r="AT518" s="171"/>
      <c r="AU518" s="171"/>
      <c r="AX518" s="171"/>
      <c r="AY518" s="171"/>
      <c r="BA518" s="171"/>
      <c r="BB518" s="171"/>
      <c r="BF518" s="171"/>
      <c r="BH518" s="171"/>
    </row>
    <row r="519" spans="1:60" x14ac:dyDescent="0.25">
      <c r="A519" s="182"/>
      <c r="B519" s="182"/>
      <c r="C519" s="171"/>
      <c r="D519" s="171"/>
      <c r="E519" s="160"/>
      <c r="F519" s="171"/>
      <c r="G519" s="171"/>
      <c r="H519" s="171"/>
      <c r="Q519" s="160"/>
      <c r="R519" s="160"/>
      <c r="S519" s="171"/>
      <c r="T519" s="168"/>
      <c r="AD519" s="171"/>
      <c r="AE519" s="171"/>
      <c r="AG519"/>
    </row>
    <row r="520" spans="1:60" x14ac:dyDescent="0.25">
      <c r="A520" s="182"/>
      <c r="B520" s="182"/>
      <c r="C520" s="171"/>
      <c r="D520" s="171"/>
      <c r="E520" s="160"/>
      <c r="F520" s="171"/>
      <c r="G520" s="171"/>
      <c r="H520" s="171"/>
      <c r="Q520" s="160"/>
      <c r="R520" s="160"/>
      <c r="S520" s="171"/>
      <c r="T520" s="168"/>
      <c r="AD520" s="171"/>
      <c r="AE520" s="171"/>
      <c r="AG520"/>
    </row>
    <row r="521" spans="1:60" x14ac:dyDescent="0.25">
      <c r="A521" s="182"/>
      <c r="B521" s="182"/>
      <c r="C521" s="171"/>
      <c r="D521" s="171"/>
      <c r="E521" s="160"/>
      <c r="F521" s="171"/>
      <c r="G521" s="171"/>
      <c r="H521" s="171"/>
      <c r="Q521" s="160"/>
      <c r="R521" s="160"/>
      <c r="S521" s="171"/>
      <c r="T521" s="168"/>
      <c r="AD521" s="171"/>
      <c r="AE521" s="171"/>
      <c r="AG521"/>
    </row>
    <row r="522" spans="1:60" x14ac:dyDescent="0.25">
      <c r="A522" s="182"/>
      <c r="B522" s="182"/>
      <c r="C522" s="171"/>
      <c r="D522" s="171"/>
      <c r="E522" s="160"/>
      <c r="F522" s="171"/>
      <c r="G522" s="171"/>
      <c r="H522" s="171"/>
      <c r="Q522" s="160"/>
      <c r="R522" s="160"/>
      <c r="S522" s="171"/>
      <c r="T522" s="168"/>
      <c r="AD522" s="171"/>
      <c r="AE522" s="171"/>
      <c r="AG522"/>
    </row>
    <row r="523" spans="1:60" x14ac:dyDescent="0.25">
      <c r="A523" s="182"/>
      <c r="B523" s="182"/>
      <c r="C523" s="171"/>
      <c r="D523" s="171"/>
      <c r="E523" s="160"/>
      <c r="F523" s="171"/>
      <c r="G523" s="171"/>
      <c r="H523" s="171"/>
      <c r="Q523" s="160"/>
      <c r="R523" s="160"/>
      <c r="S523" s="171"/>
      <c r="T523" s="168"/>
      <c r="AD523" s="171"/>
      <c r="AE523" s="171"/>
      <c r="AG523"/>
    </row>
    <row r="524" spans="1:60" x14ac:dyDescent="0.25">
      <c r="A524" s="182"/>
      <c r="B524" s="182"/>
      <c r="C524" s="171"/>
      <c r="D524" s="171"/>
      <c r="E524" s="160"/>
      <c r="F524" s="171"/>
      <c r="G524" s="171"/>
      <c r="H524" s="171"/>
      <c r="Q524" s="160"/>
      <c r="R524" s="160"/>
      <c r="S524" s="171"/>
      <c r="T524" s="168"/>
      <c r="AD524" s="171"/>
      <c r="AE524" s="171"/>
      <c r="AG524"/>
    </row>
    <row r="525" spans="1:60" x14ac:dyDescent="0.25">
      <c r="A525" s="182"/>
      <c r="B525" s="182"/>
      <c r="C525" s="171"/>
      <c r="D525" s="171"/>
      <c r="E525" s="160"/>
      <c r="F525" s="171"/>
      <c r="G525" s="171"/>
      <c r="H525" s="171"/>
      <c r="Q525" s="160"/>
      <c r="R525" s="160"/>
      <c r="S525" s="171"/>
      <c r="T525" s="168"/>
      <c r="AD525" s="171"/>
      <c r="AE525" s="171"/>
      <c r="AG525"/>
    </row>
    <row r="526" spans="1:60" x14ac:dyDescent="0.25">
      <c r="A526" s="182"/>
      <c r="B526" s="182"/>
      <c r="C526" s="171"/>
      <c r="D526" s="171"/>
      <c r="E526" s="160"/>
      <c r="F526" s="171"/>
      <c r="G526" s="171"/>
      <c r="H526" s="171"/>
      <c r="Q526" s="160"/>
      <c r="R526" s="160"/>
      <c r="S526" s="171"/>
      <c r="T526" s="168"/>
      <c r="AD526" s="171"/>
      <c r="AE526" s="171"/>
      <c r="AG526"/>
    </row>
    <row r="527" spans="1:60" x14ac:dyDescent="0.25">
      <c r="A527" s="182"/>
      <c r="B527" s="182"/>
      <c r="C527" s="171"/>
      <c r="D527" s="171"/>
      <c r="E527" s="160"/>
      <c r="F527" s="171"/>
      <c r="G527" s="171"/>
      <c r="H527" s="171"/>
      <c r="Q527" s="160"/>
      <c r="R527" s="160"/>
      <c r="S527" s="171"/>
      <c r="T527" s="168"/>
      <c r="AD527" s="171"/>
      <c r="AE527" s="171"/>
      <c r="AG527"/>
    </row>
    <row r="528" spans="1:60" x14ac:dyDescent="0.25">
      <c r="A528" s="182"/>
      <c r="B528" s="182"/>
      <c r="C528" s="171"/>
      <c r="D528" s="171"/>
      <c r="E528" s="160"/>
      <c r="F528" s="171"/>
      <c r="G528" s="171"/>
      <c r="H528" s="171"/>
      <c r="Q528" s="160"/>
      <c r="R528" s="160"/>
      <c r="S528" s="171"/>
      <c r="T528" s="168"/>
      <c r="AD528" s="171"/>
      <c r="AE528" s="171"/>
      <c r="AG528"/>
    </row>
    <row r="529" spans="1:33" x14ac:dyDescent="0.25">
      <c r="A529" s="182"/>
      <c r="B529" s="182"/>
      <c r="C529" s="171"/>
      <c r="D529" s="171"/>
      <c r="E529" s="160"/>
      <c r="F529" s="171"/>
      <c r="G529" s="171"/>
      <c r="H529" s="171"/>
      <c r="Q529" s="160"/>
      <c r="R529" s="160"/>
      <c r="S529" s="171"/>
      <c r="T529" s="168"/>
      <c r="AD529" s="171"/>
      <c r="AE529" s="171"/>
      <c r="AG529"/>
    </row>
    <row r="530" spans="1:33" x14ac:dyDescent="0.25">
      <c r="A530" s="182"/>
      <c r="B530" s="182"/>
      <c r="C530" s="171"/>
      <c r="D530" s="171"/>
      <c r="E530" s="160"/>
      <c r="F530" s="171"/>
      <c r="G530" s="171"/>
      <c r="H530" s="171"/>
      <c r="Q530" s="160"/>
      <c r="R530" s="160"/>
      <c r="S530" s="171"/>
      <c r="T530" s="168"/>
      <c r="AD530" s="171"/>
      <c r="AE530" s="171"/>
      <c r="AG530"/>
    </row>
    <row r="531" spans="1:33" x14ac:dyDescent="0.25">
      <c r="A531" s="182"/>
      <c r="B531" s="182"/>
      <c r="C531" s="171"/>
      <c r="D531" s="171"/>
      <c r="E531" s="160"/>
      <c r="F531" s="171"/>
      <c r="G531" s="171"/>
      <c r="H531" s="171"/>
      <c r="Q531" s="160"/>
      <c r="R531" s="160"/>
      <c r="S531" s="171"/>
      <c r="T531" s="168"/>
      <c r="AD531" s="171"/>
      <c r="AE531" s="171"/>
      <c r="AG531"/>
    </row>
    <row r="532" spans="1:33" x14ac:dyDescent="0.25">
      <c r="A532" s="182"/>
      <c r="B532" s="182"/>
      <c r="C532" s="171"/>
      <c r="D532" s="171"/>
      <c r="E532" s="160"/>
      <c r="F532" s="171"/>
      <c r="G532" s="171"/>
      <c r="H532" s="171"/>
      <c r="Q532" s="160"/>
      <c r="R532" s="160"/>
      <c r="S532" s="171"/>
      <c r="T532" s="168"/>
      <c r="AD532" s="171"/>
      <c r="AE532" s="171"/>
      <c r="AG532"/>
    </row>
    <row r="533" spans="1:33" x14ac:dyDescent="0.25">
      <c r="A533" s="182"/>
      <c r="B533" s="182"/>
      <c r="C533" s="171"/>
      <c r="D533" s="171"/>
      <c r="E533" s="160"/>
      <c r="F533" s="171"/>
      <c r="G533" s="171"/>
      <c r="H533" s="171"/>
      <c r="Q533" s="160"/>
      <c r="R533" s="160"/>
      <c r="S533" s="171"/>
      <c r="T533" s="168"/>
      <c r="AD533" s="171"/>
      <c r="AE533" s="171"/>
      <c r="AG533"/>
    </row>
    <row r="534" spans="1:33" x14ac:dyDescent="0.25">
      <c r="A534" s="182"/>
      <c r="B534" s="182"/>
      <c r="C534" s="171"/>
      <c r="D534" s="171"/>
      <c r="E534" s="160"/>
      <c r="F534" s="171"/>
      <c r="G534" s="171"/>
      <c r="H534" s="171"/>
      <c r="Q534" s="160"/>
      <c r="R534" s="160"/>
      <c r="S534" s="171"/>
      <c r="T534" s="168"/>
      <c r="AD534" s="171"/>
      <c r="AE534" s="171"/>
      <c r="AG534"/>
    </row>
    <row r="535" spans="1:33" x14ac:dyDescent="0.25">
      <c r="A535" s="182"/>
      <c r="B535" s="182"/>
      <c r="C535" s="171"/>
      <c r="D535" s="171"/>
      <c r="E535" s="160"/>
      <c r="F535" s="171"/>
      <c r="G535" s="171"/>
      <c r="H535" s="171"/>
      <c r="Q535" s="160"/>
      <c r="R535" s="160"/>
      <c r="S535" s="171"/>
      <c r="T535" s="168"/>
      <c r="AD535" s="171"/>
      <c r="AE535" s="171"/>
      <c r="AG535"/>
    </row>
    <row r="536" spans="1:33" x14ac:dyDescent="0.25">
      <c r="A536" s="182"/>
      <c r="B536" s="182"/>
      <c r="C536" s="171"/>
      <c r="D536" s="171"/>
      <c r="E536" s="160"/>
      <c r="F536" s="171"/>
      <c r="G536" s="171"/>
      <c r="H536" s="171"/>
      <c r="Q536" s="160"/>
      <c r="R536" s="160"/>
      <c r="S536" s="171"/>
      <c r="T536" s="168"/>
      <c r="AD536" s="171"/>
      <c r="AE536" s="171"/>
      <c r="AG536"/>
    </row>
    <row r="537" spans="1:33" x14ac:dyDescent="0.25">
      <c r="A537" s="182"/>
      <c r="B537" s="182"/>
      <c r="C537" s="171"/>
      <c r="D537" s="171"/>
      <c r="E537" s="160"/>
      <c r="F537" s="171"/>
      <c r="G537" s="171"/>
      <c r="H537" s="171"/>
      <c r="Q537" s="160"/>
      <c r="R537" s="160"/>
      <c r="S537" s="171"/>
      <c r="T537" s="168"/>
      <c r="AD537" s="171"/>
      <c r="AE537" s="171"/>
      <c r="AG537"/>
    </row>
    <row r="538" spans="1:33" x14ac:dyDescent="0.25">
      <c r="A538" s="182"/>
      <c r="B538" s="182"/>
      <c r="C538" s="171"/>
      <c r="D538" s="171"/>
      <c r="E538" s="160"/>
      <c r="F538" s="171"/>
      <c r="G538" s="171"/>
      <c r="H538" s="171"/>
      <c r="Q538" s="160"/>
      <c r="R538" s="160"/>
      <c r="S538" s="171"/>
      <c r="T538" s="168"/>
      <c r="AD538" s="171"/>
      <c r="AE538" s="171"/>
      <c r="AG538"/>
    </row>
    <row r="539" spans="1:33" x14ac:dyDescent="0.25">
      <c r="A539" s="182"/>
      <c r="B539" s="182"/>
      <c r="C539" s="171"/>
      <c r="D539" s="171"/>
      <c r="E539" s="160"/>
      <c r="F539" s="171"/>
      <c r="G539" s="171"/>
      <c r="H539" s="171"/>
      <c r="Q539" s="160"/>
      <c r="R539" s="160"/>
      <c r="S539" s="171"/>
      <c r="T539" s="168"/>
      <c r="AD539" s="171"/>
      <c r="AE539" s="171"/>
      <c r="AG539"/>
    </row>
    <row r="540" spans="1:33" x14ac:dyDescent="0.25">
      <c r="A540" s="182"/>
      <c r="B540" s="182"/>
      <c r="C540" s="171"/>
      <c r="D540" s="171"/>
      <c r="E540" s="160"/>
      <c r="F540" s="171"/>
      <c r="G540" s="171"/>
      <c r="H540" s="171"/>
      <c r="Q540" s="160"/>
      <c r="R540" s="160"/>
      <c r="S540" s="171"/>
      <c r="T540" s="168"/>
      <c r="AD540" s="171"/>
      <c r="AE540" s="171"/>
      <c r="AG540"/>
    </row>
    <row r="541" spans="1:33" x14ac:dyDescent="0.25">
      <c r="A541" s="182"/>
      <c r="B541" s="182"/>
      <c r="C541" s="171"/>
      <c r="D541" s="171"/>
      <c r="E541" s="160"/>
      <c r="F541" s="171"/>
      <c r="G541" s="171"/>
      <c r="H541" s="171"/>
      <c r="Q541" s="160"/>
      <c r="R541" s="160"/>
      <c r="S541" s="171"/>
      <c r="T541" s="168"/>
      <c r="AD541" s="171"/>
      <c r="AE541" s="171"/>
      <c r="AG541"/>
    </row>
    <row r="542" spans="1:33" x14ac:dyDescent="0.25">
      <c r="A542" s="182"/>
      <c r="B542" s="182"/>
      <c r="C542" s="171"/>
      <c r="D542" s="171"/>
      <c r="E542" s="160"/>
      <c r="F542" s="171"/>
      <c r="G542" s="171"/>
      <c r="H542" s="171"/>
      <c r="Q542" s="160"/>
      <c r="R542" s="160"/>
      <c r="S542" s="171"/>
      <c r="T542" s="168"/>
      <c r="AD542" s="171"/>
      <c r="AE542" s="171"/>
      <c r="AG542"/>
    </row>
    <row r="543" spans="1:33" x14ac:dyDescent="0.25">
      <c r="A543" s="182"/>
      <c r="B543" s="182"/>
      <c r="C543" s="171"/>
      <c r="D543" s="171"/>
      <c r="E543" s="160"/>
      <c r="F543" s="171"/>
      <c r="G543" s="171"/>
      <c r="H543" s="171"/>
      <c r="Q543" s="160"/>
      <c r="R543" s="160"/>
      <c r="S543" s="171"/>
      <c r="T543" s="168"/>
      <c r="AD543" s="171"/>
      <c r="AE543" s="171"/>
      <c r="AG543"/>
    </row>
    <row r="544" spans="1:33" x14ac:dyDescent="0.25">
      <c r="A544" s="182"/>
      <c r="B544" s="182"/>
      <c r="C544" s="171"/>
      <c r="D544" s="171"/>
      <c r="E544" s="160"/>
      <c r="F544" s="171"/>
      <c r="G544" s="171"/>
      <c r="H544" s="171"/>
      <c r="Q544" s="160"/>
      <c r="R544" s="160"/>
      <c r="S544" s="171"/>
      <c r="T544" s="168"/>
      <c r="AD544" s="171"/>
      <c r="AE544" s="171"/>
      <c r="AG544"/>
    </row>
    <row r="545" spans="1:33" x14ac:dyDescent="0.25">
      <c r="A545" s="182"/>
      <c r="B545" s="182"/>
      <c r="C545" s="171"/>
      <c r="D545" s="171"/>
      <c r="E545" s="160"/>
      <c r="F545" s="171"/>
      <c r="G545" s="171"/>
      <c r="H545" s="171"/>
      <c r="Q545" s="160"/>
      <c r="R545" s="160"/>
      <c r="S545" s="171"/>
      <c r="T545" s="168"/>
      <c r="AD545" s="171"/>
      <c r="AE545" s="171"/>
      <c r="AG545"/>
    </row>
    <row r="546" spans="1:33" x14ac:dyDescent="0.25">
      <c r="A546" s="182"/>
      <c r="B546" s="182"/>
      <c r="C546" s="171"/>
      <c r="D546" s="171"/>
      <c r="E546" s="160"/>
      <c r="F546" s="171"/>
      <c r="G546" s="171"/>
      <c r="H546" s="171"/>
      <c r="Q546" s="160"/>
      <c r="R546" s="160"/>
      <c r="S546" s="171"/>
      <c r="T546" s="168"/>
      <c r="AD546" s="171"/>
      <c r="AE546" s="171"/>
      <c r="AG546"/>
    </row>
    <row r="547" spans="1:33" x14ac:dyDescent="0.25">
      <c r="A547" s="182"/>
      <c r="B547" s="182"/>
      <c r="C547" s="171"/>
      <c r="D547" s="171"/>
      <c r="E547" s="160"/>
      <c r="F547" s="171"/>
      <c r="G547" s="171"/>
      <c r="H547" s="171"/>
      <c r="Q547" s="160"/>
      <c r="R547" s="160"/>
      <c r="S547" s="171"/>
      <c r="T547" s="168"/>
      <c r="AD547" s="171"/>
      <c r="AE547" s="171"/>
      <c r="AG547"/>
    </row>
    <row r="548" spans="1:33" x14ac:dyDescent="0.25">
      <c r="A548" s="182"/>
      <c r="B548" s="182"/>
      <c r="C548" s="171"/>
      <c r="D548" s="171"/>
      <c r="E548" s="160"/>
      <c r="F548" s="171"/>
      <c r="G548" s="171"/>
      <c r="H548" s="171"/>
      <c r="Q548" s="160"/>
      <c r="R548" s="160"/>
      <c r="S548" s="171"/>
      <c r="T548" s="168"/>
      <c r="AD548" s="171"/>
      <c r="AE548" s="171"/>
      <c r="AG548"/>
    </row>
    <row r="549" spans="1:33" x14ac:dyDescent="0.25">
      <c r="A549" s="182"/>
      <c r="B549" s="182"/>
      <c r="C549" s="171"/>
      <c r="D549" s="171"/>
      <c r="E549" s="160"/>
      <c r="F549" s="171"/>
      <c r="G549" s="171"/>
      <c r="H549" s="171"/>
      <c r="Q549" s="160"/>
      <c r="R549" s="160"/>
      <c r="S549" s="171"/>
      <c r="T549" s="168"/>
      <c r="AD549" s="171"/>
      <c r="AE549" s="171"/>
      <c r="AG549"/>
    </row>
    <row r="550" spans="1:33" x14ac:dyDescent="0.25">
      <c r="A550" s="182"/>
      <c r="B550" s="182"/>
      <c r="C550" s="171"/>
      <c r="D550" s="171"/>
      <c r="E550" s="160"/>
      <c r="F550" s="171"/>
      <c r="G550" s="171"/>
      <c r="H550"/>
      <c r="Q550" s="160"/>
      <c r="R550" s="160"/>
      <c r="S550" s="171"/>
      <c r="T550" s="168"/>
      <c r="AD550" s="171"/>
      <c r="AE550" s="171"/>
      <c r="AG550"/>
    </row>
    <row r="551" spans="1:33" x14ac:dyDescent="0.25">
      <c r="A551" s="182"/>
      <c r="B551" s="182"/>
      <c r="C551" s="171"/>
      <c r="D551" s="171"/>
      <c r="E551" s="160"/>
      <c r="F551" s="171"/>
      <c r="G551" s="171"/>
      <c r="H551" s="171"/>
      <c r="Q551" s="160"/>
      <c r="R551" s="160"/>
      <c r="S551" s="171"/>
      <c r="T551" s="168"/>
      <c r="AD551" s="171"/>
      <c r="AE551" s="171"/>
      <c r="AG551"/>
    </row>
    <row r="552" spans="1:33" x14ac:dyDescent="0.25">
      <c r="A552" s="182"/>
      <c r="B552" s="182"/>
      <c r="C552" s="171"/>
      <c r="D552" s="171"/>
      <c r="E552" s="160"/>
      <c r="F552" s="171"/>
      <c r="G552" s="171"/>
      <c r="H552"/>
      <c r="Q552" s="160"/>
      <c r="R552" s="160"/>
      <c r="S552" s="171"/>
      <c r="T552" s="168"/>
      <c r="AD552" s="171"/>
      <c r="AE552" s="171"/>
      <c r="AG552"/>
    </row>
    <row r="553" spans="1:33" x14ac:dyDescent="0.25">
      <c r="A553" s="182"/>
      <c r="B553" s="182"/>
      <c r="C553" s="171"/>
      <c r="D553" s="171"/>
      <c r="E553" s="160"/>
      <c r="F553" s="171"/>
      <c r="G553" s="171"/>
      <c r="H553"/>
      <c r="Q553" s="160"/>
      <c r="R553" s="160"/>
      <c r="S553" s="171"/>
      <c r="T553" s="168"/>
      <c r="AD553" s="171"/>
      <c r="AE553" s="171"/>
      <c r="AG553"/>
    </row>
    <row r="554" spans="1:33" x14ac:dyDescent="0.25">
      <c r="A554" s="182"/>
      <c r="B554" s="182"/>
      <c r="C554" s="171"/>
      <c r="D554" s="171"/>
      <c r="E554" s="160"/>
      <c r="F554" s="171"/>
      <c r="G554"/>
      <c r="H554"/>
      <c r="Q554" s="160"/>
      <c r="R554" s="160"/>
      <c r="S554" s="171"/>
      <c r="T554" s="168"/>
      <c r="AD554" s="171"/>
      <c r="AE554" s="171"/>
      <c r="AG554"/>
    </row>
    <row r="555" spans="1:33" x14ac:dyDescent="0.25">
      <c r="A555" s="182"/>
      <c r="B555" s="182"/>
      <c r="C555" s="171"/>
      <c r="D555" s="171"/>
      <c r="E555" s="160"/>
      <c r="F555" s="171"/>
      <c r="G555"/>
      <c r="H555"/>
      <c r="Q555" s="160"/>
      <c r="R555" s="160"/>
      <c r="S555" s="171"/>
      <c r="T555" s="168"/>
      <c r="AD555" s="171"/>
      <c r="AE555" s="171"/>
      <c r="AG555"/>
    </row>
    <row r="556" spans="1:33" x14ac:dyDescent="0.25">
      <c r="A556" s="182"/>
      <c r="B556" s="182"/>
      <c r="C556" s="171"/>
      <c r="D556" s="171"/>
      <c r="E556" s="160"/>
      <c r="F556" s="171"/>
      <c r="G556" s="171"/>
      <c r="H556" s="171"/>
      <c r="Q556" s="160"/>
      <c r="R556" s="160"/>
      <c r="S556" s="171"/>
      <c r="T556" s="168"/>
      <c r="AD556" s="171"/>
      <c r="AE556" s="171"/>
      <c r="AG556"/>
    </row>
    <row r="557" spans="1:33" x14ac:dyDescent="0.25">
      <c r="A557" s="182"/>
      <c r="B557" s="182"/>
      <c r="C557" s="171"/>
      <c r="D557" s="171"/>
      <c r="E557" s="160"/>
      <c r="F557" s="171"/>
      <c r="G557"/>
      <c r="H557"/>
      <c r="Q557" s="160"/>
      <c r="R557" s="160"/>
      <c r="S557" s="171"/>
      <c r="T557" s="168"/>
      <c r="AD557" s="171"/>
      <c r="AE557" s="171"/>
      <c r="AG557"/>
    </row>
    <row r="558" spans="1:33" x14ac:dyDescent="0.25">
      <c r="A558" s="182"/>
      <c r="B558" s="182"/>
      <c r="C558" s="171"/>
      <c r="D558" s="171"/>
      <c r="E558" s="160"/>
      <c r="F558" s="171"/>
      <c r="G558" s="171"/>
      <c r="H558"/>
      <c r="Q558" s="160"/>
      <c r="R558" s="160"/>
      <c r="S558" s="171"/>
      <c r="T558" s="168"/>
      <c r="AD558" s="171"/>
      <c r="AE558" s="171"/>
      <c r="AG558"/>
    </row>
    <row r="559" spans="1:33" x14ac:dyDescent="0.25">
      <c r="A559" s="182"/>
      <c r="B559" s="182"/>
      <c r="C559" s="171"/>
      <c r="D559" s="171"/>
      <c r="E559" s="160"/>
      <c r="F559" s="171"/>
      <c r="G559" s="171"/>
      <c r="H559"/>
      <c r="Q559" s="160"/>
      <c r="R559" s="160"/>
      <c r="S559" s="171"/>
      <c r="T559" s="168"/>
      <c r="AD559" s="171"/>
      <c r="AE559" s="171"/>
      <c r="AG559"/>
    </row>
    <row r="560" spans="1:33" x14ac:dyDescent="0.25">
      <c r="A560" s="182"/>
      <c r="B560" s="182"/>
      <c r="C560" s="171"/>
      <c r="D560" s="171"/>
      <c r="E560" s="160"/>
      <c r="F560" s="171"/>
      <c r="G560" s="171"/>
      <c r="H560"/>
      <c r="Q560" s="160"/>
      <c r="R560" s="160"/>
      <c r="S560" s="171"/>
      <c r="T560" s="168"/>
      <c r="AD560" s="171"/>
      <c r="AE560" s="171"/>
      <c r="AG560"/>
    </row>
    <row r="561" spans="1:33" x14ac:dyDescent="0.25">
      <c r="A561" s="182"/>
      <c r="B561" s="182"/>
      <c r="C561" s="171"/>
      <c r="D561" s="171"/>
      <c r="E561" s="160"/>
      <c r="F561" s="171"/>
      <c r="G561" s="171"/>
      <c r="H561"/>
      <c r="Q561" s="160"/>
      <c r="R561" s="160"/>
      <c r="S561" s="171"/>
      <c r="T561" s="168"/>
      <c r="AD561" s="171"/>
      <c r="AE561" s="171"/>
      <c r="AG561"/>
    </row>
    <row r="562" spans="1:33" x14ac:dyDescent="0.25">
      <c r="A562" s="182"/>
      <c r="B562" s="182"/>
      <c r="C562" s="171"/>
      <c r="D562" s="171"/>
      <c r="E562" s="160"/>
      <c r="F562" s="171"/>
      <c r="G562"/>
      <c r="H562"/>
      <c r="Q562" s="160"/>
      <c r="R562" s="160"/>
      <c r="S562" s="171"/>
      <c r="T562" s="168"/>
      <c r="AD562" s="171"/>
      <c r="AE562" s="171"/>
      <c r="AG562"/>
    </row>
    <row r="563" spans="1:33" x14ac:dyDescent="0.25">
      <c r="A563" s="182"/>
      <c r="B563" s="182"/>
      <c r="C563" s="171"/>
      <c r="D563" s="171"/>
      <c r="E563" s="160"/>
      <c r="F563" s="171"/>
      <c r="G563" s="171"/>
      <c r="H563"/>
      <c r="Q563" s="160"/>
      <c r="R563" s="160"/>
      <c r="S563" s="171"/>
      <c r="T563" s="168"/>
      <c r="AD563" s="171"/>
      <c r="AE563" s="171"/>
      <c r="AG563"/>
    </row>
    <row r="564" spans="1:33" x14ac:dyDescent="0.25">
      <c r="A564" s="182"/>
      <c r="B564" s="182"/>
      <c r="C564" s="171"/>
      <c r="D564" s="171"/>
      <c r="E564" s="160"/>
      <c r="F564" s="171"/>
      <c r="G564" s="171"/>
      <c r="H564"/>
      <c r="Q564" s="160"/>
      <c r="R564" s="160"/>
      <c r="S564" s="171"/>
      <c r="T564" s="168"/>
      <c r="AD564" s="171"/>
      <c r="AE564" s="171"/>
      <c r="AG564"/>
    </row>
    <row r="565" spans="1:33" x14ac:dyDescent="0.25">
      <c r="A565" s="182"/>
      <c r="B565" s="182"/>
      <c r="C565" s="171"/>
      <c r="D565" s="171"/>
      <c r="E565" s="160"/>
      <c r="F565" s="171"/>
      <c r="G565" s="171"/>
      <c r="H565"/>
      <c r="Q565" s="160"/>
      <c r="R565" s="160"/>
      <c r="S565" s="171"/>
      <c r="T565" s="168"/>
      <c r="AD565" s="171"/>
      <c r="AE565" s="171"/>
      <c r="AG565"/>
    </row>
    <row r="566" spans="1:33" x14ac:dyDescent="0.25">
      <c r="A566" s="182"/>
      <c r="B566" s="182"/>
      <c r="C566" s="171"/>
      <c r="D566" s="171"/>
      <c r="E566" s="160"/>
      <c r="F566" s="171"/>
      <c r="G566" s="171"/>
      <c r="H566" s="171"/>
      <c r="Q566" s="160"/>
      <c r="R566" s="160"/>
      <c r="S566" s="171"/>
      <c r="T566" s="168"/>
      <c r="AD566" s="171"/>
      <c r="AE566" s="171"/>
      <c r="AG566"/>
    </row>
    <row r="567" spans="1:33" x14ac:dyDescent="0.25">
      <c r="A567" s="182"/>
      <c r="B567" s="182"/>
      <c r="C567" s="171"/>
      <c r="D567" s="171"/>
      <c r="E567" s="160"/>
      <c r="F567" s="171"/>
      <c r="G567" s="171"/>
      <c r="H567"/>
      <c r="Q567" s="160"/>
      <c r="R567" s="160"/>
      <c r="S567" s="171"/>
      <c r="T567" s="168"/>
      <c r="AD567" s="171"/>
      <c r="AE567" s="171"/>
      <c r="AG567"/>
    </row>
    <row r="568" spans="1:33" x14ac:dyDescent="0.25">
      <c r="A568" s="182"/>
      <c r="B568" s="182"/>
      <c r="C568" s="171"/>
      <c r="D568" s="171"/>
      <c r="E568" s="160"/>
      <c r="F568" s="171"/>
      <c r="G568" s="171"/>
      <c r="H568"/>
      <c r="Q568" s="160"/>
      <c r="R568" s="160"/>
      <c r="S568" s="171"/>
      <c r="AD568" s="171"/>
      <c r="AE568" s="171"/>
      <c r="AG568"/>
    </row>
    <row r="569" spans="1:33" x14ac:dyDescent="0.25">
      <c r="A569" s="182"/>
      <c r="B569" s="182"/>
      <c r="C569" s="171"/>
      <c r="D569" s="171"/>
      <c r="E569" s="160"/>
      <c r="F569" s="171"/>
      <c r="G569" s="171"/>
      <c r="H569"/>
      <c r="Q569" s="160"/>
      <c r="R569" s="160"/>
      <c r="S569" s="171"/>
      <c r="AD569" s="171"/>
      <c r="AE569" s="171"/>
      <c r="AG569"/>
    </row>
    <row r="570" spans="1:33" x14ac:dyDescent="0.25">
      <c r="A570" s="182"/>
      <c r="B570" s="182"/>
      <c r="C570" s="171"/>
      <c r="D570" s="171"/>
      <c r="E570" s="160"/>
      <c r="F570" s="171"/>
      <c r="G570" s="171"/>
      <c r="H570"/>
      <c r="Q570" s="160"/>
      <c r="R570" s="160"/>
      <c r="S570" s="171"/>
      <c r="AD570" s="171"/>
      <c r="AE570" s="171"/>
      <c r="AG570"/>
    </row>
    <row r="571" spans="1:33" x14ac:dyDescent="0.25">
      <c r="A571" s="182"/>
      <c r="B571" s="182"/>
      <c r="C571" s="171"/>
      <c r="D571" s="171"/>
      <c r="E571" s="160"/>
      <c r="F571" s="171"/>
      <c r="G571" s="171"/>
      <c r="H571" s="171"/>
      <c r="Q571" s="160"/>
      <c r="R571" s="160"/>
      <c r="S571" s="171"/>
      <c r="AD571" s="171"/>
      <c r="AE571" s="171"/>
      <c r="AG571"/>
    </row>
    <row r="572" spans="1:33" x14ac:dyDescent="0.25">
      <c r="A572" s="182"/>
      <c r="B572" s="182"/>
      <c r="C572" s="171"/>
      <c r="D572" s="171"/>
      <c r="E572" s="160"/>
      <c r="F572" s="171"/>
      <c r="G572" s="171"/>
      <c r="H572"/>
      <c r="Q572" s="160"/>
      <c r="R572" s="160"/>
      <c r="S572" s="171"/>
      <c r="AD572" s="171"/>
      <c r="AE572" s="171"/>
      <c r="AG572"/>
    </row>
    <row r="573" spans="1:33" x14ac:dyDescent="0.25">
      <c r="A573" s="182"/>
      <c r="B573" s="182"/>
      <c r="C573" s="171"/>
      <c r="D573" s="171"/>
      <c r="E573" s="160"/>
      <c r="F573" s="171"/>
      <c r="G573" s="171"/>
      <c r="H573"/>
      <c r="Q573" s="160"/>
      <c r="R573" s="160"/>
      <c r="S573" s="171"/>
      <c r="AD573" s="171"/>
      <c r="AE573" s="171"/>
      <c r="AG573"/>
    </row>
    <row r="574" spans="1:33" x14ac:dyDescent="0.25">
      <c r="A574" s="182"/>
      <c r="B574" s="182"/>
      <c r="C574" s="171"/>
      <c r="D574" s="171"/>
      <c r="E574" s="160"/>
      <c r="F574" s="171"/>
      <c r="G574"/>
      <c r="H574"/>
      <c r="Q574" s="160"/>
      <c r="R574" s="160"/>
      <c r="S574" s="171"/>
      <c r="AD574" s="171"/>
      <c r="AE574" s="171"/>
      <c r="AG574"/>
    </row>
    <row r="575" spans="1:33" x14ac:dyDescent="0.25">
      <c r="A575" s="182"/>
      <c r="B575" s="182"/>
      <c r="C575" s="171"/>
      <c r="D575" s="171"/>
      <c r="E575" s="160"/>
      <c r="F575" s="171"/>
      <c r="G575"/>
      <c r="H575"/>
      <c r="Q575" s="160"/>
      <c r="R575" s="160"/>
      <c r="S575" s="171"/>
      <c r="AD575" s="171"/>
      <c r="AE575" s="171"/>
      <c r="AG575"/>
    </row>
    <row r="576" spans="1:33" x14ac:dyDescent="0.25">
      <c r="A576" s="182"/>
      <c r="B576" s="182"/>
      <c r="C576" s="171"/>
      <c r="D576" s="171"/>
      <c r="E576" s="160"/>
      <c r="F576" s="171"/>
      <c r="G576" s="171"/>
      <c r="H576"/>
      <c r="Q576" s="160"/>
      <c r="R576" s="160"/>
      <c r="S576" s="171"/>
      <c r="AD576" s="171"/>
      <c r="AE576" s="171"/>
      <c r="AG576"/>
    </row>
    <row r="577" spans="1:33" x14ac:dyDescent="0.25">
      <c r="A577" s="182"/>
      <c r="B577" s="182"/>
      <c r="C577" s="171"/>
      <c r="D577" s="171"/>
      <c r="E577" s="160"/>
      <c r="F577" s="171"/>
      <c r="G577"/>
      <c r="H577"/>
      <c r="Q577" s="160"/>
      <c r="R577" s="160"/>
      <c r="S577" s="171"/>
      <c r="AD577" s="171"/>
      <c r="AE577" s="171"/>
      <c r="AG577"/>
    </row>
    <row r="578" spans="1:33" x14ac:dyDescent="0.25">
      <c r="A578" s="182"/>
      <c r="B578" s="182"/>
      <c r="C578" s="171"/>
      <c r="D578" s="171"/>
      <c r="E578" s="160"/>
      <c r="F578" s="171"/>
      <c r="G578" s="171"/>
      <c r="H578"/>
      <c r="Q578" s="160"/>
      <c r="R578" s="160"/>
      <c r="S578" s="171"/>
      <c r="AD578" s="171"/>
      <c r="AE578" s="171"/>
      <c r="AG578"/>
    </row>
    <row r="579" spans="1:33" x14ac:dyDescent="0.25">
      <c r="A579" s="182"/>
      <c r="B579" s="182"/>
      <c r="C579" s="171"/>
      <c r="D579" s="171"/>
      <c r="E579" s="160"/>
      <c r="F579" s="171"/>
      <c r="G579" s="171"/>
      <c r="H579"/>
      <c r="Q579" s="160"/>
      <c r="R579" s="160"/>
      <c r="S579" s="171"/>
      <c r="AD579" s="171"/>
      <c r="AE579" s="171"/>
      <c r="AG579"/>
    </row>
    <row r="580" spans="1:33" x14ac:dyDescent="0.25">
      <c r="A580" s="182"/>
      <c r="B580" s="182"/>
      <c r="C580" s="171"/>
      <c r="D580" s="171"/>
      <c r="E580" s="160"/>
      <c r="F580" s="171"/>
      <c r="G580" s="171"/>
      <c r="H580"/>
      <c r="Q580" s="160"/>
      <c r="R580" s="160"/>
      <c r="S580" s="171"/>
      <c r="AD580" s="171"/>
      <c r="AE580" s="171"/>
      <c r="AG580"/>
    </row>
    <row r="581" spans="1:33" x14ac:dyDescent="0.25">
      <c r="A581" s="182"/>
      <c r="B581" s="182"/>
      <c r="C581" s="171"/>
      <c r="D581" s="171"/>
      <c r="E581" s="160"/>
      <c r="F581" s="171"/>
      <c r="G581" s="171"/>
      <c r="H581"/>
      <c r="Q581" s="160"/>
      <c r="R581" s="160"/>
      <c r="S581" s="171"/>
      <c r="AD581" s="171"/>
      <c r="AE581" s="171"/>
      <c r="AG581"/>
    </row>
    <row r="582" spans="1:33" x14ac:dyDescent="0.25">
      <c r="A582" s="182"/>
      <c r="B582" s="182"/>
      <c r="C582" s="171"/>
      <c r="D582" s="171"/>
      <c r="E582" s="160"/>
      <c r="F582" s="171"/>
      <c r="G582"/>
      <c r="H582"/>
      <c r="Q582" s="160"/>
      <c r="R582" s="160"/>
      <c r="S582" s="171"/>
      <c r="AD582" s="171"/>
      <c r="AE582" s="171"/>
      <c r="AG582"/>
    </row>
    <row r="583" spans="1:33" x14ac:dyDescent="0.25">
      <c r="A583" s="182"/>
      <c r="B583" s="182"/>
      <c r="C583" s="171"/>
      <c r="D583" s="171"/>
      <c r="E583" s="160"/>
      <c r="F583" s="171"/>
      <c r="G583" s="171"/>
      <c r="H583"/>
      <c r="Q583" s="160"/>
      <c r="R583" s="160"/>
      <c r="S583" s="171"/>
      <c r="AD583" s="171"/>
      <c r="AE583" s="171"/>
      <c r="AG583"/>
    </row>
    <row r="584" spans="1:33" x14ac:dyDescent="0.25">
      <c r="A584" s="182"/>
      <c r="B584" s="182"/>
      <c r="C584" s="171"/>
      <c r="D584" s="171"/>
      <c r="E584" s="160"/>
      <c r="F584" s="171"/>
      <c r="G584" s="171"/>
      <c r="H584"/>
      <c r="Q584" s="160"/>
      <c r="R584" s="160"/>
      <c r="S584" s="171"/>
      <c r="AD584" s="171"/>
      <c r="AE584" s="171"/>
      <c r="AG584"/>
    </row>
    <row r="585" spans="1:33" x14ac:dyDescent="0.25">
      <c r="A585" s="182"/>
      <c r="B585" s="182"/>
      <c r="C585" s="171"/>
      <c r="D585" s="171"/>
      <c r="E585" s="160"/>
      <c r="F585" s="171"/>
      <c r="G585" s="171"/>
      <c r="H585"/>
      <c r="Q585" s="160"/>
      <c r="R585" s="160"/>
      <c r="S585" s="171"/>
      <c r="AD585" s="171"/>
      <c r="AE585" s="171"/>
      <c r="AG585"/>
    </row>
    <row r="586" spans="1:33" x14ac:dyDescent="0.25">
      <c r="A586" s="182"/>
      <c r="B586" s="182"/>
      <c r="C586" s="171"/>
      <c r="D586" s="171"/>
      <c r="E586" s="160"/>
      <c r="F586" s="171"/>
      <c r="G586" s="171"/>
      <c r="H586" s="171"/>
      <c r="Q586" s="160"/>
      <c r="R586" s="160"/>
      <c r="S586" s="171"/>
      <c r="AD586" s="171"/>
      <c r="AE586" s="171"/>
      <c r="AG586"/>
    </row>
    <row r="587" spans="1:33" x14ac:dyDescent="0.25">
      <c r="A587" s="182"/>
      <c r="B587" s="182"/>
      <c r="C587" s="171"/>
      <c r="D587" s="171"/>
      <c r="E587" s="160"/>
      <c r="F587" s="171"/>
      <c r="G587" s="171"/>
      <c r="H587"/>
      <c r="Q587" s="160"/>
      <c r="R587" s="160"/>
      <c r="S587" s="171"/>
      <c r="AD587" s="171"/>
      <c r="AE587" s="171"/>
      <c r="AG587"/>
    </row>
    <row r="588" spans="1:33" x14ac:dyDescent="0.25">
      <c r="A588" s="182"/>
      <c r="B588" s="182"/>
      <c r="C588" s="171"/>
      <c r="D588" s="171"/>
      <c r="E588" s="160"/>
      <c r="F588" s="171"/>
      <c r="G588" s="171"/>
      <c r="H588"/>
      <c r="Q588" s="160"/>
      <c r="R588" s="160"/>
      <c r="S588" s="171"/>
      <c r="AD588" s="171"/>
      <c r="AE588" s="171"/>
      <c r="AG588"/>
    </row>
    <row r="589" spans="1:33" x14ac:dyDescent="0.25">
      <c r="A589" s="182"/>
      <c r="B589" s="182"/>
      <c r="C589" s="171"/>
      <c r="D589" s="171"/>
      <c r="E589" s="160"/>
      <c r="F589" s="171"/>
      <c r="G589" s="171"/>
      <c r="H589"/>
      <c r="Q589" s="160"/>
      <c r="R589" s="160"/>
      <c r="S589" s="171"/>
      <c r="AD589" s="171"/>
      <c r="AE589" s="171"/>
      <c r="AG589"/>
    </row>
    <row r="590" spans="1:33" x14ac:dyDescent="0.25">
      <c r="A590" s="182"/>
      <c r="B590" s="182"/>
      <c r="C590" s="171"/>
      <c r="D590" s="171"/>
      <c r="E590" s="160"/>
      <c r="F590" s="171"/>
      <c r="G590" s="171"/>
      <c r="H590"/>
      <c r="Q590" s="160"/>
      <c r="R590" s="160"/>
      <c r="S590" s="171"/>
      <c r="AD590" s="171"/>
      <c r="AE590" s="171"/>
      <c r="AG590"/>
    </row>
    <row r="591" spans="1:33" x14ac:dyDescent="0.25">
      <c r="A591" s="182"/>
      <c r="B591" s="182"/>
      <c r="C591" s="171"/>
      <c r="D591" s="171"/>
      <c r="E591" s="160"/>
      <c r="F591" s="171"/>
      <c r="G591" s="171"/>
      <c r="H591" s="171"/>
      <c r="Q591" s="160"/>
      <c r="R591" s="160"/>
      <c r="S591" s="171"/>
      <c r="AD591" s="171"/>
      <c r="AE591" s="171"/>
      <c r="AG591"/>
    </row>
    <row r="592" spans="1:33" x14ac:dyDescent="0.25">
      <c r="A592" s="182"/>
      <c r="B592" s="182"/>
      <c r="C592" s="171"/>
      <c r="D592" s="171"/>
      <c r="E592" s="160"/>
      <c r="F592" s="171"/>
      <c r="G592"/>
      <c r="H592"/>
      <c r="Q592" s="160"/>
      <c r="R592" s="160"/>
      <c r="S592" s="171"/>
      <c r="AD592" s="171"/>
      <c r="AE592" s="171"/>
      <c r="AG592"/>
    </row>
    <row r="593" spans="1:33" x14ac:dyDescent="0.25">
      <c r="A593" s="182"/>
      <c r="B593" s="182"/>
      <c r="C593" s="171"/>
      <c r="D593" s="171"/>
      <c r="E593" s="160"/>
      <c r="F593" s="171"/>
      <c r="G593" s="171"/>
      <c r="H593"/>
      <c r="Q593" s="160"/>
      <c r="R593" s="160"/>
      <c r="S593" s="171"/>
      <c r="AD593" s="171"/>
      <c r="AE593" s="171"/>
      <c r="AG593"/>
    </row>
    <row r="594" spans="1:33" x14ac:dyDescent="0.25">
      <c r="A594" s="182"/>
      <c r="B594" s="182"/>
      <c r="C594" s="171"/>
      <c r="D594" s="171"/>
      <c r="E594" s="160"/>
      <c r="F594" s="171"/>
      <c r="G594" s="171"/>
      <c r="H594"/>
      <c r="Q594" s="160"/>
      <c r="R594" s="160"/>
      <c r="S594" s="171"/>
      <c r="AD594" s="171"/>
      <c r="AE594" s="171"/>
      <c r="AG594"/>
    </row>
    <row r="595" spans="1:33" x14ac:dyDescent="0.25">
      <c r="A595" s="182"/>
      <c r="B595" s="182"/>
      <c r="C595" s="171"/>
      <c r="D595" s="171"/>
      <c r="E595" s="160"/>
      <c r="F595" s="171"/>
      <c r="G595" s="171"/>
      <c r="H595"/>
      <c r="Q595" s="160"/>
      <c r="R595" s="160"/>
      <c r="S595" s="171"/>
      <c r="AD595" s="171"/>
      <c r="AE595" s="171"/>
      <c r="AG595"/>
    </row>
    <row r="596" spans="1:33" x14ac:dyDescent="0.25">
      <c r="A596" s="182"/>
      <c r="B596" s="182"/>
      <c r="C596" s="171"/>
      <c r="D596" s="171"/>
      <c r="E596" s="160"/>
      <c r="F596" s="171"/>
      <c r="G596" s="171"/>
      <c r="H596"/>
      <c r="Q596" s="160"/>
      <c r="R596" s="160"/>
      <c r="S596" s="171"/>
      <c r="AD596" s="171"/>
      <c r="AE596" s="171"/>
      <c r="AG596"/>
    </row>
    <row r="597" spans="1:33" x14ac:dyDescent="0.25">
      <c r="A597" s="182"/>
      <c r="B597" s="182"/>
      <c r="C597" s="171"/>
      <c r="D597" s="171"/>
      <c r="E597" s="160"/>
      <c r="F597" s="171"/>
      <c r="G597"/>
      <c r="H597"/>
      <c r="Q597" s="160"/>
      <c r="R597" s="160"/>
      <c r="S597" s="171"/>
      <c r="AD597" s="171"/>
      <c r="AE597" s="171"/>
      <c r="AG597"/>
    </row>
    <row r="598" spans="1:33" x14ac:dyDescent="0.25">
      <c r="A598" s="182"/>
      <c r="B598" s="182"/>
      <c r="C598" s="171"/>
      <c r="D598" s="171"/>
      <c r="E598" s="160"/>
      <c r="F598" s="171"/>
      <c r="G598" s="171"/>
      <c r="H598"/>
      <c r="Q598" s="160"/>
      <c r="R598" s="160"/>
      <c r="S598" s="171"/>
      <c r="AD598" s="171"/>
      <c r="AE598" s="171"/>
      <c r="AG598"/>
    </row>
    <row r="599" spans="1:33" x14ac:dyDescent="0.25">
      <c r="A599" s="182"/>
      <c r="B599" s="182"/>
      <c r="C599" s="171"/>
      <c r="D599" s="171"/>
      <c r="E599" s="160"/>
      <c r="F599" s="171"/>
      <c r="G599"/>
      <c r="H599"/>
      <c r="Q599" s="160"/>
      <c r="R599" s="160"/>
      <c r="S599" s="171"/>
      <c r="AD599" s="171"/>
      <c r="AE599" s="171"/>
      <c r="AG599"/>
    </row>
    <row r="600" spans="1:33" x14ac:dyDescent="0.25">
      <c r="A600" s="182"/>
      <c r="B600" s="182"/>
      <c r="C600" s="171"/>
      <c r="D600" s="171"/>
      <c r="E600" s="160"/>
      <c r="F600" s="171"/>
      <c r="G600" s="171"/>
      <c r="H600"/>
      <c r="Q600" s="160"/>
      <c r="R600" s="160"/>
      <c r="S600" s="171"/>
      <c r="AD600" s="171"/>
      <c r="AE600" s="171"/>
      <c r="AG600"/>
    </row>
    <row r="601" spans="1:33" x14ac:dyDescent="0.25">
      <c r="A601" s="182"/>
      <c r="B601" s="182"/>
      <c r="C601" s="171"/>
      <c r="D601" s="171"/>
      <c r="E601" s="160"/>
      <c r="F601" s="171"/>
      <c r="G601" s="171"/>
      <c r="H601"/>
      <c r="Q601" s="160"/>
      <c r="R601" s="160"/>
      <c r="S601" s="171"/>
      <c r="AD601" s="171"/>
      <c r="AE601" s="171"/>
      <c r="AG601"/>
    </row>
    <row r="602" spans="1:33" x14ac:dyDescent="0.25">
      <c r="A602" s="182"/>
      <c r="B602" s="182"/>
      <c r="C602" s="171"/>
      <c r="D602" s="171"/>
      <c r="E602" s="160"/>
      <c r="F602" s="171"/>
      <c r="G602" s="171"/>
      <c r="H602"/>
      <c r="Q602" s="160"/>
      <c r="R602" s="160"/>
      <c r="S602" s="171"/>
      <c r="AD602" s="171"/>
      <c r="AE602" s="171"/>
      <c r="AG602"/>
    </row>
    <row r="603" spans="1:33" x14ac:dyDescent="0.25">
      <c r="A603" s="182"/>
      <c r="B603" s="182"/>
      <c r="C603" s="171"/>
      <c r="D603" s="171"/>
      <c r="E603" s="160"/>
      <c r="F603" s="171"/>
      <c r="G603" s="171"/>
      <c r="H603"/>
      <c r="Q603" s="160"/>
      <c r="R603" s="160"/>
      <c r="S603" s="171"/>
      <c r="AD603" s="171"/>
      <c r="AE603" s="171"/>
      <c r="AG603"/>
    </row>
    <row r="604" spans="1:33" x14ac:dyDescent="0.25">
      <c r="A604" s="182"/>
      <c r="B604" s="182"/>
      <c r="C604" s="171"/>
      <c r="D604" s="171"/>
      <c r="E604" s="160"/>
      <c r="F604" s="171"/>
      <c r="G604" s="171"/>
      <c r="H604"/>
      <c r="Q604" s="160"/>
      <c r="R604" s="160"/>
      <c r="S604" s="171"/>
      <c r="AD604" s="171"/>
      <c r="AE604" s="171"/>
      <c r="AG604"/>
    </row>
    <row r="605" spans="1:33" x14ac:dyDescent="0.25">
      <c r="A605" s="182"/>
      <c r="B605" s="182"/>
      <c r="C605" s="171"/>
      <c r="D605" s="171"/>
      <c r="E605" s="160"/>
      <c r="F605" s="171"/>
      <c r="G605" s="171"/>
      <c r="H605"/>
      <c r="Q605" s="160"/>
      <c r="R605" s="160"/>
      <c r="S605" s="171"/>
      <c r="AD605" s="171"/>
      <c r="AE605" s="171"/>
      <c r="AG605"/>
    </row>
    <row r="606" spans="1:33" x14ac:dyDescent="0.25">
      <c r="A606" s="182"/>
      <c r="B606" s="182"/>
      <c r="C606" s="171"/>
      <c r="D606" s="171"/>
      <c r="E606" s="160"/>
      <c r="F606" s="171"/>
      <c r="G606" s="171"/>
      <c r="H606" s="171"/>
      <c r="Q606" s="160"/>
      <c r="R606" s="160"/>
      <c r="S606" s="171"/>
      <c r="AD606" s="171"/>
      <c r="AE606" s="171"/>
      <c r="AG606"/>
    </row>
    <row r="607" spans="1:33" x14ac:dyDescent="0.25">
      <c r="A607" s="182"/>
      <c r="B607" s="182"/>
      <c r="C607" s="171"/>
      <c r="D607" s="171"/>
      <c r="E607" s="160"/>
      <c r="F607" s="171"/>
      <c r="G607" s="171"/>
      <c r="H607"/>
      <c r="Q607" s="160"/>
      <c r="R607" s="160"/>
      <c r="S607" s="171"/>
      <c r="AD607" s="171"/>
      <c r="AE607" s="171"/>
      <c r="AG607"/>
    </row>
    <row r="608" spans="1:33" x14ac:dyDescent="0.25">
      <c r="A608" s="182"/>
      <c r="B608" s="182"/>
      <c r="C608" s="171"/>
      <c r="D608" s="171"/>
      <c r="E608" s="160"/>
      <c r="F608" s="171"/>
      <c r="G608" s="171"/>
      <c r="H608" s="171"/>
      <c r="Q608" s="160"/>
      <c r="R608" s="160"/>
      <c r="S608" s="171"/>
      <c r="AD608" s="171"/>
      <c r="AE608" s="171"/>
      <c r="AG608"/>
    </row>
    <row r="609" spans="1:33" x14ac:dyDescent="0.25">
      <c r="A609" s="182"/>
      <c r="B609" s="182"/>
      <c r="C609" s="171"/>
      <c r="D609" s="171"/>
      <c r="E609" s="160"/>
      <c r="F609" s="171"/>
      <c r="G609" s="171"/>
      <c r="H609"/>
      <c r="Q609" s="160"/>
      <c r="R609" s="160"/>
      <c r="S609" s="171"/>
      <c r="AD609" s="171"/>
      <c r="AE609" s="171"/>
      <c r="AG609"/>
    </row>
    <row r="610" spans="1:33" x14ac:dyDescent="0.25">
      <c r="A610" s="182"/>
      <c r="B610" s="182"/>
      <c r="C610" s="171"/>
      <c r="D610" s="171"/>
      <c r="E610" s="160"/>
      <c r="F610" s="171"/>
      <c r="G610" s="171"/>
      <c r="H610"/>
      <c r="Q610" s="160"/>
      <c r="R610" s="160"/>
      <c r="S610" s="171"/>
      <c r="AD610" s="171"/>
      <c r="AE610" s="171"/>
      <c r="AG610"/>
    </row>
    <row r="611" spans="1:33" x14ac:dyDescent="0.25">
      <c r="A611" s="182"/>
      <c r="B611" s="182"/>
      <c r="C611" s="171"/>
      <c r="D611" s="171"/>
      <c r="E611" s="160"/>
      <c r="F611" s="171"/>
      <c r="G611" s="171"/>
      <c r="H611" s="171"/>
      <c r="Q611" s="160"/>
      <c r="R611" s="160"/>
      <c r="S611" s="171"/>
      <c r="AD611" s="171"/>
      <c r="AE611" s="171"/>
      <c r="AG611"/>
    </row>
    <row r="612" spans="1:33" x14ac:dyDescent="0.25">
      <c r="A612" s="182"/>
      <c r="B612" s="182"/>
      <c r="C612" s="171"/>
      <c r="D612" s="171"/>
      <c r="E612" s="160"/>
      <c r="F612" s="171"/>
      <c r="G612" s="171"/>
      <c r="H612"/>
      <c r="Q612" s="160"/>
      <c r="R612" s="160"/>
      <c r="S612" s="171"/>
      <c r="AD612" s="171"/>
      <c r="AE612" s="171"/>
      <c r="AG612"/>
    </row>
    <row r="613" spans="1:33" x14ac:dyDescent="0.25">
      <c r="A613" s="182"/>
      <c r="B613" s="182"/>
      <c r="C613" s="171"/>
      <c r="D613" s="171"/>
      <c r="E613" s="160"/>
      <c r="F613" s="171"/>
      <c r="G613" s="171"/>
      <c r="H613"/>
      <c r="Q613" s="160"/>
      <c r="R613" s="160"/>
      <c r="S613" s="171"/>
      <c r="AD613" s="171"/>
      <c r="AE613" s="171"/>
      <c r="AG613"/>
    </row>
    <row r="614" spans="1:33" x14ac:dyDescent="0.25">
      <c r="A614" s="182"/>
      <c r="B614" s="182"/>
      <c r="C614" s="171"/>
      <c r="D614" s="171"/>
      <c r="E614" s="160"/>
      <c r="F614" s="171"/>
      <c r="G614" s="171"/>
      <c r="H614"/>
      <c r="Q614" s="160"/>
      <c r="R614" s="160"/>
      <c r="S614" s="171"/>
      <c r="AD614" s="171"/>
      <c r="AE614" s="171"/>
      <c r="AG614"/>
    </row>
    <row r="615" spans="1:33" x14ac:dyDescent="0.25">
      <c r="A615" s="182"/>
      <c r="B615" s="182"/>
      <c r="C615" s="171"/>
      <c r="D615" s="171"/>
      <c r="E615" s="160"/>
      <c r="F615" s="171"/>
      <c r="G615" s="171"/>
      <c r="H615"/>
      <c r="Q615" s="160"/>
      <c r="R615" s="160"/>
      <c r="S615" s="171"/>
      <c r="AD615" s="171"/>
      <c r="AE615" s="171"/>
      <c r="AG615"/>
    </row>
    <row r="616" spans="1:33" x14ac:dyDescent="0.25">
      <c r="A616" s="182"/>
      <c r="B616" s="182"/>
      <c r="C616" s="171"/>
      <c r="D616" s="171"/>
      <c r="E616" s="160"/>
      <c r="F616" s="171"/>
      <c r="G616"/>
      <c r="H616"/>
      <c r="Q616" s="160"/>
      <c r="R616" s="160"/>
      <c r="S616" s="171"/>
      <c r="AD616" s="171"/>
      <c r="AE616" s="171"/>
      <c r="AG616"/>
    </row>
    <row r="617" spans="1:33" x14ac:dyDescent="0.25">
      <c r="A617" s="182"/>
      <c r="B617" s="182"/>
      <c r="C617" s="171"/>
      <c r="D617" s="171"/>
      <c r="E617" s="160"/>
      <c r="F617" s="171"/>
      <c r="G617" s="171"/>
      <c r="H617"/>
      <c r="Q617" s="160"/>
      <c r="R617" s="160"/>
      <c r="S617" s="171"/>
      <c r="AD617" s="171"/>
      <c r="AE617" s="171"/>
      <c r="AG617"/>
    </row>
    <row r="618" spans="1:33" x14ac:dyDescent="0.25">
      <c r="A618" s="182"/>
      <c r="B618" s="182"/>
      <c r="C618" s="171"/>
      <c r="D618" s="171"/>
      <c r="E618" s="160"/>
      <c r="F618" s="171"/>
      <c r="G618"/>
      <c r="H618"/>
      <c r="Q618" s="160"/>
      <c r="R618" s="160"/>
      <c r="S618" s="171"/>
      <c r="AD618" s="171"/>
      <c r="AE618" s="171"/>
      <c r="AG618"/>
    </row>
    <row r="619" spans="1:33" x14ac:dyDescent="0.25">
      <c r="A619" s="182"/>
      <c r="B619" s="182"/>
      <c r="C619" s="171"/>
      <c r="D619" s="171"/>
      <c r="E619" s="160"/>
      <c r="F619" s="171"/>
      <c r="G619" s="171"/>
      <c r="H619"/>
      <c r="Q619" s="160"/>
      <c r="R619" s="160"/>
      <c r="S619" s="171"/>
      <c r="AD619" s="171"/>
      <c r="AE619" s="171"/>
      <c r="AG619"/>
    </row>
    <row r="620" spans="1:33" x14ac:dyDescent="0.25">
      <c r="A620" s="182"/>
      <c r="B620" s="182"/>
      <c r="C620" s="171"/>
      <c r="D620" s="171"/>
      <c r="E620" s="160"/>
      <c r="F620" s="171"/>
      <c r="G620" s="171"/>
      <c r="H620"/>
      <c r="Q620" s="160"/>
      <c r="R620" s="160"/>
      <c r="S620" s="171"/>
      <c r="AD620" s="171"/>
      <c r="AE620" s="171"/>
      <c r="AG620"/>
    </row>
    <row r="621" spans="1:33" x14ac:dyDescent="0.25">
      <c r="A621" s="182"/>
      <c r="B621" s="182"/>
      <c r="C621" s="171"/>
      <c r="D621" s="171"/>
      <c r="E621" s="160"/>
      <c r="F621" s="171"/>
      <c r="G621"/>
      <c r="H621"/>
      <c r="Q621" s="160"/>
      <c r="R621" s="160"/>
      <c r="S621" s="171"/>
      <c r="AD621" s="171"/>
      <c r="AE621" s="171"/>
      <c r="AG621"/>
    </row>
    <row r="622" spans="1:33" x14ac:dyDescent="0.25">
      <c r="A622" s="182"/>
      <c r="B622" s="182"/>
      <c r="C622" s="171"/>
      <c r="D622" s="171"/>
      <c r="E622" s="160"/>
      <c r="F622" s="171"/>
      <c r="G622" s="171"/>
      <c r="H622"/>
      <c r="Q622" s="160"/>
      <c r="R622" s="160"/>
      <c r="S622" s="171"/>
      <c r="AD622" s="171"/>
      <c r="AE622" s="171"/>
      <c r="AG622"/>
    </row>
    <row r="623" spans="1:33" x14ac:dyDescent="0.25">
      <c r="A623" s="182"/>
      <c r="B623" s="182"/>
      <c r="C623" s="171"/>
      <c r="D623" s="171"/>
      <c r="E623" s="160"/>
      <c r="F623" s="171"/>
      <c r="G623" s="171"/>
      <c r="H623"/>
      <c r="Q623" s="160"/>
      <c r="R623" s="160"/>
      <c r="S623" s="171"/>
      <c r="AD623" s="171"/>
      <c r="AE623" s="171"/>
      <c r="AG623"/>
    </row>
    <row r="624" spans="1:33" x14ac:dyDescent="0.25">
      <c r="A624" s="182"/>
      <c r="B624" s="182"/>
      <c r="C624" s="171"/>
      <c r="D624" s="171"/>
      <c r="E624" s="160"/>
      <c r="F624" s="171"/>
      <c r="G624" s="171"/>
      <c r="H624"/>
      <c r="Q624" s="160"/>
      <c r="R624" s="160"/>
      <c r="S624" s="171"/>
      <c r="AD624" s="171"/>
      <c r="AE624" s="171"/>
      <c r="AG624"/>
    </row>
    <row r="625" spans="1:33" x14ac:dyDescent="0.25">
      <c r="A625" s="182"/>
      <c r="B625" s="182"/>
      <c r="C625" s="171"/>
      <c r="D625" s="171"/>
      <c r="E625" s="160"/>
      <c r="F625" s="171"/>
      <c r="G625" s="171"/>
      <c r="H625"/>
      <c r="Q625" s="160"/>
      <c r="R625" s="160"/>
      <c r="S625" s="171"/>
      <c r="AD625" s="171"/>
      <c r="AE625" s="171"/>
      <c r="AG625"/>
    </row>
    <row r="626" spans="1:33" x14ac:dyDescent="0.25">
      <c r="A626" s="182"/>
      <c r="B626" s="182"/>
      <c r="C626" s="171"/>
      <c r="D626" s="171"/>
      <c r="E626" s="160"/>
      <c r="F626" s="171"/>
      <c r="G626" s="171"/>
      <c r="H626"/>
      <c r="Q626" s="160"/>
      <c r="R626" s="160"/>
      <c r="S626" s="171"/>
      <c r="AD626" s="171"/>
      <c r="AE626" s="171"/>
      <c r="AG626"/>
    </row>
    <row r="627" spans="1:33" x14ac:dyDescent="0.25">
      <c r="A627" s="182"/>
      <c r="B627" s="182"/>
      <c r="C627" s="171"/>
      <c r="D627" s="171"/>
      <c r="E627" s="160"/>
      <c r="F627" s="171"/>
      <c r="G627" s="171"/>
      <c r="H627" s="171"/>
      <c r="Q627" s="160"/>
      <c r="R627" s="160"/>
      <c r="S627" s="171"/>
      <c r="AD627" s="171"/>
      <c r="AE627" s="171"/>
      <c r="AG627"/>
    </row>
    <row r="628" spans="1:33" x14ac:dyDescent="0.25">
      <c r="A628" s="182"/>
      <c r="B628" s="182"/>
      <c r="C628" s="171"/>
      <c r="D628" s="171"/>
      <c r="E628" s="160"/>
      <c r="F628" s="171"/>
      <c r="G628" s="171"/>
      <c r="H628"/>
      <c r="Q628" s="160"/>
      <c r="R628" s="160"/>
      <c r="S628" s="171"/>
      <c r="AD628" s="171"/>
      <c r="AE628" s="171"/>
      <c r="AG628"/>
    </row>
    <row r="629" spans="1:33" x14ac:dyDescent="0.25">
      <c r="A629" s="182"/>
      <c r="B629" s="182"/>
      <c r="C629" s="171"/>
      <c r="D629" s="171"/>
      <c r="E629" s="160"/>
      <c r="F629" s="171"/>
      <c r="G629" s="171"/>
      <c r="H629"/>
      <c r="Q629" s="160"/>
      <c r="R629" s="160"/>
      <c r="S629" s="171"/>
      <c r="AD629" s="171"/>
      <c r="AE629" s="171"/>
      <c r="AG629"/>
    </row>
    <row r="630" spans="1:33" x14ac:dyDescent="0.25">
      <c r="A630" s="182"/>
      <c r="B630" s="182"/>
      <c r="C630" s="171"/>
      <c r="D630" s="171"/>
      <c r="E630" s="160"/>
      <c r="F630" s="171"/>
      <c r="G630" s="171"/>
      <c r="H630"/>
      <c r="Q630" s="160"/>
      <c r="R630" s="160"/>
      <c r="S630" s="171"/>
      <c r="AD630" s="171"/>
      <c r="AE630" s="171"/>
      <c r="AG630"/>
    </row>
    <row r="631" spans="1:33" x14ac:dyDescent="0.25">
      <c r="A631" s="182"/>
      <c r="B631" s="182"/>
      <c r="C631" s="171"/>
      <c r="D631" s="171"/>
      <c r="E631" s="160"/>
      <c r="F631" s="171"/>
      <c r="G631" s="171"/>
      <c r="H631"/>
      <c r="Q631" s="160"/>
      <c r="R631" s="160"/>
      <c r="S631" s="171"/>
      <c r="AD631" s="171"/>
      <c r="AE631" s="171"/>
      <c r="AG631"/>
    </row>
    <row r="632" spans="1:33" x14ac:dyDescent="0.25">
      <c r="A632" s="182"/>
      <c r="B632" s="182"/>
      <c r="C632" s="171"/>
      <c r="D632" s="171"/>
      <c r="E632" s="160"/>
      <c r="F632" s="171"/>
      <c r="G632" s="171"/>
      <c r="H632"/>
      <c r="Q632" s="160"/>
      <c r="R632" s="160"/>
      <c r="S632" s="171"/>
      <c r="AD632" s="171"/>
      <c r="AE632" s="171"/>
      <c r="AG632"/>
    </row>
    <row r="633" spans="1:33" x14ac:dyDescent="0.25">
      <c r="A633" s="182"/>
      <c r="B633" s="182"/>
      <c r="C633" s="171"/>
      <c r="D633" s="171"/>
      <c r="E633" s="160"/>
      <c r="F633" s="171"/>
      <c r="G633" s="171"/>
      <c r="H633"/>
      <c r="Q633" s="160"/>
      <c r="R633" s="160"/>
      <c r="S633" s="171"/>
      <c r="AD633" s="171"/>
      <c r="AE633" s="171"/>
      <c r="AG633"/>
    </row>
    <row r="634" spans="1:33" x14ac:dyDescent="0.25">
      <c r="A634" s="182"/>
      <c r="B634" s="182"/>
      <c r="C634" s="171"/>
      <c r="D634" s="171"/>
      <c r="E634" s="160"/>
      <c r="F634" s="171"/>
      <c r="G634" s="171"/>
      <c r="H634"/>
      <c r="Q634" s="160"/>
      <c r="R634" s="160"/>
      <c r="S634" s="171"/>
      <c r="AD634" s="171"/>
      <c r="AE634" s="171"/>
      <c r="AG634"/>
    </row>
    <row r="635" spans="1:33" x14ac:dyDescent="0.25">
      <c r="A635" s="182"/>
      <c r="B635" s="182"/>
      <c r="C635" s="171"/>
      <c r="D635" s="171"/>
      <c r="E635" s="160"/>
      <c r="F635" s="171"/>
      <c r="G635" s="171"/>
      <c r="H635"/>
      <c r="Q635" s="160"/>
      <c r="R635" s="160"/>
      <c r="S635" s="171"/>
      <c r="AD635" s="171"/>
      <c r="AE635" s="171"/>
      <c r="AG635"/>
    </row>
    <row r="636" spans="1:33" x14ac:dyDescent="0.25">
      <c r="A636" s="182"/>
      <c r="B636" s="182"/>
      <c r="C636" s="171"/>
      <c r="D636" s="171"/>
      <c r="E636" s="160"/>
      <c r="F636" s="171"/>
      <c r="G636" s="171"/>
      <c r="H636"/>
      <c r="Q636" s="160"/>
      <c r="R636" s="160"/>
      <c r="S636" s="171"/>
      <c r="AD636" s="171"/>
      <c r="AE636" s="171"/>
      <c r="AG636"/>
    </row>
    <row r="637" spans="1:33" x14ac:dyDescent="0.25">
      <c r="A637" s="182"/>
      <c r="B637" s="182"/>
      <c r="C637" s="171"/>
      <c r="D637" s="171"/>
      <c r="E637" s="160"/>
      <c r="F637" s="171"/>
      <c r="G637" s="171"/>
      <c r="H637"/>
      <c r="Q637" s="160"/>
      <c r="R637" s="160"/>
      <c r="S637" s="171"/>
      <c r="AD637" s="171"/>
      <c r="AE637" s="171"/>
      <c r="AG637"/>
    </row>
    <row r="638" spans="1:33" x14ac:dyDescent="0.25">
      <c r="A638" s="182"/>
      <c r="B638" s="182"/>
      <c r="C638" s="171"/>
      <c r="D638" s="171"/>
      <c r="E638" s="160"/>
      <c r="F638" s="171"/>
      <c r="G638" s="171"/>
      <c r="H638"/>
      <c r="Q638" s="160"/>
      <c r="R638" s="160"/>
      <c r="S638" s="171"/>
      <c r="AD638" s="171"/>
      <c r="AE638" s="171"/>
      <c r="AG638"/>
    </row>
    <row r="639" spans="1:33" x14ac:dyDescent="0.25">
      <c r="A639" s="182"/>
      <c r="B639" s="182"/>
      <c r="C639" s="171"/>
      <c r="D639" s="171"/>
      <c r="E639" s="160"/>
      <c r="F639" s="171"/>
      <c r="G639" s="171"/>
      <c r="H639"/>
      <c r="Q639" s="160"/>
      <c r="R639" s="160"/>
      <c r="S639" s="171"/>
      <c r="AD639" s="171"/>
      <c r="AE639" s="171"/>
      <c r="AG639"/>
    </row>
    <row r="640" spans="1:33" x14ac:dyDescent="0.25">
      <c r="A640" s="182"/>
      <c r="B640" s="182"/>
      <c r="C640" s="171"/>
      <c r="D640" s="171"/>
      <c r="E640" s="160"/>
      <c r="F640" s="171"/>
      <c r="G640" s="171"/>
      <c r="H640"/>
      <c r="Q640" s="160"/>
      <c r="R640" s="160"/>
      <c r="S640" s="171"/>
      <c r="AD640" s="171"/>
      <c r="AE640" s="171"/>
      <c r="AG640"/>
    </row>
    <row r="641" spans="1:33" x14ac:dyDescent="0.25">
      <c r="A641" s="182"/>
      <c r="B641" s="182"/>
      <c r="C641" s="171"/>
      <c r="D641" s="171"/>
      <c r="E641" s="160"/>
      <c r="F641" s="171"/>
      <c r="G641" s="171"/>
      <c r="H641"/>
      <c r="Q641" s="160"/>
      <c r="R641" s="160"/>
      <c r="S641" s="171"/>
      <c r="AD641" s="171"/>
      <c r="AE641" s="171"/>
      <c r="AG641"/>
    </row>
    <row r="642" spans="1:33" x14ac:dyDescent="0.25">
      <c r="A642" s="182"/>
      <c r="B642" s="182"/>
      <c r="C642" s="171"/>
      <c r="D642" s="171"/>
      <c r="E642" s="160"/>
      <c r="F642" s="171"/>
      <c r="G642" s="171"/>
      <c r="H642"/>
      <c r="Q642" s="160"/>
      <c r="R642" s="160"/>
      <c r="S642" s="171"/>
      <c r="AD642" s="171"/>
      <c r="AE642" s="171"/>
      <c r="AG642"/>
    </row>
    <row r="643" spans="1:33" x14ac:dyDescent="0.25">
      <c r="A643" s="182"/>
      <c r="B643" s="182"/>
      <c r="C643" s="171"/>
      <c r="D643" s="171"/>
      <c r="E643" s="160"/>
      <c r="F643" s="171"/>
      <c r="G643" s="171"/>
      <c r="H643"/>
      <c r="Q643" s="160"/>
      <c r="R643" s="160"/>
      <c r="S643" s="171"/>
      <c r="AD643" s="171"/>
      <c r="AE643" s="171"/>
      <c r="AG643"/>
    </row>
    <row r="644" spans="1:33" x14ac:dyDescent="0.25">
      <c r="A644" s="182"/>
      <c r="B644" s="182"/>
      <c r="C644" s="171"/>
      <c r="D644" s="171"/>
      <c r="E644" s="160"/>
      <c r="F644" s="171"/>
      <c r="G644" s="171"/>
      <c r="H644"/>
      <c r="Q644" s="160"/>
      <c r="R644" s="160"/>
      <c r="S644" s="171"/>
      <c r="AD644" s="171"/>
      <c r="AE644" s="171"/>
      <c r="AG644"/>
    </row>
    <row r="645" spans="1:33" x14ac:dyDescent="0.25">
      <c r="A645" s="182"/>
      <c r="B645" s="182"/>
      <c r="C645" s="171"/>
      <c r="D645" s="171"/>
      <c r="E645" s="160"/>
      <c r="F645" s="171"/>
      <c r="G645" s="171"/>
      <c r="H645"/>
      <c r="Q645" s="160"/>
      <c r="R645" s="160"/>
      <c r="S645" s="171"/>
      <c r="AD645" s="171"/>
      <c r="AE645" s="171"/>
      <c r="AG645"/>
    </row>
    <row r="646" spans="1:33" x14ac:dyDescent="0.25">
      <c r="A646" s="182"/>
      <c r="B646" s="182"/>
      <c r="C646" s="171"/>
      <c r="D646" s="171"/>
      <c r="E646" s="160"/>
      <c r="F646" s="171"/>
      <c r="G646" s="171"/>
      <c r="H646"/>
      <c r="Q646" s="160"/>
      <c r="R646" s="160"/>
      <c r="S646" s="171"/>
      <c r="AD646" s="171"/>
      <c r="AE646" s="171"/>
      <c r="AG646"/>
    </row>
    <row r="647" spans="1:33" x14ac:dyDescent="0.25">
      <c r="A647" s="182"/>
      <c r="B647" s="182"/>
      <c r="C647" s="171"/>
      <c r="D647" s="171"/>
      <c r="E647" s="160"/>
      <c r="F647" s="171"/>
      <c r="G647" s="171"/>
      <c r="H647"/>
      <c r="Q647" s="160"/>
      <c r="R647" s="160"/>
      <c r="S647" s="171"/>
      <c r="AD647" s="171"/>
      <c r="AE647" s="171"/>
      <c r="AG647"/>
    </row>
    <row r="648" spans="1:33" x14ac:dyDescent="0.25">
      <c r="A648" s="182"/>
      <c r="B648" s="182"/>
      <c r="C648" s="171"/>
      <c r="D648" s="171"/>
      <c r="E648" s="160"/>
      <c r="F648" s="171"/>
      <c r="G648" s="171"/>
      <c r="H648"/>
      <c r="Q648" s="160"/>
      <c r="R648" s="160"/>
      <c r="S648" s="171"/>
      <c r="AD648" s="171"/>
      <c r="AE648" s="171"/>
      <c r="AG648"/>
    </row>
    <row r="649" spans="1:33" x14ac:dyDescent="0.25">
      <c r="A649" s="182"/>
      <c r="B649" s="182"/>
      <c r="C649" s="171"/>
      <c r="D649" s="171"/>
      <c r="E649" s="160"/>
      <c r="F649" s="171"/>
      <c r="G649" s="171"/>
      <c r="H649" s="171"/>
      <c r="Q649" s="160"/>
      <c r="R649" s="160"/>
      <c r="S649" s="171"/>
      <c r="AD649" s="171"/>
      <c r="AE649" s="171"/>
      <c r="AG649"/>
    </row>
    <row r="650" spans="1:33" x14ac:dyDescent="0.25">
      <c r="A650" s="182"/>
      <c r="B650" s="182"/>
      <c r="C650" s="171"/>
      <c r="D650" s="171"/>
      <c r="E650" s="160"/>
      <c r="F650" s="171"/>
      <c r="G650" s="171"/>
      <c r="H650" s="171"/>
      <c r="Q650" s="160"/>
      <c r="R650" s="160"/>
      <c r="S650" s="171"/>
      <c r="AD650" s="171"/>
      <c r="AE650" s="171"/>
      <c r="AG650"/>
    </row>
    <row r="651" spans="1:33" x14ac:dyDescent="0.25">
      <c r="A651" s="182"/>
      <c r="B651" s="182"/>
      <c r="C651" s="171"/>
      <c r="D651" s="171"/>
      <c r="E651" s="160"/>
      <c r="F651" s="171"/>
      <c r="G651" s="171"/>
      <c r="H651" s="171"/>
      <c r="Q651" s="160"/>
      <c r="R651" s="160"/>
      <c r="S651" s="171"/>
      <c r="AD651" s="171"/>
      <c r="AE651" s="171"/>
      <c r="AG651"/>
    </row>
    <row r="652" spans="1:33" x14ac:dyDescent="0.25">
      <c r="A652" s="182"/>
      <c r="B652" s="182"/>
      <c r="C652" s="171"/>
      <c r="D652" s="171"/>
      <c r="E652" s="160"/>
      <c r="F652" s="171"/>
      <c r="G652" s="171"/>
      <c r="H652"/>
      <c r="Q652" s="160"/>
      <c r="R652" s="160"/>
      <c r="S652" s="171"/>
      <c r="AD652" s="171"/>
      <c r="AE652" s="171"/>
      <c r="AG652"/>
    </row>
    <row r="653" spans="1:33" x14ac:dyDescent="0.25">
      <c r="A653" s="182"/>
      <c r="B653" s="182"/>
      <c r="C653" s="171"/>
      <c r="D653" s="171"/>
      <c r="E653" s="160"/>
      <c r="F653" s="171"/>
      <c r="G653" s="171"/>
      <c r="H653"/>
      <c r="Q653" s="160"/>
      <c r="R653" s="160"/>
      <c r="S653" s="171"/>
      <c r="AD653" s="171"/>
      <c r="AE653" s="171"/>
      <c r="AG653"/>
    </row>
    <row r="654" spans="1:33" x14ac:dyDescent="0.25">
      <c r="A654" s="182"/>
      <c r="B654" s="182"/>
      <c r="C654" s="171"/>
      <c r="D654" s="171"/>
      <c r="E654" s="160"/>
      <c r="F654" s="171"/>
      <c r="G654" s="171"/>
      <c r="H654" s="171"/>
      <c r="Q654" s="160"/>
      <c r="R654" s="160"/>
      <c r="S654" s="171"/>
      <c r="AD654" s="171"/>
      <c r="AE654" s="171"/>
      <c r="AG654"/>
    </row>
    <row r="655" spans="1:33" x14ac:dyDescent="0.25">
      <c r="A655" s="182"/>
      <c r="B655" s="182"/>
      <c r="C655" s="171"/>
      <c r="D655" s="171"/>
      <c r="E655" s="160"/>
      <c r="F655" s="171"/>
      <c r="G655"/>
      <c r="H655"/>
      <c r="Q655" s="160"/>
      <c r="R655" s="160"/>
      <c r="S655" s="171"/>
      <c r="AD655" s="171"/>
      <c r="AE655" s="171"/>
      <c r="AG655"/>
    </row>
    <row r="656" spans="1:33" x14ac:dyDescent="0.25">
      <c r="A656" s="182"/>
      <c r="B656" s="182"/>
      <c r="C656" s="171"/>
      <c r="D656" s="171"/>
      <c r="E656" s="160"/>
      <c r="F656" s="171"/>
      <c r="G656" s="171"/>
      <c r="H656"/>
      <c r="Q656" s="160"/>
      <c r="R656" s="160"/>
      <c r="S656" s="171"/>
      <c r="AD656" s="171"/>
      <c r="AE656" s="171"/>
      <c r="AG656"/>
    </row>
    <row r="657" spans="1:33" x14ac:dyDescent="0.25">
      <c r="A657" s="182"/>
      <c r="B657" s="182"/>
      <c r="C657" s="171"/>
      <c r="D657" s="171"/>
      <c r="E657" s="160"/>
      <c r="F657" s="171"/>
      <c r="G657" s="171"/>
      <c r="H657"/>
      <c r="Q657" s="160"/>
      <c r="R657" s="160"/>
      <c r="S657" s="171"/>
      <c r="AD657" s="171"/>
      <c r="AE657" s="171"/>
      <c r="AG657"/>
    </row>
    <row r="658" spans="1:33" x14ac:dyDescent="0.25">
      <c r="A658" s="182"/>
      <c r="B658" s="182"/>
      <c r="C658" s="171"/>
      <c r="D658" s="171"/>
      <c r="E658" s="160"/>
      <c r="F658" s="171"/>
      <c r="G658" s="171"/>
      <c r="H658"/>
      <c r="Q658" s="160"/>
      <c r="R658" s="160"/>
      <c r="S658" s="171"/>
      <c r="AD658" s="171"/>
      <c r="AE658" s="171"/>
      <c r="AG658"/>
    </row>
    <row r="659" spans="1:33" x14ac:dyDescent="0.25">
      <c r="A659" s="182"/>
      <c r="B659" s="182"/>
      <c r="C659" s="171"/>
      <c r="D659" s="171"/>
      <c r="E659" s="160"/>
      <c r="F659" s="171"/>
      <c r="G659"/>
      <c r="H659"/>
      <c r="Q659" s="160"/>
      <c r="R659" s="160"/>
      <c r="S659" s="171"/>
      <c r="AD659" s="171"/>
      <c r="AE659" s="171"/>
      <c r="AG659"/>
    </row>
    <row r="660" spans="1:33" x14ac:dyDescent="0.25">
      <c r="A660" s="182"/>
      <c r="B660" s="182"/>
      <c r="C660" s="171"/>
      <c r="D660" s="171"/>
      <c r="E660" s="160"/>
      <c r="F660" s="171"/>
      <c r="G660" s="171"/>
      <c r="H660"/>
      <c r="Q660" s="160"/>
      <c r="R660" s="160"/>
      <c r="S660" s="171"/>
      <c r="AD660" s="171"/>
      <c r="AE660" s="171"/>
      <c r="AG660"/>
    </row>
    <row r="661" spans="1:33" x14ac:dyDescent="0.25">
      <c r="A661" s="182"/>
      <c r="B661" s="182"/>
      <c r="C661" s="171"/>
      <c r="D661" s="171"/>
      <c r="E661" s="160"/>
      <c r="F661" s="171"/>
      <c r="G661" s="171"/>
      <c r="H661"/>
      <c r="Q661" s="160"/>
      <c r="R661" s="160"/>
      <c r="S661" s="171"/>
      <c r="AD661" s="171"/>
      <c r="AE661" s="171"/>
      <c r="AG661"/>
    </row>
    <row r="662" spans="1:33" x14ac:dyDescent="0.25">
      <c r="A662" s="182"/>
      <c r="B662" s="182"/>
      <c r="C662" s="171"/>
      <c r="D662" s="171"/>
      <c r="E662" s="160"/>
      <c r="F662" s="171"/>
      <c r="G662" s="171"/>
      <c r="H662"/>
      <c r="Q662" s="160"/>
      <c r="R662" s="160"/>
      <c r="S662" s="171"/>
      <c r="AD662" s="171"/>
      <c r="AE662" s="171"/>
      <c r="AG662"/>
    </row>
    <row r="663" spans="1:33" x14ac:dyDescent="0.25">
      <c r="A663" s="182"/>
      <c r="B663" s="182"/>
      <c r="C663" s="171"/>
      <c r="D663" s="171"/>
      <c r="E663" s="160"/>
      <c r="F663" s="171"/>
      <c r="G663" s="171"/>
      <c r="H663"/>
      <c r="Q663" s="160"/>
      <c r="R663" s="160"/>
      <c r="S663" s="171"/>
      <c r="AD663" s="171"/>
      <c r="AE663" s="171"/>
      <c r="AG663"/>
    </row>
    <row r="664" spans="1:33" x14ac:dyDescent="0.25">
      <c r="A664" s="182"/>
      <c r="B664" s="182"/>
      <c r="C664" s="171"/>
      <c r="D664" s="171"/>
      <c r="E664" s="160"/>
      <c r="F664" s="171"/>
      <c r="G664"/>
      <c r="H664"/>
      <c r="Q664" s="160"/>
      <c r="R664" s="160"/>
      <c r="S664" s="171"/>
      <c r="AD664" s="171"/>
      <c r="AE664" s="171"/>
      <c r="AG664"/>
    </row>
    <row r="665" spans="1:33" x14ac:dyDescent="0.25">
      <c r="A665" s="182"/>
      <c r="B665" s="182"/>
      <c r="C665" s="171"/>
      <c r="D665" s="171"/>
      <c r="E665" s="160"/>
      <c r="F665" s="171"/>
      <c r="G665" s="171"/>
      <c r="H665"/>
      <c r="Q665" s="160"/>
      <c r="R665" s="160"/>
      <c r="S665" s="171"/>
      <c r="AD665" s="171"/>
      <c r="AE665" s="171"/>
      <c r="AG665"/>
    </row>
    <row r="666" spans="1:33" x14ac:dyDescent="0.25">
      <c r="A666" s="182"/>
      <c r="B666" s="182"/>
      <c r="C666" s="171"/>
      <c r="D666" s="171"/>
      <c r="E666" s="160"/>
      <c r="F666" s="171"/>
      <c r="G666"/>
      <c r="H666"/>
      <c r="Q666" s="160"/>
      <c r="R666" s="160"/>
      <c r="S666" s="171"/>
      <c r="AD666" s="171"/>
      <c r="AE666" s="171"/>
      <c r="AG666"/>
    </row>
    <row r="667" spans="1:33" x14ac:dyDescent="0.25">
      <c r="A667" s="182"/>
      <c r="B667" s="182"/>
      <c r="C667" s="171"/>
      <c r="D667" s="171"/>
      <c r="E667" s="160"/>
      <c r="F667" s="171"/>
      <c r="G667"/>
      <c r="H667"/>
      <c r="Q667" s="160"/>
      <c r="R667" s="160"/>
      <c r="S667" s="171"/>
      <c r="AD667" s="171"/>
      <c r="AE667" s="171"/>
      <c r="AG667"/>
    </row>
    <row r="668" spans="1:33" x14ac:dyDescent="0.25">
      <c r="A668" s="182"/>
      <c r="B668" s="182"/>
      <c r="C668" s="171"/>
      <c r="D668" s="171"/>
      <c r="E668" s="160"/>
      <c r="F668" s="171"/>
      <c r="G668" s="171"/>
      <c r="H668"/>
      <c r="Q668" s="160"/>
      <c r="R668" s="160"/>
      <c r="S668" s="171"/>
      <c r="AD668" s="171"/>
      <c r="AE668" s="171"/>
      <c r="AG668"/>
    </row>
    <row r="669" spans="1:33" x14ac:dyDescent="0.25">
      <c r="A669" s="182"/>
      <c r="B669" s="182"/>
      <c r="C669" s="171"/>
      <c r="D669" s="171"/>
      <c r="E669" s="160"/>
      <c r="F669" s="171"/>
      <c r="G669" s="171"/>
      <c r="H669"/>
      <c r="Q669" s="160"/>
      <c r="R669" s="160"/>
      <c r="S669" s="171"/>
      <c r="AD669" s="171"/>
      <c r="AE669" s="171"/>
      <c r="AG669"/>
    </row>
    <row r="670" spans="1:33" x14ac:dyDescent="0.25">
      <c r="A670" s="182"/>
      <c r="B670" s="182"/>
      <c r="C670" s="171"/>
      <c r="D670" s="171"/>
      <c r="E670" s="160"/>
      <c r="F670" s="171"/>
      <c r="G670" s="171"/>
      <c r="H670"/>
      <c r="Q670" s="160"/>
      <c r="R670" s="160"/>
      <c r="S670" s="171"/>
      <c r="AD670" s="171"/>
      <c r="AE670" s="171"/>
      <c r="AG670"/>
    </row>
    <row r="671" spans="1:33" x14ac:dyDescent="0.25">
      <c r="A671" s="182"/>
      <c r="B671" s="182"/>
      <c r="C671" s="171"/>
      <c r="D671" s="171"/>
      <c r="E671" s="160"/>
      <c r="F671" s="171"/>
      <c r="G671"/>
      <c r="H671"/>
      <c r="Q671" s="160"/>
      <c r="R671" s="160"/>
      <c r="S671" s="171"/>
      <c r="AD671" s="171"/>
      <c r="AE671" s="171"/>
      <c r="AG671"/>
    </row>
    <row r="672" spans="1:33" x14ac:dyDescent="0.25">
      <c r="A672" s="182"/>
      <c r="B672" s="182"/>
      <c r="C672" s="171"/>
      <c r="D672" s="171"/>
      <c r="E672" s="160"/>
      <c r="F672" s="171"/>
      <c r="G672" s="171"/>
      <c r="H672" s="171"/>
      <c r="Q672" s="160"/>
      <c r="R672" s="160"/>
      <c r="S672" s="171"/>
      <c r="AD672" s="171"/>
      <c r="AE672" s="171"/>
      <c r="AG672"/>
    </row>
    <row r="673" spans="1:33" x14ac:dyDescent="0.25">
      <c r="A673" s="182"/>
      <c r="B673" s="182"/>
      <c r="C673" s="171"/>
      <c r="D673" s="171"/>
      <c r="E673" s="160"/>
      <c r="F673" s="171"/>
      <c r="G673"/>
      <c r="H673"/>
      <c r="Q673" s="160"/>
      <c r="R673" s="160"/>
      <c r="S673" s="171"/>
      <c r="AD673" s="171"/>
      <c r="AE673" s="171"/>
      <c r="AG673"/>
    </row>
    <row r="674" spans="1:33" x14ac:dyDescent="0.25">
      <c r="A674" s="182"/>
      <c r="B674" s="182"/>
      <c r="C674" s="171"/>
      <c r="D674" s="171"/>
      <c r="E674" s="160"/>
      <c r="F674" s="171"/>
      <c r="G674"/>
      <c r="H674"/>
      <c r="Q674" s="160"/>
      <c r="R674" s="160"/>
      <c r="S674" s="171"/>
      <c r="AD674" s="171"/>
      <c r="AE674" s="171"/>
      <c r="AG674"/>
    </row>
    <row r="675" spans="1:33" x14ac:dyDescent="0.25">
      <c r="A675" s="182"/>
      <c r="B675" s="182"/>
      <c r="C675" s="171"/>
      <c r="D675" s="171"/>
      <c r="E675" s="160"/>
      <c r="F675" s="171"/>
      <c r="G675"/>
      <c r="H675"/>
      <c r="Q675" s="160"/>
      <c r="R675" s="160"/>
      <c r="S675" s="171"/>
      <c r="AD675" s="171"/>
      <c r="AE675" s="171"/>
      <c r="AG675"/>
    </row>
    <row r="676" spans="1:33" x14ac:dyDescent="0.25">
      <c r="A676" s="182"/>
      <c r="B676" s="182"/>
      <c r="C676" s="171"/>
      <c r="D676" s="171"/>
      <c r="E676" s="160"/>
      <c r="F676" s="171"/>
      <c r="G676" s="171"/>
      <c r="H676" s="171"/>
      <c r="Q676" s="160"/>
      <c r="R676" s="160"/>
      <c r="S676" s="171"/>
      <c r="AD676" s="171"/>
      <c r="AE676" s="171"/>
      <c r="AG676"/>
    </row>
    <row r="677" spans="1:33" x14ac:dyDescent="0.25">
      <c r="A677" s="182"/>
      <c r="B677" s="182"/>
      <c r="C677" s="171"/>
      <c r="D677" s="171"/>
      <c r="E677" s="160"/>
      <c r="F677" s="171"/>
      <c r="G677" s="171"/>
      <c r="H677"/>
      <c r="Q677" s="160"/>
      <c r="R677" s="160"/>
      <c r="S677" s="171"/>
      <c r="AD677" s="171"/>
      <c r="AE677" s="171"/>
      <c r="AG677"/>
    </row>
    <row r="678" spans="1:33" x14ac:dyDescent="0.25">
      <c r="A678" s="182"/>
      <c r="B678" s="182"/>
      <c r="C678" s="171"/>
      <c r="D678" s="171"/>
      <c r="E678" s="160"/>
      <c r="F678" s="171"/>
      <c r="G678" s="171"/>
      <c r="H678"/>
      <c r="Q678" s="160"/>
      <c r="R678" s="160"/>
      <c r="S678" s="171"/>
      <c r="AD678" s="171"/>
      <c r="AE678" s="171"/>
      <c r="AG678"/>
    </row>
    <row r="679" spans="1:33" x14ac:dyDescent="0.25">
      <c r="A679" s="182"/>
      <c r="B679" s="182"/>
      <c r="C679" s="171"/>
      <c r="D679" s="171"/>
      <c r="E679" s="160"/>
      <c r="F679" s="171"/>
      <c r="G679"/>
      <c r="H679"/>
      <c r="Q679" s="160"/>
      <c r="R679" s="160"/>
      <c r="S679" s="171"/>
      <c r="AD679" s="171"/>
      <c r="AE679" s="171"/>
      <c r="AG679"/>
    </row>
    <row r="680" spans="1:33" x14ac:dyDescent="0.25">
      <c r="A680" s="182"/>
      <c r="B680" s="182"/>
      <c r="C680" s="171"/>
      <c r="D680" s="171"/>
      <c r="E680" s="160"/>
      <c r="F680" s="171"/>
      <c r="G680" s="171"/>
      <c r="H680"/>
      <c r="Q680" s="160"/>
      <c r="R680" s="160"/>
      <c r="S680" s="171"/>
      <c r="AD680" s="171"/>
      <c r="AE680" s="171"/>
      <c r="AG680"/>
    </row>
    <row r="681" spans="1:33" x14ac:dyDescent="0.25">
      <c r="A681" s="182"/>
      <c r="B681" s="182"/>
      <c r="C681" s="171"/>
      <c r="D681" s="171"/>
      <c r="E681" s="160"/>
      <c r="F681" s="171"/>
      <c r="G681" s="171"/>
      <c r="H681"/>
      <c r="Q681" s="160"/>
      <c r="R681" s="160"/>
      <c r="S681" s="171"/>
      <c r="AD681" s="171"/>
      <c r="AE681" s="171"/>
      <c r="AG681"/>
    </row>
    <row r="682" spans="1:33" x14ac:dyDescent="0.25">
      <c r="A682" s="182"/>
      <c r="B682" s="182"/>
      <c r="C682" s="171"/>
      <c r="D682" s="171"/>
      <c r="E682" s="160"/>
      <c r="F682" s="171"/>
      <c r="G682" s="171"/>
      <c r="H682" s="171"/>
      <c r="Q682" s="160"/>
      <c r="R682" s="160"/>
      <c r="S682" s="171"/>
      <c r="AD682" s="171"/>
      <c r="AE682" s="171"/>
      <c r="AG682"/>
    </row>
    <row r="683" spans="1:33" x14ac:dyDescent="0.25">
      <c r="A683" s="182"/>
      <c r="B683" s="182"/>
      <c r="C683" s="171"/>
      <c r="D683" s="171"/>
      <c r="E683" s="160"/>
      <c r="F683" s="171"/>
      <c r="G683"/>
      <c r="H683"/>
      <c r="Q683" s="160"/>
      <c r="R683" s="160"/>
      <c r="S683" s="171"/>
      <c r="AD683" s="171"/>
      <c r="AE683" s="171"/>
      <c r="AG683"/>
    </row>
    <row r="684" spans="1:33" x14ac:dyDescent="0.25">
      <c r="A684" s="182"/>
      <c r="B684" s="182"/>
      <c r="C684" s="171"/>
      <c r="D684" s="171"/>
      <c r="E684" s="160"/>
      <c r="F684" s="171"/>
      <c r="G684"/>
      <c r="H684"/>
      <c r="Q684" s="160"/>
      <c r="R684" s="160"/>
      <c r="S684" s="171"/>
      <c r="AD684" s="171"/>
      <c r="AE684" s="171"/>
      <c r="AG684"/>
    </row>
    <row r="685" spans="1:33" x14ac:dyDescent="0.25">
      <c r="A685" s="182"/>
      <c r="B685" s="182"/>
      <c r="C685" s="171"/>
      <c r="D685" s="171"/>
      <c r="E685" s="160"/>
      <c r="F685" s="171"/>
      <c r="G685" s="171"/>
      <c r="H685" s="171"/>
      <c r="Q685" s="160"/>
      <c r="R685" s="160"/>
      <c r="S685" s="171"/>
      <c r="AD685" s="171"/>
      <c r="AE685" s="171"/>
      <c r="AG685"/>
    </row>
    <row r="686" spans="1:33" x14ac:dyDescent="0.25">
      <c r="A686" s="182"/>
      <c r="B686" s="182"/>
      <c r="C686" s="171"/>
      <c r="D686" s="171"/>
      <c r="E686" s="160"/>
      <c r="F686" s="171"/>
      <c r="G686" s="171"/>
      <c r="H686"/>
      <c r="Q686" s="160"/>
      <c r="R686" s="160"/>
      <c r="S686" s="171"/>
      <c r="AD686" s="171"/>
      <c r="AE686" s="171"/>
      <c r="AG686"/>
    </row>
    <row r="687" spans="1:33" x14ac:dyDescent="0.25">
      <c r="A687" s="182"/>
      <c r="B687" s="182"/>
      <c r="C687" s="171"/>
      <c r="D687" s="171"/>
      <c r="E687" s="160"/>
      <c r="F687" s="171"/>
      <c r="G687"/>
      <c r="H687"/>
      <c r="Q687" s="160"/>
      <c r="R687" s="160"/>
      <c r="S687" s="171"/>
      <c r="AD687" s="171"/>
      <c r="AE687" s="171"/>
      <c r="AG687"/>
    </row>
    <row r="688" spans="1:33" x14ac:dyDescent="0.25">
      <c r="A688" s="182"/>
      <c r="B688" s="182"/>
      <c r="C688" s="171"/>
      <c r="D688" s="171"/>
      <c r="E688" s="160"/>
      <c r="F688" s="171"/>
      <c r="G688"/>
      <c r="H688"/>
      <c r="Q688" s="160"/>
      <c r="R688" s="160"/>
      <c r="S688" s="171"/>
      <c r="AD688" s="171"/>
      <c r="AE688" s="171"/>
      <c r="AG688"/>
    </row>
    <row r="689" spans="1:33" x14ac:dyDescent="0.25">
      <c r="A689" s="182"/>
      <c r="B689" s="182"/>
      <c r="C689" s="171"/>
      <c r="D689" s="171"/>
      <c r="E689" s="160"/>
      <c r="F689" s="171"/>
      <c r="G689" s="171"/>
      <c r="H689"/>
      <c r="Q689" s="160"/>
      <c r="R689" s="160"/>
      <c r="S689" s="171"/>
      <c r="AD689" s="171"/>
      <c r="AE689" s="171"/>
      <c r="AG689"/>
    </row>
    <row r="690" spans="1:33" x14ac:dyDescent="0.25">
      <c r="A690" s="182"/>
      <c r="B690" s="182"/>
      <c r="C690" s="171"/>
      <c r="D690" s="171"/>
      <c r="E690" s="160"/>
      <c r="F690" s="171"/>
      <c r="G690" s="171"/>
      <c r="H690"/>
      <c r="Q690" s="160"/>
      <c r="R690" s="160"/>
      <c r="S690" s="171"/>
      <c r="AD690" s="171"/>
      <c r="AE690" s="171"/>
      <c r="AG690"/>
    </row>
    <row r="691" spans="1:33" x14ac:dyDescent="0.25">
      <c r="A691" s="182"/>
      <c r="B691" s="182"/>
      <c r="C691" s="171"/>
      <c r="D691" s="171"/>
      <c r="E691" s="160"/>
      <c r="F691" s="171"/>
      <c r="G691" s="171"/>
      <c r="H691" s="171"/>
      <c r="Q691" s="160"/>
      <c r="R691" s="160"/>
      <c r="S691" s="171"/>
      <c r="AD691" s="171"/>
      <c r="AE691" s="171"/>
      <c r="AG691"/>
    </row>
    <row r="692" spans="1:33" x14ac:dyDescent="0.25">
      <c r="A692" s="182"/>
      <c r="B692" s="182"/>
      <c r="C692" s="171"/>
      <c r="D692" s="171"/>
      <c r="E692" s="160"/>
      <c r="F692" s="171"/>
      <c r="G692" s="171"/>
      <c r="H692"/>
      <c r="Q692" s="160"/>
      <c r="R692" s="160"/>
      <c r="S692" s="171"/>
      <c r="AD692" s="171"/>
      <c r="AE692" s="171"/>
      <c r="AG692"/>
    </row>
    <row r="693" spans="1:33" x14ac:dyDescent="0.25">
      <c r="A693" s="182"/>
      <c r="B693" s="182"/>
      <c r="C693" s="171"/>
      <c r="D693" s="171"/>
      <c r="E693" s="160"/>
      <c r="F693" s="171"/>
      <c r="G693" s="171"/>
      <c r="H693" s="171"/>
      <c r="Q693" s="160"/>
      <c r="R693" s="160"/>
      <c r="S693" s="171"/>
      <c r="AD693" s="171"/>
      <c r="AE693" s="171"/>
      <c r="AG693"/>
    </row>
    <row r="694" spans="1:33" x14ac:dyDescent="0.25">
      <c r="A694" s="182"/>
      <c r="B694" s="182"/>
      <c r="C694" s="171"/>
      <c r="D694" s="171"/>
      <c r="E694" s="160"/>
      <c r="F694" s="171"/>
      <c r="G694" s="171"/>
      <c r="H694"/>
      <c r="Q694" s="160"/>
      <c r="R694" s="160"/>
      <c r="S694" s="171"/>
      <c r="AD694" s="171"/>
      <c r="AE694" s="171"/>
      <c r="AG694"/>
    </row>
    <row r="695" spans="1:33" x14ac:dyDescent="0.25">
      <c r="A695" s="182"/>
      <c r="B695" s="182"/>
      <c r="C695" s="171"/>
      <c r="D695" s="171"/>
      <c r="E695" s="160"/>
      <c r="F695" s="171"/>
      <c r="G695" s="171"/>
      <c r="H695"/>
      <c r="Q695" s="160"/>
      <c r="R695" s="160"/>
      <c r="S695" s="171"/>
      <c r="AD695" s="171"/>
      <c r="AE695" s="171"/>
      <c r="AG695"/>
    </row>
    <row r="696" spans="1:33" x14ac:dyDescent="0.25">
      <c r="A696" s="182"/>
      <c r="B696" s="182"/>
      <c r="C696" s="171"/>
      <c r="D696" s="171"/>
      <c r="E696" s="160"/>
      <c r="F696" s="171"/>
      <c r="G696"/>
      <c r="H696"/>
      <c r="Q696" s="160"/>
      <c r="R696" s="160"/>
      <c r="S696" s="171"/>
      <c r="AD696" s="171"/>
      <c r="AE696" s="171"/>
      <c r="AG696"/>
    </row>
    <row r="697" spans="1:33" x14ac:dyDescent="0.25">
      <c r="A697" s="182"/>
      <c r="B697" s="182"/>
      <c r="C697" s="171"/>
      <c r="D697" s="171"/>
      <c r="E697" s="160"/>
      <c r="F697" s="171"/>
      <c r="G697" s="171"/>
      <c r="H697"/>
      <c r="Q697" s="160"/>
      <c r="R697" s="160"/>
      <c r="S697" s="171"/>
      <c r="AD697" s="171"/>
      <c r="AE697" s="171"/>
      <c r="AG697"/>
    </row>
    <row r="698" spans="1:33" x14ac:dyDescent="0.25">
      <c r="A698" s="182"/>
      <c r="B698" s="182"/>
      <c r="C698" s="171"/>
      <c r="D698" s="171"/>
      <c r="E698" s="160"/>
      <c r="F698" s="171"/>
      <c r="G698" s="171"/>
      <c r="H698" s="171"/>
      <c r="Q698" s="160"/>
      <c r="R698" s="160"/>
      <c r="S698" s="171"/>
      <c r="AD698" s="171"/>
      <c r="AE698" s="171"/>
      <c r="AG698"/>
    </row>
    <row r="699" spans="1:33" x14ac:dyDescent="0.25">
      <c r="A699" s="182"/>
      <c r="B699" s="182"/>
      <c r="C699" s="171"/>
      <c r="D699" s="171"/>
      <c r="E699" s="160"/>
      <c r="F699" s="171"/>
      <c r="G699" s="171"/>
      <c r="H699" s="171"/>
      <c r="Q699" s="160"/>
      <c r="R699" s="160"/>
      <c r="S699" s="171"/>
      <c r="AD699" s="171"/>
      <c r="AE699" s="171"/>
      <c r="AG699"/>
    </row>
    <row r="700" spans="1:33" x14ac:dyDescent="0.25">
      <c r="A700" s="182"/>
      <c r="B700" s="182"/>
      <c r="C700" s="171"/>
      <c r="D700" s="171"/>
      <c r="E700" s="160"/>
      <c r="F700" s="171"/>
      <c r="G700"/>
      <c r="H700"/>
      <c r="Q700" s="160"/>
      <c r="R700" s="160"/>
      <c r="S700" s="171"/>
      <c r="AD700" s="171"/>
      <c r="AE700" s="171"/>
      <c r="AG700"/>
    </row>
    <row r="701" spans="1:33" x14ac:dyDescent="0.25">
      <c r="A701" s="182"/>
      <c r="B701" s="182"/>
      <c r="C701" s="171"/>
      <c r="D701" s="171"/>
      <c r="E701" s="160"/>
      <c r="F701" s="171"/>
      <c r="G701" s="171"/>
      <c r="H701"/>
      <c r="Q701" s="160"/>
      <c r="R701" s="160"/>
      <c r="S701" s="171"/>
      <c r="AD701" s="171"/>
      <c r="AE701" s="171"/>
      <c r="AG701"/>
    </row>
    <row r="702" spans="1:33" x14ac:dyDescent="0.25">
      <c r="A702" s="182"/>
      <c r="B702" s="182"/>
      <c r="C702" s="171"/>
      <c r="D702" s="171"/>
      <c r="E702" s="160"/>
      <c r="F702" s="171"/>
      <c r="G702" s="171"/>
      <c r="H702"/>
      <c r="Q702" s="160"/>
      <c r="R702" s="160"/>
      <c r="S702" s="171"/>
      <c r="AD702" s="171"/>
      <c r="AE702" s="171"/>
      <c r="AG702"/>
    </row>
    <row r="703" spans="1:33" x14ac:dyDescent="0.25">
      <c r="A703" s="182"/>
      <c r="B703" s="182"/>
      <c r="C703" s="171"/>
      <c r="D703" s="171"/>
      <c r="E703" s="160"/>
      <c r="F703" s="171"/>
      <c r="G703" s="171"/>
      <c r="H703"/>
      <c r="Q703" s="160"/>
      <c r="R703" s="160"/>
      <c r="S703" s="171"/>
      <c r="AD703" s="171"/>
      <c r="AE703" s="171"/>
      <c r="AG703"/>
    </row>
    <row r="704" spans="1:33" x14ac:dyDescent="0.25">
      <c r="A704" s="182"/>
      <c r="B704" s="182"/>
      <c r="C704" s="171"/>
      <c r="D704" s="171"/>
      <c r="E704" s="160"/>
      <c r="F704" s="171"/>
      <c r="G704" s="171"/>
      <c r="H704"/>
      <c r="Q704" s="160"/>
      <c r="R704" s="160"/>
      <c r="S704" s="171"/>
      <c r="AD704" s="171"/>
      <c r="AE704" s="171"/>
      <c r="AG704"/>
    </row>
    <row r="705" spans="1:33" x14ac:dyDescent="0.25">
      <c r="A705" s="182"/>
      <c r="B705" s="182"/>
      <c r="C705" s="171"/>
      <c r="D705" s="171"/>
      <c r="E705" s="160"/>
      <c r="F705" s="171"/>
      <c r="G705" s="171"/>
      <c r="H705" s="171"/>
      <c r="Q705" s="160"/>
      <c r="R705" s="160"/>
      <c r="S705" s="171"/>
      <c r="AD705" s="171"/>
      <c r="AE705" s="171"/>
      <c r="AG705"/>
    </row>
    <row r="706" spans="1:33" x14ac:dyDescent="0.25">
      <c r="A706" s="182"/>
      <c r="B706" s="182"/>
      <c r="C706" s="171"/>
      <c r="D706" s="171"/>
      <c r="E706" s="160"/>
      <c r="F706" s="171"/>
      <c r="G706"/>
      <c r="H706"/>
      <c r="Q706" s="160"/>
      <c r="R706" s="160"/>
      <c r="S706" s="171"/>
      <c r="AD706" s="171"/>
      <c r="AE706" s="171"/>
      <c r="AG706"/>
    </row>
    <row r="707" spans="1:33" x14ac:dyDescent="0.25">
      <c r="A707" s="182"/>
      <c r="B707" s="182"/>
      <c r="C707" s="171"/>
      <c r="D707" s="171"/>
      <c r="E707" s="160"/>
      <c r="F707" s="171"/>
      <c r="G707" s="171"/>
      <c r="H707"/>
      <c r="Q707" s="160"/>
      <c r="R707" s="160"/>
      <c r="S707" s="171"/>
      <c r="AD707" s="171"/>
      <c r="AE707" s="171"/>
      <c r="AG707"/>
    </row>
    <row r="708" spans="1:33" x14ac:dyDescent="0.25">
      <c r="A708" s="182"/>
      <c r="B708" s="182"/>
      <c r="C708" s="171"/>
      <c r="D708" s="171"/>
      <c r="E708" s="160"/>
      <c r="F708" s="171"/>
      <c r="G708" s="171"/>
      <c r="H708"/>
      <c r="Q708" s="160"/>
      <c r="R708" s="160"/>
      <c r="S708" s="171"/>
      <c r="AD708" s="171"/>
      <c r="AE708" s="171"/>
      <c r="AG708"/>
    </row>
    <row r="709" spans="1:33" x14ac:dyDescent="0.25">
      <c r="A709" s="182"/>
      <c r="B709" s="182"/>
      <c r="C709" s="171"/>
      <c r="D709" s="171"/>
      <c r="E709" s="160"/>
      <c r="F709" s="171"/>
      <c r="G709" s="171"/>
      <c r="H709"/>
      <c r="Q709" s="160"/>
      <c r="R709" s="160"/>
      <c r="S709" s="171"/>
      <c r="AD709" s="171"/>
      <c r="AE709" s="171"/>
      <c r="AG709"/>
    </row>
    <row r="710" spans="1:33" x14ac:dyDescent="0.25">
      <c r="A710" s="182"/>
      <c r="B710" s="182"/>
      <c r="C710" s="171"/>
      <c r="D710" s="171"/>
      <c r="E710" s="160"/>
      <c r="F710" s="171"/>
      <c r="G710" s="171"/>
      <c r="H710"/>
      <c r="Q710" s="160"/>
      <c r="R710" s="160"/>
      <c r="S710" s="171"/>
      <c r="AD710" s="171"/>
      <c r="AE710" s="171"/>
      <c r="AG710"/>
    </row>
    <row r="711" spans="1:33" x14ac:dyDescent="0.25">
      <c r="A711" s="182"/>
      <c r="B711" s="182"/>
      <c r="C711" s="171"/>
      <c r="D711" s="171"/>
      <c r="E711" s="160"/>
      <c r="F711" s="171"/>
      <c r="G711" s="171"/>
      <c r="H711"/>
      <c r="Q711" s="160"/>
      <c r="R711" s="160"/>
      <c r="S711" s="171"/>
      <c r="AD711" s="171"/>
      <c r="AE711" s="171"/>
      <c r="AG711"/>
    </row>
    <row r="712" spans="1:33" x14ac:dyDescent="0.25">
      <c r="A712" s="182"/>
      <c r="B712" s="182"/>
      <c r="C712" s="171"/>
      <c r="D712" s="171"/>
      <c r="E712" s="160"/>
      <c r="F712" s="171"/>
      <c r="G712" s="171"/>
      <c r="H712"/>
      <c r="Q712" s="160"/>
      <c r="R712" s="160"/>
      <c r="S712" s="171"/>
      <c r="AD712" s="171"/>
      <c r="AE712" s="171"/>
      <c r="AG712"/>
    </row>
    <row r="713" spans="1:33" x14ac:dyDescent="0.25">
      <c r="A713" s="182"/>
      <c r="B713" s="182"/>
      <c r="C713" s="171"/>
      <c r="D713" s="171"/>
      <c r="E713" s="160"/>
      <c r="F713" s="171"/>
      <c r="G713" s="171"/>
      <c r="H713"/>
      <c r="Q713" s="160"/>
      <c r="R713" s="160"/>
      <c r="S713" s="171"/>
      <c r="AD713" s="171"/>
      <c r="AE713" s="171"/>
      <c r="AG713"/>
    </row>
    <row r="714" spans="1:33" x14ac:dyDescent="0.25">
      <c r="A714" s="182"/>
      <c r="B714" s="182"/>
      <c r="C714" s="171"/>
      <c r="D714" s="171"/>
      <c r="E714" s="160"/>
      <c r="F714" s="171"/>
      <c r="G714" s="171"/>
      <c r="H714"/>
      <c r="Q714" s="160"/>
      <c r="R714" s="160"/>
      <c r="S714" s="171"/>
      <c r="AD714" s="171"/>
      <c r="AE714" s="171"/>
      <c r="AG714"/>
    </row>
    <row r="715" spans="1:33" x14ac:dyDescent="0.25">
      <c r="A715" s="182"/>
      <c r="B715" s="182"/>
      <c r="C715" s="171"/>
      <c r="D715" s="171"/>
      <c r="E715" s="160"/>
      <c r="F715" s="171"/>
      <c r="G715" s="171"/>
      <c r="H715"/>
      <c r="Q715" s="160"/>
      <c r="R715" s="160"/>
      <c r="S715" s="171"/>
      <c r="AD715" s="171"/>
      <c r="AE715" s="171"/>
      <c r="AG715"/>
    </row>
    <row r="716" spans="1:33" x14ac:dyDescent="0.25">
      <c r="A716" s="182"/>
      <c r="B716" s="182"/>
      <c r="C716" s="171"/>
      <c r="D716" s="171"/>
      <c r="E716" s="160"/>
      <c r="F716" s="171"/>
      <c r="G716"/>
      <c r="H716"/>
      <c r="Q716" s="160"/>
      <c r="R716" s="160"/>
      <c r="S716" s="171"/>
      <c r="AD716" s="171"/>
      <c r="AE716" s="171"/>
      <c r="AG716"/>
    </row>
    <row r="717" spans="1:33" x14ac:dyDescent="0.25">
      <c r="A717" s="182"/>
      <c r="B717" s="182"/>
      <c r="C717" s="171"/>
      <c r="D717" s="171"/>
      <c r="E717" s="160"/>
      <c r="F717" s="171"/>
      <c r="G717" s="171"/>
      <c r="H717"/>
      <c r="Q717" s="160"/>
      <c r="R717" s="160"/>
      <c r="S717" s="171"/>
      <c r="AD717" s="171"/>
      <c r="AE717" s="171"/>
      <c r="AG717"/>
    </row>
    <row r="718" spans="1:33" x14ac:dyDescent="0.25">
      <c r="A718" s="182"/>
      <c r="B718" s="182"/>
      <c r="C718" s="171"/>
      <c r="D718" s="171"/>
      <c r="E718" s="160"/>
      <c r="F718" s="171"/>
      <c r="G718" s="171"/>
      <c r="H718"/>
      <c r="Q718" s="160"/>
      <c r="R718" s="160"/>
      <c r="S718" s="171"/>
      <c r="AD718" s="171"/>
      <c r="AE718" s="171"/>
      <c r="AG718"/>
    </row>
    <row r="719" spans="1:33" x14ac:dyDescent="0.25">
      <c r="A719" s="182"/>
      <c r="B719" s="182"/>
      <c r="C719" s="171"/>
      <c r="D719" s="171"/>
      <c r="E719" s="160"/>
      <c r="F719" s="171"/>
      <c r="G719"/>
      <c r="H719"/>
      <c r="Q719" s="160"/>
      <c r="R719" s="160"/>
      <c r="S719" s="171"/>
      <c r="AD719" s="171"/>
      <c r="AE719" s="171"/>
      <c r="AG719"/>
    </row>
    <row r="720" spans="1:33" x14ac:dyDescent="0.25">
      <c r="A720" s="182"/>
      <c r="B720" s="182"/>
      <c r="C720" s="171"/>
      <c r="D720" s="171"/>
      <c r="E720" s="160"/>
      <c r="F720" s="171"/>
      <c r="G720" s="171"/>
      <c r="H720" s="171"/>
      <c r="Q720" s="160"/>
      <c r="R720" s="160"/>
      <c r="S720" s="171"/>
      <c r="AD720" s="171"/>
      <c r="AE720" s="171"/>
      <c r="AG720"/>
    </row>
    <row r="721" spans="1:33" x14ac:dyDescent="0.25">
      <c r="A721" s="182"/>
      <c r="B721" s="182"/>
      <c r="C721" s="171"/>
      <c r="D721" s="171"/>
      <c r="E721" s="160"/>
      <c r="F721" s="171"/>
      <c r="G721" s="171"/>
      <c r="H721" s="171"/>
      <c r="Q721" s="160"/>
      <c r="R721" s="160"/>
      <c r="S721" s="171"/>
      <c r="AD721" s="171"/>
      <c r="AE721" s="171"/>
      <c r="AG721"/>
    </row>
    <row r="722" spans="1:33" x14ac:dyDescent="0.25">
      <c r="A722" s="182"/>
      <c r="B722" s="182"/>
      <c r="C722" s="171"/>
      <c r="D722" s="171"/>
      <c r="E722" s="160"/>
      <c r="F722" s="171"/>
      <c r="G722" s="171"/>
      <c r="H722" s="171"/>
      <c r="Q722" s="160"/>
      <c r="R722" s="160"/>
      <c r="S722" s="171"/>
      <c r="AD722" s="171"/>
      <c r="AE722" s="171"/>
      <c r="AG722"/>
    </row>
    <row r="723" spans="1:33" x14ac:dyDescent="0.25">
      <c r="A723" s="182"/>
      <c r="B723" s="182"/>
      <c r="C723" s="171"/>
      <c r="D723" s="171"/>
      <c r="E723" s="160"/>
      <c r="F723" s="171"/>
      <c r="G723" s="171"/>
      <c r="H723"/>
      <c r="Q723" s="160"/>
      <c r="R723" s="160"/>
      <c r="S723" s="171"/>
      <c r="AD723" s="171"/>
      <c r="AE723" s="171"/>
      <c r="AG723"/>
    </row>
    <row r="724" spans="1:33" x14ac:dyDescent="0.25">
      <c r="A724" s="182"/>
      <c r="B724" s="182"/>
      <c r="C724" s="171"/>
      <c r="D724" s="171"/>
      <c r="E724" s="160"/>
      <c r="F724" s="171"/>
      <c r="G724"/>
      <c r="H724"/>
      <c r="Q724" s="160"/>
      <c r="R724" s="160"/>
      <c r="S724" s="171"/>
      <c r="AD724" s="171"/>
      <c r="AE724" s="171"/>
      <c r="AG724"/>
    </row>
    <row r="725" spans="1:33" x14ac:dyDescent="0.25">
      <c r="A725" s="182"/>
      <c r="B725" s="182"/>
      <c r="C725" s="171"/>
      <c r="D725" s="171"/>
      <c r="E725" s="160"/>
      <c r="F725" s="171"/>
      <c r="G725" s="171"/>
      <c r="H725"/>
      <c r="Q725" s="160"/>
      <c r="R725" s="160"/>
      <c r="S725" s="171"/>
      <c r="AD725" s="171"/>
      <c r="AE725" s="171"/>
      <c r="AG725"/>
    </row>
    <row r="726" spans="1:33" x14ac:dyDescent="0.25">
      <c r="A726" s="182"/>
      <c r="B726" s="182"/>
      <c r="C726" s="171"/>
      <c r="D726" s="171"/>
      <c r="E726" s="160"/>
      <c r="F726" s="171"/>
      <c r="G726" s="171"/>
      <c r="H726"/>
      <c r="Q726" s="160"/>
      <c r="R726" s="160"/>
      <c r="S726" s="171"/>
      <c r="AD726" s="171"/>
      <c r="AE726" s="171"/>
      <c r="AG726"/>
    </row>
    <row r="727" spans="1:33" x14ac:dyDescent="0.25">
      <c r="A727" s="182"/>
      <c r="B727" s="182"/>
      <c r="C727" s="171"/>
      <c r="D727" s="171"/>
      <c r="E727" s="160"/>
      <c r="F727" s="171"/>
      <c r="G727" s="171"/>
      <c r="H727" s="171"/>
      <c r="Q727" s="160"/>
      <c r="R727" s="160"/>
      <c r="S727" s="171"/>
      <c r="AD727" s="171"/>
      <c r="AE727" s="171"/>
      <c r="AG727"/>
    </row>
    <row r="728" spans="1:33" x14ac:dyDescent="0.25">
      <c r="A728" s="182"/>
      <c r="B728" s="182"/>
      <c r="C728" s="171"/>
      <c r="D728" s="171"/>
      <c r="E728" s="160"/>
      <c r="F728" s="171"/>
      <c r="G728" s="171"/>
      <c r="H728"/>
      <c r="Q728" s="160"/>
      <c r="R728" s="160"/>
      <c r="S728" s="171"/>
      <c r="AD728" s="171"/>
      <c r="AE728" s="171"/>
      <c r="AG728"/>
    </row>
    <row r="729" spans="1:33" x14ac:dyDescent="0.25">
      <c r="A729" s="182"/>
      <c r="B729" s="182"/>
      <c r="C729" s="171"/>
      <c r="D729" s="171"/>
      <c r="E729" s="160"/>
      <c r="F729" s="171"/>
      <c r="G729" s="171"/>
      <c r="H729"/>
      <c r="Q729" s="160"/>
      <c r="R729" s="160"/>
      <c r="S729" s="171"/>
      <c r="AD729" s="171"/>
      <c r="AE729" s="171"/>
      <c r="AG729"/>
    </row>
    <row r="730" spans="1:33" x14ac:dyDescent="0.25">
      <c r="A730" s="182"/>
      <c r="B730" s="182"/>
      <c r="C730" s="171"/>
      <c r="D730" s="171"/>
      <c r="E730" s="160"/>
      <c r="F730" s="171"/>
      <c r="G730" s="171"/>
      <c r="H730"/>
      <c r="Q730" s="160"/>
      <c r="R730" s="160"/>
      <c r="S730" s="171"/>
      <c r="AD730" s="171"/>
      <c r="AE730" s="171"/>
      <c r="AG730"/>
    </row>
    <row r="731" spans="1:33" x14ac:dyDescent="0.25">
      <c r="A731" s="182"/>
      <c r="B731" s="182"/>
      <c r="C731" s="171"/>
      <c r="D731" s="171"/>
      <c r="E731" s="160"/>
      <c r="F731" s="171"/>
      <c r="G731"/>
      <c r="H731"/>
      <c r="Q731" s="160"/>
      <c r="R731" s="160"/>
      <c r="S731" s="171"/>
      <c r="AD731" s="171"/>
      <c r="AE731" s="171"/>
      <c r="AG731"/>
    </row>
    <row r="732" spans="1:33" x14ac:dyDescent="0.25">
      <c r="A732" s="182"/>
      <c r="B732" s="182"/>
      <c r="C732" s="171"/>
      <c r="D732" s="171"/>
      <c r="E732" s="160"/>
      <c r="F732" s="171"/>
      <c r="G732"/>
      <c r="H732"/>
      <c r="Q732" s="160"/>
      <c r="R732" s="160"/>
      <c r="S732" s="171"/>
      <c r="AD732" s="171"/>
      <c r="AE732" s="171"/>
      <c r="AG732"/>
    </row>
    <row r="733" spans="1:33" x14ac:dyDescent="0.25">
      <c r="A733" s="182"/>
      <c r="B733" s="182"/>
      <c r="C733" s="171"/>
      <c r="D733" s="171"/>
      <c r="E733" s="160"/>
      <c r="F733" s="171"/>
      <c r="G733" s="171"/>
      <c r="H733"/>
      <c r="Q733" s="160"/>
      <c r="R733" s="160"/>
      <c r="S733" s="171"/>
      <c r="AD733" s="171"/>
      <c r="AE733" s="171"/>
      <c r="AG733"/>
    </row>
    <row r="734" spans="1:33" x14ac:dyDescent="0.25">
      <c r="A734" s="182"/>
      <c r="B734" s="182"/>
      <c r="C734" s="171"/>
      <c r="D734" s="171"/>
      <c r="E734" s="160"/>
      <c r="F734" s="171"/>
      <c r="G734" s="171"/>
      <c r="H734"/>
      <c r="Q734" s="160"/>
      <c r="R734" s="160"/>
      <c r="S734" s="171"/>
      <c r="AD734" s="171"/>
      <c r="AE734" s="171"/>
      <c r="AG734"/>
    </row>
    <row r="735" spans="1:33" x14ac:dyDescent="0.25">
      <c r="A735" s="182"/>
      <c r="B735" s="182"/>
      <c r="C735" s="171"/>
      <c r="D735" s="171"/>
      <c r="E735" s="160"/>
      <c r="F735" s="171"/>
      <c r="G735" s="171"/>
      <c r="H735"/>
      <c r="Q735" s="160"/>
      <c r="R735" s="160"/>
      <c r="S735" s="171"/>
      <c r="AD735" s="171"/>
      <c r="AE735" s="171"/>
      <c r="AG735"/>
    </row>
    <row r="736" spans="1:33" x14ac:dyDescent="0.25">
      <c r="A736" s="182"/>
      <c r="B736" s="182"/>
      <c r="C736" s="171"/>
      <c r="D736" s="171"/>
      <c r="E736" s="160"/>
      <c r="F736" s="171"/>
      <c r="G736" s="171"/>
      <c r="H736"/>
      <c r="Q736" s="160"/>
      <c r="R736" s="160"/>
      <c r="S736" s="171"/>
      <c r="AD736" s="171"/>
      <c r="AE736" s="171"/>
      <c r="AG736"/>
    </row>
    <row r="737" spans="1:33" x14ac:dyDescent="0.25">
      <c r="A737" s="182"/>
      <c r="B737" s="182"/>
      <c r="C737" s="171"/>
      <c r="D737" s="171"/>
      <c r="E737" s="160"/>
      <c r="F737" s="171"/>
      <c r="G737" s="171"/>
      <c r="H737"/>
      <c r="Q737" s="160"/>
      <c r="R737" s="160"/>
      <c r="S737" s="171"/>
      <c r="AD737" s="171"/>
      <c r="AE737" s="171"/>
      <c r="AG737"/>
    </row>
    <row r="738" spans="1:33" x14ac:dyDescent="0.25">
      <c r="A738" s="182"/>
      <c r="B738" s="182"/>
      <c r="C738" s="171"/>
      <c r="D738" s="171"/>
      <c r="E738" s="160"/>
      <c r="F738" s="171"/>
      <c r="G738" s="171"/>
      <c r="H738"/>
      <c r="Q738" s="160"/>
      <c r="R738" s="160"/>
      <c r="S738" s="171"/>
      <c r="AD738" s="171"/>
      <c r="AE738" s="171"/>
      <c r="AG738"/>
    </row>
    <row r="739" spans="1:33" x14ac:dyDescent="0.25">
      <c r="A739" s="182"/>
      <c r="B739" s="182"/>
      <c r="C739" s="171"/>
      <c r="D739" s="171"/>
      <c r="E739" s="160"/>
      <c r="F739" s="171"/>
      <c r="G739" s="171"/>
      <c r="H739"/>
      <c r="Q739" s="160"/>
      <c r="R739" s="160"/>
      <c r="S739" s="171"/>
      <c r="AD739" s="171"/>
      <c r="AE739" s="171"/>
      <c r="AG739"/>
    </row>
    <row r="740" spans="1:33" x14ac:dyDescent="0.25">
      <c r="A740" s="182"/>
      <c r="B740" s="182"/>
      <c r="C740" s="171"/>
      <c r="D740" s="171"/>
      <c r="E740" s="160"/>
      <c r="F740" s="171"/>
      <c r="G740" s="171"/>
      <c r="H740"/>
      <c r="Q740" s="160"/>
      <c r="R740" s="160"/>
      <c r="S740" s="171"/>
      <c r="AD740" s="171"/>
      <c r="AE740" s="171"/>
      <c r="AG740"/>
    </row>
    <row r="741" spans="1:33" x14ac:dyDescent="0.25">
      <c r="A741" s="182"/>
      <c r="B741" s="182"/>
      <c r="C741" s="171"/>
      <c r="D741" s="171"/>
      <c r="E741" s="160"/>
      <c r="F741" s="171"/>
      <c r="G741"/>
      <c r="H741"/>
      <c r="Q741" s="160"/>
      <c r="R741" s="160"/>
      <c r="S741" s="171"/>
      <c r="AD741" s="171"/>
      <c r="AE741" s="171"/>
      <c r="AG741"/>
    </row>
    <row r="742" spans="1:33" x14ac:dyDescent="0.25">
      <c r="A742" s="182"/>
      <c r="B742" s="182"/>
      <c r="C742" s="171"/>
      <c r="D742" s="171"/>
      <c r="E742" s="160"/>
      <c r="F742" s="171"/>
      <c r="G742" s="171"/>
      <c r="H742"/>
      <c r="Q742" s="160"/>
      <c r="R742" s="160"/>
      <c r="S742" s="171"/>
      <c r="AD742" s="171"/>
      <c r="AE742" s="171"/>
      <c r="AG742"/>
    </row>
    <row r="743" spans="1:33" x14ac:dyDescent="0.25">
      <c r="A743" s="182"/>
      <c r="B743" s="182"/>
      <c r="C743" s="171"/>
      <c r="D743" s="171"/>
      <c r="E743" s="160"/>
      <c r="F743" s="171"/>
      <c r="G743"/>
      <c r="H743"/>
      <c r="Q743" s="160"/>
      <c r="R743" s="160"/>
      <c r="S743" s="171"/>
      <c r="AD743" s="171"/>
      <c r="AE743" s="171"/>
      <c r="AG743"/>
    </row>
    <row r="744" spans="1:33" x14ac:dyDescent="0.25">
      <c r="A744" s="182"/>
      <c r="B744" s="182"/>
      <c r="C744" s="171"/>
      <c r="D744" s="171"/>
      <c r="E744" s="160"/>
      <c r="F744" s="171"/>
      <c r="G744" s="171"/>
      <c r="H744"/>
      <c r="Q744" s="160"/>
      <c r="R744" s="160"/>
      <c r="S744" s="171"/>
      <c r="AD744" s="171"/>
      <c r="AE744" s="171"/>
      <c r="AG744"/>
    </row>
    <row r="745" spans="1:33" x14ac:dyDescent="0.25">
      <c r="A745" s="182"/>
      <c r="B745" s="182"/>
      <c r="C745" s="171"/>
      <c r="D745" s="171"/>
      <c r="E745" s="160"/>
      <c r="F745" s="171"/>
      <c r="G745" s="171"/>
      <c r="H745" s="171"/>
      <c r="Q745" s="160"/>
      <c r="R745" s="160"/>
      <c r="S745" s="171"/>
      <c r="AD745" s="171"/>
      <c r="AE745" s="171"/>
      <c r="AG745"/>
    </row>
    <row r="746" spans="1:33" x14ac:dyDescent="0.25">
      <c r="A746" s="182"/>
      <c r="B746" s="182"/>
      <c r="C746" s="171"/>
      <c r="D746" s="171"/>
      <c r="E746" s="160"/>
      <c r="F746" s="171"/>
      <c r="G746" s="171"/>
      <c r="H746"/>
      <c r="Q746" s="160"/>
      <c r="R746" s="160"/>
      <c r="S746" s="171"/>
      <c r="AD746" s="171"/>
      <c r="AE746" s="171"/>
      <c r="AG746"/>
    </row>
    <row r="747" spans="1:33" x14ac:dyDescent="0.25">
      <c r="A747" s="182"/>
      <c r="B747" s="182"/>
      <c r="C747" s="171"/>
      <c r="D747" s="171"/>
      <c r="E747" s="160"/>
      <c r="F747" s="171"/>
      <c r="G747" s="171"/>
      <c r="H747"/>
      <c r="Q747" s="160"/>
      <c r="R747" s="160"/>
      <c r="S747" s="171"/>
      <c r="AD747" s="171"/>
      <c r="AE747" s="171"/>
      <c r="AG747"/>
    </row>
    <row r="748" spans="1:33" x14ac:dyDescent="0.25">
      <c r="A748" s="182"/>
      <c r="B748" s="182"/>
      <c r="C748" s="171"/>
      <c r="D748" s="171"/>
      <c r="E748" s="160"/>
      <c r="F748" s="171"/>
      <c r="G748" s="171"/>
      <c r="H748"/>
      <c r="Q748" s="160"/>
      <c r="R748" s="160"/>
      <c r="S748" s="171"/>
      <c r="AD748" s="171"/>
      <c r="AE748" s="171"/>
      <c r="AG748"/>
    </row>
    <row r="749" spans="1:33" x14ac:dyDescent="0.25">
      <c r="A749" s="182"/>
      <c r="B749" s="182"/>
      <c r="C749" s="171"/>
      <c r="D749" s="171"/>
      <c r="E749" s="160"/>
      <c r="F749" s="171"/>
      <c r="G749" s="171"/>
      <c r="H749"/>
      <c r="Q749" s="160"/>
      <c r="R749" s="160"/>
      <c r="S749" s="171"/>
      <c r="AD749" s="171"/>
      <c r="AE749" s="171"/>
      <c r="AG749"/>
    </row>
    <row r="750" spans="1:33" x14ac:dyDescent="0.25">
      <c r="A750" s="182"/>
      <c r="B750" s="182"/>
      <c r="C750" s="171"/>
      <c r="D750" s="171"/>
      <c r="E750" s="160"/>
      <c r="F750" s="171"/>
      <c r="G750" s="171"/>
      <c r="H750"/>
      <c r="Q750" s="160"/>
      <c r="R750" s="160"/>
      <c r="S750" s="171"/>
      <c r="AD750" s="171"/>
      <c r="AE750" s="171"/>
      <c r="AG750"/>
    </row>
    <row r="751" spans="1:33" x14ac:dyDescent="0.25">
      <c r="A751" s="182"/>
      <c r="B751" s="182"/>
      <c r="C751" s="171"/>
      <c r="D751" s="171"/>
      <c r="E751" s="160"/>
      <c r="F751" s="171"/>
      <c r="G751"/>
      <c r="H751"/>
      <c r="Q751" s="160"/>
      <c r="R751" s="160"/>
      <c r="S751" s="171"/>
      <c r="AD751" s="171"/>
      <c r="AE751" s="171"/>
      <c r="AG751"/>
    </row>
    <row r="752" spans="1:33" x14ac:dyDescent="0.25">
      <c r="A752" s="182"/>
      <c r="B752" s="182"/>
      <c r="C752" s="171"/>
      <c r="D752" s="171"/>
      <c r="E752" s="160"/>
      <c r="F752" s="171"/>
      <c r="G752"/>
      <c r="H752"/>
      <c r="Q752" s="160"/>
      <c r="R752" s="160"/>
      <c r="S752" s="171"/>
      <c r="AD752" s="171"/>
      <c r="AE752" s="171"/>
      <c r="AG752"/>
    </row>
    <row r="753" spans="1:33" x14ac:dyDescent="0.25">
      <c r="A753" s="182"/>
      <c r="B753" s="182"/>
      <c r="C753" s="171"/>
      <c r="D753" s="171"/>
      <c r="E753" s="160"/>
      <c r="F753" s="171"/>
      <c r="G753" s="171"/>
      <c r="H753"/>
      <c r="Q753" s="160"/>
      <c r="R753" s="160"/>
      <c r="S753" s="171"/>
      <c r="AD753" s="171"/>
      <c r="AE753" s="171"/>
      <c r="AG753"/>
    </row>
    <row r="754" spans="1:33" x14ac:dyDescent="0.25">
      <c r="A754" s="182"/>
      <c r="B754" s="182"/>
      <c r="C754" s="171"/>
      <c r="D754" s="171"/>
      <c r="E754" s="160"/>
      <c r="F754" s="171"/>
      <c r="G754"/>
      <c r="H754"/>
      <c r="Q754" s="160"/>
      <c r="R754" s="160"/>
      <c r="S754" s="171"/>
      <c r="AD754" s="171"/>
      <c r="AE754" s="171"/>
      <c r="AG754"/>
    </row>
    <row r="755" spans="1:33" x14ac:dyDescent="0.25">
      <c r="A755" s="182"/>
      <c r="B755" s="182"/>
      <c r="C755" s="171"/>
      <c r="D755" s="171"/>
      <c r="E755" s="160"/>
      <c r="F755" s="171"/>
      <c r="G755"/>
      <c r="H755"/>
      <c r="Q755" s="160"/>
      <c r="R755" s="160"/>
      <c r="S755" s="171"/>
      <c r="AD755" s="171"/>
      <c r="AE755" s="171"/>
      <c r="AG755"/>
    </row>
    <row r="756" spans="1:33" x14ac:dyDescent="0.25">
      <c r="A756" s="182"/>
      <c r="B756" s="182"/>
      <c r="C756" s="171"/>
      <c r="D756" s="171"/>
      <c r="E756" s="160"/>
      <c r="F756" s="171"/>
      <c r="G756"/>
      <c r="H756"/>
      <c r="Q756" s="160"/>
      <c r="R756" s="160"/>
      <c r="S756" s="171"/>
      <c r="AD756" s="171"/>
      <c r="AE756" s="171"/>
      <c r="AG756"/>
    </row>
    <row r="757" spans="1:33" x14ac:dyDescent="0.25">
      <c r="A757" s="182"/>
      <c r="B757" s="182"/>
      <c r="C757" s="171"/>
      <c r="D757" s="171"/>
      <c r="E757" s="160"/>
      <c r="F757" s="171"/>
      <c r="G757" s="171"/>
      <c r="H757"/>
      <c r="Q757" s="160"/>
      <c r="R757" s="160"/>
      <c r="S757" s="171"/>
      <c r="AD757" s="171"/>
      <c r="AE757" s="171"/>
      <c r="AG757"/>
    </row>
    <row r="758" spans="1:33" x14ac:dyDescent="0.25">
      <c r="A758" s="182"/>
      <c r="B758" s="182"/>
      <c r="C758" s="171"/>
      <c r="D758" s="171"/>
      <c r="E758" s="160"/>
      <c r="F758" s="171"/>
      <c r="G758" s="171"/>
      <c r="H758"/>
      <c r="Q758" s="160"/>
      <c r="R758" s="160"/>
      <c r="S758" s="171"/>
      <c r="AD758" s="171"/>
      <c r="AE758" s="171"/>
      <c r="AG758"/>
    </row>
    <row r="759" spans="1:33" x14ac:dyDescent="0.25">
      <c r="A759" s="182"/>
      <c r="B759" s="182"/>
      <c r="C759" s="171"/>
      <c r="D759" s="171"/>
      <c r="E759" s="160"/>
      <c r="F759" s="171"/>
      <c r="G759" s="171"/>
      <c r="H759"/>
      <c r="Q759" s="160"/>
      <c r="R759" s="160"/>
      <c r="S759" s="171"/>
      <c r="AD759" s="171"/>
      <c r="AE759" s="171"/>
      <c r="AG759"/>
    </row>
    <row r="760" spans="1:33" x14ac:dyDescent="0.25">
      <c r="A760" s="182"/>
      <c r="B760" s="182"/>
      <c r="C760" s="171"/>
      <c r="D760" s="171"/>
      <c r="E760" s="160"/>
      <c r="F760" s="171"/>
      <c r="G760" s="171"/>
      <c r="H760"/>
      <c r="Q760" s="160"/>
      <c r="R760" s="160"/>
      <c r="S760" s="171"/>
      <c r="AD760" s="171"/>
      <c r="AE760" s="171"/>
      <c r="AG760"/>
    </row>
    <row r="761" spans="1:33" x14ac:dyDescent="0.25">
      <c r="A761" s="182"/>
      <c r="B761" s="182"/>
      <c r="C761" s="171"/>
      <c r="D761" s="171"/>
      <c r="E761" s="160"/>
      <c r="F761" s="171"/>
      <c r="G761"/>
      <c r="H761"/>
      <c r="Q761" s="160"/>
      <c r="R761" s="160"/>
      <c r="S761" s="171"/>
      <c r="AD761" s="171"/>
      <c r="AE761" s="171"/>
      <c r="AG761"/>
    </row>
    <row r="762" spans="1:33" x14ac:dyDescent="0.25">
      <c r="A762" s="182"/>
      <c r="B762" s="182"/>
      <c r="C762" s="171"/>
      <c r="D762" s="171"/>
      <c r="E762" s="160"/>
      <c r="F762" s="171"/>
      <c r="G762" s="171"/>
      <c r="H762"/>
      <c r="Q762" s="160"/>
      <c r="R762" s="160"/>
      <c r="S762" s="171"/>
      <c r="AD762" s="171"/>
      <c r="AE762" s="171"/>
      <c r="AG762"/>
    </row>
    <row r="763" spans="1:33" x14ac:dyDescent="0.25">
      <c r="A763" s="182"/>
      <c r="B763" s="182"/>
      <c r="C763" s="171"/>
      <c r="D763" s="171"/>
      <c r="E763" s="160"/>
      <c r="F763" s="171"/>
      <c r="G763"/>
      <c r="H763"/>
      <c r="Q763" s="160"/>
      <c r="R763" s="160"/>
      <c r="S763" s="171"/>
      <c r="AD763" s="171"/>
      <c r="AE763" s="171"/>
      <c r="AG763"/>
    </row>
    <row r="764" spans="1:33" x14ac:dyDescent="0.25">
      <c r="A764" s="182"/>
      <c r="B764" s="182"/>
      <c r="C764" s="171"/>
      <c r="D764" s="171"/>
      <c r="E764" s="160"/>
      <c r="F764" s="171"/>
      <c r="G764" s="171"/>
      <c r="H764"/>
      <c r="Q764" s="160"/>
      <c r="R764" s="160"/>
      <c r="S764" s="171"/>
      <c r="AD764" s="171"/>
      <c r="AE764" s="171"/>
      <c r="AG764"/>
    </row>
    <row r="765" spans="1:33" x14ac:dyDescent="0.25">
      <c r="A765" s="182"/>
      <c r="B765" s="182"/>
      <c r="C765" s="171"/>
      <c r="D765" s="171"/>
      <c r="E765" s="160"/>
      <c r="F765" s="171"/>
      <c r="G765" s="171"/>
      <c r="H765"/>
      <c r="Q765" s="160"/>
      <c r="R765" s="160"/>
      <c r="S765" s="171"/>
      <c r="AD765" s="171"/>
      <c r="AE765" s="171"/>
      <c r="AG765"/>
    </row>
    <row r="766" spans="1:33" x14ac:dyDescent="0.25">
      <c r="A766" s="182"/>
      <c r="B766" s="182"/>
      <c r="C766" s="171"/>
      <c r="D766" s="171"/>
      <c r="E766" s="160"/>
      <c r="F766" s="171"/>
      <c r="G766"/>
      <c r="H766"/>
      <c r="Q766" s="160"/>
      <c r="R766" s="160"/>
      <c r="S766" s="171"/>
      <c r="AD766" s="171"/>
      <c r="AE766" s="171"/>
      <c r="AG766"/>
    </row>
    <row r="767" spans="1:33" x14ac:dyDescent="0.25">
      <c r="A767" s="182"/>
      <c r="B767" s="182"/>
      <c r="C767" s="171"/>
      <c r="D767" s="171"/>
      <c r="E767" s="160"/>
      <c r="F767" s="171"/>
      <c r="G767" s="171"/>
      <c r="H767" s="171"/>
      <c r="Q767" s="160"/>
      <c r="R767" s="160"/>
      <c r="S767" s="171"/>
      <c r="AD767" s="171"/>
      <c r="AE767" s="171"/>
      <c r="AG767"/>
    </row>
    <row r="768" spans="1:33" x14ac:dyDescent="0.25">
      <c r="A768" s="182"/>
      <c r="B768" s="182"/>
      <c r="C768" s="171"/>
      <c r="D768" s="171"/>
      <c r="E768" s="160"/>
      <c r="F768" s="171"/>
      <c r="G768" s="171"/>
      <c r="H768"/>
      <c r="Q768" s="160"/>
      <c r="R768" s="160"/>
      <c r="S768" s="171"/>
      <c r="AD768" s="171"/>
      <c r="AE768" s="171"/>
      <c r="AG768"/>
    </row>
    <row r="769" spans="1:33" x14ac:dyDescent="0.25">
      <c r="A769" s="182"/>
      <c r="B769" s="182"/>
      <c r="C769" s="171"/>
      <c r="D769" s="171"/>
      <c r="E769" s="160"/>
      <c r="F769" s="171"/>
      <c r="G769" s="171"/>
      <c r="H769"/>
      <c r="Q769" s="160"/>
      <c r="R769" s="160"/>
      <c r="S769" s="171"/>
      <c r="AD769" s="171"/>
      <c r="AE769" s="171"/>
      <c r="AG769"/>
    </row>
    <row r="770" spans="1:33" x14ac:dyDescent="0.25">
      <c r="A770" s="182"/>
      <c r="B770" s="182"/>
      <c r="C770" s="171"/>
      <c r="D770" s="171"/>
      <c r="E770" s="160"/>
      <c r="F770" s="171"/>
      <c r="G770" s="171"/>
      <c r="H770"/>
      <c r="Q770" s="160"/>
      <c r="R770" s="160"/>
      <c r="S770" s="171"/>
      <c r="AD770" s="171"/>
      <c r="AE770" s="171"/>
      <c r="AG770"/>
    </row>
    <row r="771" spans="1:33" x14ac:dyDescent="0.25">
      <c r="A771" s="182"/>
      <c r="B771" s="182"/>
      <c r="C771" s="171"/>
      <c r="D771" s="171"/>
      <c r="E771" s="160"/>
      <c r="F771" s="171"/>
      <c r="G771" s="171"/>
      <c r="H771"/>
      <c r="Q771" s="160"/>
      <c r="R771" s="160"/>
      <c r="S771" s="171"/>
      <c r="AD771" s="171"/>
      <c r="AE771" s="171"/>
      <c r="AG771"/>
    </row>
    <row r="772" spans="1:33" x14ac:dyDescent="0.25">
      <c r="A772" s="182"/>
      <c r="B772" s="182"/>
      <c r="C772" s="171"/>
      <c r="D772" s="171"/>
      <c r="E772" s="160"/>
      <c r="F772" s="171"/>
      <c r="G772"/>
      <c r="H772"/>
      <c r="Q772" s="160"/>
      <c r="R772" s="160"/>
      <c r="S772" s="171"/>
      <c r="AD772" s="171"/>
      <c r="AE772" s="171"/>
      <c r="AG772"/>
    </row>
    <row r="773" spans="1:33" x14ac:dyDescent="0.25">
      <c r="A773" s="182"/>
      <c r="B773" s="182"/>
      <c r="C773" s="171"/>
      <c r="D773" s="171"/>
      <c r="E773" s="160"/>
      <c r="F773" s="171"/>
      <c r="G773"/>
      <c r="H773"/>
      <c r="Q773" s="160"/>
      <c r="R773" s="160"/>
      <c r="S773" s="171"/>
      <c r="AD773" s="171"/>
      <c r="AE773" s="171"/>
      <c r="AG773"/>
    </row>
    <row r="774" spans="1:33" x14ac:dyDescent="0.25">
      <c r="A774" s="182"/>
      <c r="B774" s="182"/>
      <c r="C774" s="171"/>
      <c r="D774" s="171"/>
      <c r="E774" s="160"/>
      <c r="F774" s="171"/>
      <c r="G774" s="171"/>
      <c r="H774"/>
      <c r="Q774" s="160"/>
      <c r="R774" s="160"/>
      <c r="S774" s="171"/>
      <c r="AD774" s="171"/>
      <c r="AE774" s="171"/>
      <c r="AG774"/>
    </row>
    <row r="775" spans="1:33" x14ac:dyDescent="0.25">
      <c r="A775" s="182"/>
      <c r="B775" s="182"/>
      <c r="C775" s="171"/>
      <c r="D775" s="171"/>
      <c r="E775" s="160"/>
      <c r="F775" s="171"/>
      <c r="G775" s="171"/>
      <c r="H775"/>
      <c r="Q775" s="160"/>
      <c r="R775" s="160"/>
      <c r="S775" s="171"/>
      <c r="AD775" s="171"/>
      <c r="AE775" s="171"/>
      <c r="AG775"/>
    </row>
    <row r="776" spans="1:33" x14ac:dyDescent="0.25">
      <c r="A776" s="182"/>
      <c r="B776" s="182"/>
      <c r="C776" s="171"/>
      <c r="D776" s="171"/>
      <c r="E776" s="160"/>
      <c r="F776" s="171"/>
      <c r="G776" s="171"/>
      <c r="H776"/>
      <c r="Q776" s="160"/>
      <c r="R776" s="160"/>
      <c r="S776" s="171"/>
      <c r="AD776" s="171"/>
      <c r="AE776" s="171"/>
      <c r="AG776"/>
    </row>
    <row r="777" spans="1:33" x14ac:dyDescent="0.25">
      <c r="A777" s="182"/>
      <c r="B777" s="182"/>
      <c r="C777" s="171"/>
      <c r="D777" s="171"/>
      <c r="E777" s="160"/>
      <c r="F777" s="171"/>
      <c r="G777" s="171"/>
      <c r="H777"/>
      <c r="Q777" s="160"/>
      <c r="R777" s="160"/>
      <c r="S777" s="171"/>
      <c r="AD777" s="171"/>
      <c r="AE777" s="171"/>
      <c r="AG777"/>
    </row>
    <row r="778" spans="1:33" x14ac:dyDescent="0.25">
      <c r="A778" s="182"/>
      <c r="B778" s="182"/>
      <c r="C778" s="171"/>
      <c r="D778" s="171"/>
      <c r="E778" s="160"/>
      <c r="F778" s="171"/>
      <c r="G778" s="171"/>
      <c r="H778" s="171"/>
      <c r="Q778" s="160"/>
      <c r="R778" s="160"/>
      <c r="S778" s="171"/>
      <c r="AD778" s="171"/>
      <c r="AE778" s="171"/>
      <c r="AG778"/>
    </row>
    <row r="779" spans="1:33" x14ac:dyDescent="0.25">
      <c r="A779" s="182"/>
      <c r="B779" s="182"/>
      <c r="C779" s="171"/>
      <c r="D779" s="171"/>
      <c r="E779" s="160"/>
      <c r="F779" s="171"/>
      <c r="G779" s="171"/>
      <c r="H779"/>
      <c r="Q779" s="160"/>
      <c r="R779" s="160"/>
      <c r="S779" s="171"/>
      <c r="AD779" s="171"/>
      <c r="AE779" s="171"/>
      <c r="AG779"/>
    </row>
    <row r="780" spans="1:33" x14ac:dyDescent="0.25">
      <c r="A780" s="182"/>
      <c r="B780" s="182"/>
      <c r="C780" s="171"/>
      <c r="D780" s="171"/>
      <c r="E780" s="160"/>
      <c r="F780" s="171"/>
      <c r="G780" s="171"/>
      <c r="H780"/>
      <c r="Q780" s="160"/>
      <c r="R780" s="160"/>
      <c r="S780" s="171"/>
      <c r="AD780" s="171"/>
      <c r="AE780" s="171"/>
      <c r="AG780"/>
    </row>
    <row r="781" spans="1:33" x14ac:dyDescent="0.25">
      <c r="A781" s="182"/>
      <c r="B781" s="182"/>
      <c r="C781" s="171"/>
      <c r="D781" s="171"/>
      <c r="E781" s="160"/>
      <c r="F781" s="171"/>
      <c r="G781"/>
      <c r="H781"/>
      <c r="Q781" s="160"/>
      <c r="R781" s="160"/>
      <c r="S781" s="171"/>
      <c r="AD781" s="171"/>
      <c r="AE781" s="171"/>
      <c r="AG781"/>
    </row>
    <row r="782" spans="1:33" x14ac:dyDescent="0.25">
      <c r="A782" s="182"/>
      <c r="B782" s="182"/>
      <c r="C782" s="171"/>
      <c r="D782" s="171"/>
      <c r="E782" s="160"/>
      <c r="F782" s="171"/>
      <c r="G782" s="171"/>
      <c r="H782"/>
      <c r="Q782" s="160"/>
      <c r="R782" s="160"/>
      <c r="S782" s="171"/>
      <c r="AD782" s="171"/>
      <c r="AE782" s="171"/>
      <c r="AG782"/>
    </row>
    <row r="783" spans="1:33" x14ac:dyDescent="0.25">
      <c r="A783" s="182"/>
      <c r="B783" s="182"/>
      <c r="C783" s="171"/>
      <c r="D783" s="171"/>
      <c r="E783" s="160"/>
      <c r="F783" s="171"/>
      <c r="G783" s="171"/>
      <c r="H783"/>
      <c r="Q783" s="160"/>
      <c r="R783" s="160"/>
      <c r="S783" s="171"/>
      <c r="AD783" s="171"/>
      <c r="AE783" s="171"/>
      <c r="AG783"/>
    </row>
    <row r="784" spans="1:33" x14ac:dyDescent="0.25">
      <c r="A784" s="182"/>
      <c r="B784" s="182"/>
      <c r="C784" s="171"/>
      <c r="D784" s="171"/>
      <c r="E784" s="160"/>
      <c r="F784" s="171"/>
      <c r="G784"/>
      <c r="H784"/>
      <c r="Q784" s="160"/>
      <c r="R784" s="160"/>
      <c r="S784" s="171"/>
      <c r="AD784" s="171"/>
      <c r="AE784" s="171"/>
      <c r="AG784"/>
    </row>
    <row r="785" spans="1:33" x14ac:dyDescent="0.25">
      <c r="A785" s="182"/>
      <c r="B785" s="182"/>
      <c r="C785" s="171"/>
      <c r="D785" s="171"/>
      <c r="E785" s="160"/>
      <c r="F785" s="171"/>
      <c r="G785" s="171"/>
      <c r="H785"/>
      <c r="Q785" s="160"/>
      <c r="R785" s="160"/>
      <c r="S785" s="171"/>
      <c r="AD785" s="171"/>
      <c r="AE785" s="171"/>
      <c r="AG785"/>
    </row>
    <row r="786" spans="1:33" x14ac:dyDescent="0.25">
      <c r="A786" s="182"/>
      <c r="B786" s="182"/>
      <c r="C786" s="171"/>
      <c r="D786" s="171"/>
      <c r="E786" s="160"/>
      <c r="F786" s="171"/>
      <c r="G786" s="171"/>
      <c r="H786"/>
      <c r="Q786" s="160"/>
      <c r="R786" s="160"/>
      <c r="S786" s="171"/>
      <c r="AD786" s="171"/>
      <c r="AE786" s="171"/>
      <c r="AG786"/>
    </row>
    <row r="787" spans="1:33" x14ac:dyDescent="0.25">
      <c r="A787" s="182"/>
      <c r="B787" s="182"/>
      <c r="C787" s="171"/>
      <c r="D787" s="171"/>
      <c r="E787" s="160"/>
      <c r="F787" s="171"/>
      <c r="G787" s="171"/>
      <c r="H787"/>
      <c r="Q787" s="160"/>
      <c r="R787" s="160"/>
      <c r="S787" s="171"/>
      <c r="AD787" s="171"/>
      <c r="AE787" s="171"/>
      <c r="AG787"/>
    </row>
    <row r="788" spans="1:33" x14ac:dyDescent="0.25">
      <c r="A788" s="182"/>
      <c r="B788" s="182"/>
      <c r="C788" s="171"/>
      <c r="D788" s="171"/>
      <c r="E788" s="160"/>
      <c r="F788" s="171"/>
      <c r="G788" s="171"/>
      <c r="H788"/>
      <c r="Q788" s="160"/>
      <c r="R788" s="160"/>
      <c r="S788" s="171"/>
      <c r="AD788" s="171"/>
      <c r="AE788" s="171"/>
      <c r="AG788"/>
    </row>
    <row r="789" spans="1:33" x14ac:dyDescent="0.25">
      <c r="A789" s="182"/>
      <c r="B789" s="182"/>
      <c r="C789" s="171"/>
      <c r="D789" s="171"/>
      <c r="E789" s="160"/>
      <c r="F789" s="171"/>
      <c r="G789" s="171"/>
      <c r="H789"/>
      <c r="Q789" s="160"/>
      <c r="R789" s="160"/>
      <c r="S789" s="171"/>
      <c r="AD789" s="171"/>
      <c r="AE789" s="171"/>
      <c r="AG789"/>
    </row>
    <row r="790" spans="1:33" x14ac:dyDescent="0.25">
      <c r="A790" s="182"/>
      <c r="B790" s="182"/>
      <c r="C790" s="171"/>
      <c r="D790" s="171"/>
      <c r="E790" s="160"/>
      <c r="F790" s="171"/>
      <c r="G790" s="171"/>
      <c r="H790"/>
      <c r="Q790" s="160"/>
      <c r="R790" s="160"/>
      <c r="S790" s="171"/>
      <c r="AD790" s="171"/>
      <c r="AE790" s="171"/>
      <c r="AG790"/>
    </row>
    <row r="791" spans="1:33" x14ac:dyDescent="0.25">
      <c r="A791" s="182"/>
      <c r="B791" s="182"/>
      <c r="C791" s="171"/>
      <c r="D791" s="171"/>
      <c r="E791" s="160"/>
      <c r="F791" s="171"/>
      <c r="G791" s="171"/>
      <c r="H791"/>
      <c r="Q791" s="160"/>
      <c r="R791" s="160"/>
      <c r="S791" s="171"/>
      <c r="AD791" s="171"/>
      <c r="AE791" s="171"/>
      <c r="AG791"/>
    </row>
    <row r="792" spans="1:33" x14ac:dyDescent="0.25">
      <c r="A792" s="182"/>
      <c r="B792" s="182"/>
      <c r="C792" s="171"/>
      <c r="D792" s="171"/>
      <c r="E792" s="160"/>
      <c r="F792" s="171"/>
      <c r="G792" s="171"/>
      <c r="H792" s="171"/>
      <c r="Q792" s="160"/>
      <c r="R792" s="160"/>
      <c r="S792" s="171"/>
      <c r="AD792" s="171"/>
      <c r="AE792" s="171"/>
      <c r="AG792"/>
    </row>
    <row r="793" spans="1:33" x14ac:dyDescent="0.25">
      <c r="A793" s="182"/>
      <c r="B793" s="182"/>
      <c r="C793" s="171"/>
      <c r="D793" s="171"/>
      <c r="E793" s="160"/>
      <c r="F793" s="171"/>
      <c r="G793"/>
      <c r="H793"/>
      <c r="Q793" s="160"/>
      <c r="R793" s="160"/>
      <c r="S793" s="171"/>
      <c r="AD793" s="171"/>
      <c r="AE793" s="171"/>
      <c r="AG793"/>
    </row>
    <row r="794" spans="1:33" x14ac:dyDescent="0.25">
      <c r="A794" s="182"/>
      <c r="B794" s="182"/>
      <c r="C794" s="171"/>
      <c r="D794" s="171"/>
      <c r="E794" s="160"/>
      <c r="F794" s="171"/>
      <c r="G794" s="171"/>
      <c r="H794"/>
      <c r="Q794" s="160"/>
      <c r="R794" s="160"/>
      <c r="S794" s="171"/>
      <c r="AD794" s="171"/>
      <c r="AE794" s="171"/>
      <c r="AG794"/>
    </row>
    <row r="795" spans="1:33" x14ac:dyDescent="0.25">
      <c r="A795" s="182"/>
      <c r="B795" s="182"/>
      <c r="C795" s="171"/>
      <c r="D795" s="171"/>
      <c r="E795" s="160"/>
      <c r="F795" s="171"/>
      <c r="G795"/>
      <c r="H795"/>
      <c r="Q795" s="160"/>
      <c r="R795" s="160"/>
      <c r="S795" s="171"/>
      <c r="AD795" s="171"/>
      <c r="AE795" s="171"/>
      <c r="AG795"/>
    </row>
    <row r="796" spans="1:33" x14ac:dyDescent="0.25">
      <c r="A796" s="182"/>
      <c r="B796" s="182"/>
      <c r="C796" s="171"/>
      <c r="D796" s="171"/>
      <c r="E796" s="160"/>
      <c r="F796" s="171"/>
      <c r="G796"/>
      <c r="H796"/>
      <c r="Q796" s="160"/>
      <c r="R796" s="160"/>
      <c r="S796" s="171"/>
      <c r="AD796" s="171"/>
      <c r="AE796" s="171"/>
      <c r="AG796"/>
    </row>
    <row r="797" spans="1:33" x14ac:dyDescent="0.25">
      <c r="A797" s="182"/>
      <c r="B797" s="182"/>
      <c r="C797" s="171"/>
      <c r="D797" s="171"/>
      <c r="E797" s="160"/>
      <c r="F797" s="171"/>
      <c r="G797"/>
      <c r="H797"/>
      <c r="Q797" s="160"/>
      <c r="R797" s="160"/>
      <c r="S797" s="171"/>
      <c r="AD797" s="171"/>
      <c r="AE797" s="171"/>
      <c r="AG797"/>
    </row>
    <row r="798" spans="1:33" x14ac:dyDescent="0.25">
      <c r="A798" s="182"/>
      <c r="B798" s="182"/>
      <c r="C798" s="171"/>
      <c r="D798" s="171"/>
      <c r="E798" s="160"/>
      <c r="F798" s="171"/>
      <c r="G798" s="171"/>
      <c r="H798" s="171"/>
      <c r="Q798" s="160"/>
      <c r="R798" s="160"/>
      <c r="S798" s="171"/>
      <c r="AD798" s="171"/>
      <c r="AE798" s="171"/>
      <c r="AG798"/>
    </row>
    <row r="799" spans="1:33" x14ac:dyDescent="0.25">
      <c r="A799" s="182"/>
      <c r="B799" s="182"/>
      <c r="C799" s="171"/>
      <c r="D799" s="171"/>
      <c r="E799" s="160"/>
      <c r="F799" s="171"/>
      <c r="G799" s="171"/>
      <c r="H799"/>
      <c r="Q799" s="160"/>
      <c r="R799" s="160"/>
      <c r="S799" s="171"/>
      <c r="AD799" s="171"/>
      <c r="AE799" s="171"/>
      <c r="AG799"/>
    </row>
    <row r="800" spans="1:33" x14ac:dyDescent="0.25">
      <c r="A800" s="182"/>
      <c r="B800" s="182"/>
      <c r="C800" s="171"/>
      <c r="D800" s="171"/>
      <c r="E800" s="160"/>
      <c r="F800" s="171"/>
      <c r="G800" s="171"/>
      <c r="H800"/>
      <c r="Q800" s="160"/>
      <c r="R800" s="160"/>
      <c r="S800" s="171"/>
      <c r="AD800" s="171"/>
      <c r="AE800" s="171"/>
      <c r="AG800"/>
    </row>
    <row r="801" spans="1:33" x14ac:dyDescent="0.25">
      <c r="A801" s="182"/>
      <c r="B801" s="182"/>
      <c r="C801" s="171"/>
      <c r="D801" s="171"/>
      <c r="E801" s="160"/>
      <c r="F801" s="171"/>
      <c r="G801" s="171"/>
      <c r="H801"/>
      <c r="Q801" s="160"/>
      <c r="R801" s="160"/>
      <c r="S801" s="171"/>
      <c r="AD801" s="171"/>
      <c r="AE801" s="171"/>
      <c r="AG801"/>
    </row>
    <row r="802" spans="1:33" x14ac:dyDescent="0.25">
      <c r="A802" s="182"/>
      <c r="B802" s="182"/>
      <c r="C802" s="171"/>
      <c r="D802" s="171"/>
      <c r="E802" s="160"/>
      <c r="F802" s="171"/>
      <c r="G802"/>
      <c r="H802"/>
      <c r="Q802" s="160"/>
      <c r="R802" s="160"/>
      <c r="S802" s="171"/>
      <c r="AD802" s="171"/>
      <c r="AE802" s="171"/>
      <c r="AG802"/>
    </row>
    <row r="803" spans="1:33" x14ac:dyDescent="0.25">
      <c r="A803" s="182"/>
      <c r="B803" s="182"/>
      <c r="C803" s="171"/>
      <c r="D803" s="171"/>
      <c r="E803" s="160"/>
      <c r="F803" s="171"/>
      <c r="G803" s="171"/>
      <c r="H803"/>
      <c r="Q803" s="160"/>
      <c r="R803" s="160"/>
      <c r="S803" s="171"/>
      <c r="AD803" s="171"/>
      <c r="AE803" s="171"/>
      <c r="AG803"/>
    </row>
    <row r="804" spans="1:33" x14ac:dyDescent="0.25">
      <c r="A804" s="182"/>
      <c r="B804" s="182"/>
      <c r="C804" s="171"/>
      <c r="D804" s="171"/>
      <c r="E804" s="160"/>
      <c r="F804" s="171"/>
      <c r="G804"/>
      <c r="H804"/>
      <c r="Q804" s="160"/>
      <c r="R804" s="160"/>
      <c r="S804" s="171"/>
      <c r="AD804" s="171"/>
      <c r="AE804" s="171"/>
      <c r="AG804"/>
    </row>
    <row r="805" spans="1:33" x14ac:dyDescent="0.25">
      <c r="A805" s="182"/>
      <c r="B805" s="182"/>
      <c r="C805" s="171"/>
      <c r="D805" s="171"/>
      <c r="E805" s="160"/>
      <c r="F805" s="171"/>
      <c r="G805" s="171"/>
      <c r="H805"/>
      <c r="Q805" s="160"/>
      <c r="R805" s="160"/>
      <c r="S805" s="171"/>
      <c r="AD805" s="171"/>
      <c r="AE805" s="171"/>
      <c r="AG805"/>
    </row>
    <row r="806" spans="1:33" x14ac:dyDescent="0.25">
      <c r="A806" s="182"/>
      <c r="B806" s="182"/>
      <c r="C806" s="171"/>
      <c r="D806" s="171"/>
      <c r="E806" s="160"/>
      <c r="F806" s="171"/>
      <c r="G806"/>
      <c r="H806"/>
      <c r="Q806" s="160"/>
      <c r="R806" s="160"/>
      <c r="S806" s="171"/>
      <c r="AD806" s="171"/>
      <c r="AE806" s="171"/>
      <c r="AG806"/>
    </row>
    <row r="807" spans="1:33" x14ac:dyDescent="0.25">
      <c r="A807" s="182"/>
      <c r="B807" s="182"/>
      <c r="C807" s="171"/>
      <c r="D807" s="171"/>
      <c r="E807" s="160"/>
      <c r="F807" s="171"/>
      <c r="G807" s="171"/>
      <c r="H807"/>
      <c r="Q807" s="160"/>
      <c r="R807" s="160"/>
      <c r="S807" s="171"/>
      <c r="AD807" s="171"/>
      <c r="AE807" s="171"/>
      <c r="AG807"/>
    </row>
    <row r="808" spans="1:33" x14ac:dyDescent="0.25">
      <c r="A808" s="182"/>
      <c r="B808" s="182"/>
      <c r="C808" s="171"/>
      <c r="D808" s="171"/>
      <c r="E808" s="160"/>
      <c r="F808" s="171"/>
      <c r="G808" s="171"/>
      <c r="H808"/>
      <c r="Q808" s="160"/>
      <c r="R808" s="160"/>
      <c r="S808" s="171"/>
      <c r="AD808" s="171"/>
      <c r="AE808" s="171"/>
      <c r="AG808"/>
    </row>
    <row r="809" spans="1:33" x14ac:dyDescent="0.25">
      <c r="A809" s="182"/>
      <c r="B809" s="182"/>
      <c r="C809" s="171"/>
      <c r="D809" s="171"/>
      <c r="E809" s="160"/>
      <c r="F809" s="171"/>
      <c r="G809" s="171"/>
      <c r="H809" s="171"/>
      <c r="Q809" s="160"/>
      <c r="R809" s="160"/>
      <c r="S809" s="171"/>
      <c r="AD809" s="171"/>
      <c r="AE809" s="171"/>
      <c r="AG809"/>
    </row>
    <row r="810" spans="1:33" x14ac:dyDescent="0.25">
      <c r="A810" s="182"/>
      <c r="B810" s="182"/>
      <c r="C810" s="171"/>
      <c r="D810" s="171"/>
      <c r="E810" s="160"/>
      <c r="F810" s="171"/>
      <c r="G810" s="171"/>
      <c r="H810"/>
      <c r="Q810" s="160"/>
      <c r="R810" s="160"/>
      <c r="S810" s="171"/>
      <c r="AD810" s="171"/>
      <c r="AE810" s="171"/>
      <c r="AG810"/>
    </row>
    <row r="811" spans="1:33" x14ac:dyDescent="0.25">
      <c r="A811" s="182"/>
      <c r="B811" s="182"/>
      <c r="C811" s="171"/>
      <c r="D811" s="171"/>
      <c r="E811" s="160"/>
      <c r="F811" s="171"/>
      <c r="G811" s="171"/>
      <c r="H811"/>
      <c r="Q811" s="160"/>
      <c r="R811" s="160"/>
      <c r="S811" s="171"/>
      <c r="AD811" s="171"/>
      <c r="AE811" s="171"/>
      <c r="AG811"/>
    </row>
    <row r="812" spans="1:33" x14ac:dyDescent="0.25">
      <c r="A812" s="182"/>
      <c r="B812" s="182"/>
      <c r="C812" s="171"/>
      <c r="D812" s="171"/>
      <c r="E812" s="160"/>
      <c r="F812" s="171"/>
      <c r="G812" s="171"/>
      <c r="H812"/>
      <c r="Q812" s="160"/>
      <c r="R812" s="160"/>
      <c r="S812" s="171"/>
      <c r="AD812" s="171"/>
      <c r="AE812" s="171"/>
      <c r="AG812"/>
    </row>
    <row r="813" spans="1:33" x14ac:dyDescent="0.25">
      <c r="A813" s="182"/>
      <c r="B813" s="182"/>
      <c r="C813" s="171"/>
      <c r="D813" s="171"/>
      <c r="E813" s="160"/>
      <c r="F813" s="171"/>
      <c r="G813"/>
      <c r="H813"/>
      <c r="Q813" s="160"/>
      <c r="R813" s="160"/>
      <c r="S813" s="171"/>
      <c r="AD813" s="171"/>
      <c r="AE813" s="171"/>
      <c r="AG813"/>
    </row>
    <row r="814" spans="1:33" x14ac:dyDescent="0.25">
      <c r="A814" s="182"/>
      <c r="B814" s="182"/>
      <c r="C814" s="171"/>
      <c r="D814" s="171"/>
      <c r="E814" s="160"/>
      <c r="F814" s="171"/>
      <c r="G814"/>
      <c r="H814"/>
      <c r="Q814" s="160"/>
      <c r="R814" s="160"/>
      <c r="S814" s="171"/>
      <c r="AD814" s="171"/>
      <c r="AE814" s="171"/>
      <c r="AG814"/>
    </row>
    <row r="815" spans="1:33" x14ac:dyDescent="0.25">
      <c r="A815" s="182"/>
      <c r="B815" s="182"/>
      <c r="C815" s="171"/>
      <c r="D815" s="171"/>
      <c r="E815" s="160"/>
      <c r="F815" s="171"/>
      <c r="G815" s="171"/>
      <c r="H815"/>
      <c r="Q815" s="160"/>
      <c r="R815" s="160"/>
      <c r="S815" s="171"/>
      <c r="AD815" s="171"/>
      <c r="AE815" s="171"/>
      <c r="AG815"/>
    </row>
    <row r="816" spans="1:33" x14ac:dyDescent="0.25">
      <c r="A816" s="182"/>
      <c r="B816" s="182"/>
      <c r="C816" s="171"/>
      <c r="D816" s="171"/>
      <c r="E816" s="160"/>
      <c r="F816" s="171"/>
      <c r="G816" s="171"/>
      <c r="H816"/>
      <c r="Q816" s="160"/>
      <c r="R816" s="160"/>
      <c r="S816" s="171"/>
      <c r="AD816" s="171"/>
      <c r="AE816" s="171"/>
      <c r="AG816"/>
    </row>
    <row r="817" spans="1:33" x14ac:dyDescent="0.25">
      <c r="A817" s="182"/>
      <c r="B817" s="182"/>
      <c r="C817" s="171"/>
      <c r="D817" s="171"/>
      <c r="E817" s="160"/>
      <c r="F817" s="171"/>
      <c r="G817" s="171"/>
      <c r="H817"/>
      <c r="Q817" s="160"/>
      <c r="R817" s="160"/>
      <c r="S817" s="171"/>
      <c r="AD817" s="171"/>
      <c r="AE817" s="171"/>
      <c r="AG817"/>
    </row>
    <row r="818" spans="1:33" x14ac:dyDescent="0.25">
      <c r="A818" s="182"/>
      <c r="B818" s="182"/>
      <c r="C818" s="171"/>
      <c r="D818" s="171"/>
      <c r="E818" s="160"/>
      <c r="F818" s="171"/>
      <c r="G818" s="171"/>
      <c r="H818" s="171"/>
      <c r="Q818" s="160"/>
      <c r="R818" s="160"/>
      <c r="S818" s="171"/>
      <c r="AD818" s="171"/>
      <c r="AE818" s="171"/>
      <c r="AG818"/>
    </row>
    <row r="819" spans="1:33" x14ac:dyDescent="0.25">
      <c r="A819" s="182"/>
      <c r="B819" s="182"/>
      <c r="C819" s="171"/>
      <c r="D819" s="171"/>
      <c r="E819" s="160"/>
      <c r="F819" s="171"/>
      <c r="G819" s="171"/>
      <c r="H819"/>
      <c r="Q819" s="160"/>
      <c r="R819" s="160"/>
      <c r="S819" s="171"/>
      <c r="AD819" s="171"/>
      <c r="AE819" s="171"/>
      <c r="AG819"/>
    </row>
    <row r="820" spans="1:33" x14ac:dyDescent="0.25">
      <c r="A820" s="182"/>
      <c r="B820" s="182"/>
      <c r="C820" s="171"/>
      <c r="D820" s="171"/>
      <c r="E820" s="160"/>
      <c r="F820" s="171"/>
      <c r="G820" s="171"/>
      <c r="H820"/>
      <c r="Q820" s="160"/>
      <c r="R820" s="160"/>
      <c r="S820" s="171"/>
      <c r="AD820" s="171"/>
      <c r="AE820" s="171"/>
      <c r="AG820"/>
    </row>
    <row r="821" spans="1:33" x14ac:dyDescent="0.25">
      <c r="A821" s="182"/>
      <c r="B821" s="182"/>
      <c r="C821" s="171"/>
      <c r="D821" s="171"/>
      <c r="E821" s="160"/>
      <c r="F821" s="171"/>
      <c r="G821" s="171"/>
      <c r="H821"/>
      <c r="Q821" s="160"/>
      <c r="R821" s="160"/>
      <c r="S821" s="171"/>
      <c r="AD821" s="171"/>
      <c r="AE821" s="171"/>
      <c r="AG821"/>
    </row>
    <row r="822" spans="1:33" x14ac:dyDescent="0.25">
      <c r="A822" s="182"/>
      <c r="B822" s="182"/>
      <c r="C822" s="171"/>
      <c r="D822" s="171"/>
      <c r="E822" s="160"/>
      <c r="F822" s="171"/>
      <c r="G822" s="171"/>
      <c r="H822"/>
      <c r="Q822" s="160"/>
      <c r="R822" s="160"/>
      <c r="S822" s="171"/>
      <c r="AD822" s="171"/>
      <c r="AE822" s="171"/>
      <c r="AG822"/>
    </row>
    <row r="823" spans="1:33" x14ac:dyDescent="0.25">
      <c r="A823" s="182"/>
      <c r="B823" s="182"/>
      <c r="C823" s="171"/>
      <c r="D823" s="171"/>
      <c r="E823" s="160"/>
      <c r="F823" s="171"/>
      <c r="G823"/>
      <c r="H823"/>
      <c r="Q823" s="160"/>
      <c r="R823" s="160"/>
      <c r="S823" s="171"/>
      <c r="AD823" s="171"/>
      <c r="AE823" s="171"/>
      <c r="AG823"/>
    </row>
    <row r="824" spans="1:33" x14ac:dyDescent="0.25">
      <c r="A824" s="182"/>
      <c r="B824" s="182"/>
      <c r="C824" s="171"/>
      <c r="D824" s="171"/>
      <c r="E824" s="160"/>
      <c r="F824" s="171"/>
      <c r="G824" s="171"/>
      <c r="H824"/>
      <c r="Q824" s="160"/>
      <c r="R824" s="160"/>
      <c r="S824" s="171"/>
      <c r="AD824" s="171"/>
      <c r="AE824" s="171"/>
      <c r="AG824"/>
    </row>
    <row r="825" spans="1:33" x14ac:dyDescent="0.25">
      <c r="A825" s="182"/>
      <c r="B825" s="182"/>
      <c r="C825" s="171"/>
      <c r="D825" s="171"/>
      <c r="E825" s="160"/>
      <c r="F825" s="171"/>
      <c r="G825" s="171"/>
      <c r="H825" s="171"/>
      <c r="Q825" s="160"/>
      <c r="R825" s="160"/>
      <c r="S825" s="171"/>
      <c r="AD825" s="171"/>
      <c r="AE825" s="171"/>
      <c r="AG825"/>
    </row>
    <row r="826" spans="1:33" x14ac:dyDescent="0.25">
      <c r="A826" s="182"/>
      <c r="B826" s="182"/>
      <c r="C826" s="171"/>
      <c r="D826" s="171"/>
      <c r="E826" s="160"/>
      <c r="F826" s="171"/>
      <c r="G826"/>
      <c r="H826"/>
      <c r="Q826" s="160"/>
      <c r="R826" s="160"/>
      <c r="S826" s="171"/>
      <c r="AD826" s="171"/>
      <c r="AE826" s="171"/>
      <c r="AG826"/>
    </row>
    <row r="827" spans="1:33" x14ac:dyDescent="0.25">
      <c r="A827" s="182"/>
      <c r="B827" s="182"/>
      <c r="C827" s="171"/>
      <c r="D827" s="171"/>
      <c r="E827" s="160"/>
      <c r="F827" s="171"/>
      <c r="G827"/>
      <c r="H827"/>
      <c r="Q827" s="160"/>
      <c r="R827" s="160"/>
      <c r="S827" s="171"/>
      <c r="AD827" s="171"/>
      <c r="AE827" s="171"/>
      <c r="AG827"/>
    </row>
    <row r="828" spans="1:33" x14ac:dyDescent="0.25">
      <c r="A828" s="182"/>
      <c r="B828" s="182"/>
      <c r="C828" s="171"/>
      <c r="D828" s="171"/>
      <c r="E828" s="160"/>
      <c r="F828" s="171"/>
      <c r="G828" s="171"/>
      <c r="H828" s="171"/>
      <c r="Q828" s="160"/>
      <c r="R828" s="160"/>
      <c r="S828" s="171"/>
      <c r="AD828" s="171"/>
      <c r="AE828" s="171"/>
      <c r="AG828"/>
    </row>
    <row r="829" spans="1:33" x14ac:dyDescent="0.25">
      <c r="A829" s="182"/>
      <c r="B829" s="182"/>
      <c r="C829" s="171"/>
      <c r="D829" s="171"/>
      <c r="E829" s="160"/>
      <c r="F829" s="171"/>
      <c r="G829"/>
      <c r="H829"/>
      <c r="Q829" s="160"/>
      <c r="R829" s="160"/>
      <c r="S829" s="171"/>
      <c r="AD829" s="171"/>
      <c r="AE829" s="171"/>
      <c r="AG829"/>
    </row>
    <row r="830" spans="1:33" x14ac:dyDescent="0.25">
      <c r="A830" s="182"/>
      <c r="B830" s="182"/>
      <c r="C830" s="171"/>
      <c r="D830" s="171"/>
      <c r="E830" s="160"/>
      <c r="F830" s="171"/>
      <c r="G830" s="171"/>
      <c r="H830"/>
      <c r="Q830" s="160"/>
      <c r="R830" s="160"/>
      <c r="S830" s="171"/>
      <c r="AD830" s="171"/>
      <c r="AE830" s="171"/>
      <c r="AG830"/>
    </row>
    <row r="831" spans="1:33" x14ac:dyDescent="0.25">
      <c r="A831" s="182"/>
      <c r="B831" s="182"/>
      <c r="C831" s="171"/>
      <c r="D831" s="171"/>
      <c r="E831" s="160"/>
      <c r="F831" s="171"/>
      <c r="G831"/>
      <c r="H831"/>
      <c r="Q831" s="160"/>
      <c r="R831" s="160"/>
      <c r="S831" s="171"/>
      <c r="AD831" s="171"/>
      <c r="AE831" s="171"/>
      <c r="AG831"/>
    </row>
    <row r="832" spans="1:33" x14ac:dyDescent="0.25">
      <c r="A832" s="182"/>
      <c r="B832" s="182"/>
      <c r="C832" s="171"/>
      <c r="D832" s="171"/>
      <c r="E832" s="160"/>
      <c r="F832" s="171"/>
      <c r="G832" s="171"/>
      <c r="H832"/>
      <c r="Q832" s="160"/>
      <c r="R832" s="160"/>
      <c r="S832" s="171"/>
      <c r="AD832" s="171"/>
      <c r="AE832" s="171"/>
      <c r="AG832"/>
    </row>
    <row r="833" spans="1:33" x14ac:dyDescent="0.25">
      <c r="A833" s="182"/>
      <c r="B833" s="182"/>
      <c r="C833" s="171"/>
      <c r="D833" s="171"/>
      <c r="E833" s="160"/>
      <c r="F833" s="171"/>
      <c r="G833" s="171"/>
      <c r="H833"/>
      <c r="Q833" s="160"/>
      <c r="R833" s="160"/>
      <c r="S833" s="171"/>
      <c r="AD833" s="171"/>
      <c r="AE833" s="171"/>
      <c r="AG833"/>
    </row>
    <row r="834" spans="1:33" x14ac:dyDescent="0.25">
      <c r="A834" s="182"/>
      <c r="B834" s="182"/>
      <c r="C834" s="171"/>
      <c r="D834" s="171"/>
      <c r="E834" s="160"/>
      <c r="F834" s="171"/>
      <c r="G834" s="171"/>
      <c r="H834"/>
      <c r="Q834" s="160"/>
      <c r="R834" s="160"/>
      <c r="S834" s="171"/>
      <c r="AD834" s="171"/>
      <c r="AE834" s="171"/>
      <c r="AG834"/>
    </row>
    <row r="835" spans="1:33" x14ac:dyDescent="0.25">
      <c r="A835" s="182"/>
      <c r="B835" s="182"/>
      <c r="C835" s="171"/>
      <c r="D835" s="171"/>
      <c r="E835" s="160"/>
      <c r="F835" s="171"/>
      <c r="G835" s="171"/>
      <c r="H835"/>
      <c r="Q835" s="160"/>
      <c r="R835" s="160"/>
      <c r="S835" s="171"/>
      <c r="AD835" s="171"/>
      <c r="AE835" s="171"/>
      <c r="AG835"/>
    </row>
    <row r="836" spans="1:33" x14ac:dyDescent="0.25">
      <c r="A836" s="182"/>
      <c r="B836" s="182"/>
      <c r="C836" s="171"/>
      <c r="D836" s="171"/>
      <c r="E836" s="160"/>
      <c r="F836" s="171"/>
      <c r="G836" s="171"/>
      <c r="H836"/>
      <c r="Q836" s="160"/>
      <c r="R836" s="160"/>
      <c r="S836" s="171"/>
      <c r="AD836" s="171"/>
      <c r="AE836" s="171"/>
      <c r="AG836"/>
    </row>
    <row r="837" spans="1:33" x14ac:dyDescent="0.25">
      <c r="A837" s="182"/>
      <c r="B837" s="182"/>
      <c r="C837" s="171"/>
      <c r="D837" s="171"/>
      <c r="E837" s="160"/>
      <c r="F837" s="171"/>
      <c r="G837"/>
      <c r="H837"/>
      <c r="Q837" s="160"/>
      <c r="R837" s="160"/>
      <c r="S837" s="171"/>
      <c r="AD837" s="171"/>
      <c r="AE837" s="171"/>
      <c r="AG837"/>
    </row>
    <row r="838" spans="1:33" x14ac:dyDescent="0.25">
      <c r="A838" s="182"/>
      <c r="B838" s="182"/>
      <c r="C838" s="171"/>
      <c r="D838" s="171"/>
      <c r="E838" s="160"/>
      <c r="F838" s="171"/>
      <c r="G838" s="171"/>
      <c r="H838"/>
      <c r="Q838" s="160"/>
      <c r="R838" s="160"/>
      <c r="S838" s="171"/>
      <c r="AD838" s="171"/>
      <c r="AE838" s="171"/>
      <c r="AG838"/>
    </row>
    <row r="839" spans="1:33" x14ac:dyDescent="0.25">
      <c r="A839" s="182"/>
      <c r="B839" s="182"/>
      <c r="C839" s="171"/>
      <c r="D839" s="171"/>
      <c r="E839" s="160"/>
      <c r="F839" s="171"/>
      <c r="G839" s="171"/>
      <c r="H839"/>
      <c r="Q839" s="160"/>
      <c r="R839" s="160"/>
      <c r="S839" s="171"/>
      <c r="AD839" s="171"/>
      <c r="AE839" s="171"/>
      <c r="AG839"/>
    </row>
    <row r="840" spans="1:33" x14ac:dyDescent="0.25">
      <c r="A840" s="182"/>
      <c r="B840" s="182"/>
      <c r="C840" s="171"/>
      <c r="D840" s="171"/>
      <c r="E840" s="160"/>
      <c r="F840" s="171"/>
      <c r="G840" s="171"/>
      <c r="H840"/>
      <c r="Q840" s="160"/>
      <c r="R840" s="160"/>
      <c r="S840" s="171"/>
      <c r="AD840" s="171"/>
      <c r="AE840" s="171"/>
      <c r="AG840"/>
    </row>
    <row r="841" spans="1:33" x14ac:dyDescent="0.25">
      <c r="A841" s="182"/>
      <c r="B841" s="182"/>
      <c r="C841" s="171"/>
      <c r="D841" s="171"/>
      <c r="E841" s="160"/>
      <c r="F841" s="171"/>
      <c r="G841" s="171"/>
      <c r="H841"/>
      <c r="Q841" s="160"/>
      <c r="R841" s="160"/>
      <c r="S841" s="171"/>
      <c r="AD841" s="171"/>
      <c r="AE841" s="171"/>
      <c r="AG841"/>
    </row>
    <row r="842" spans="1:33" x14ac:dyDescent="0.25">
      <c r="A842" s="182"/>
      <c r="B842" s="182"/>
      <c r="C842" s="171"/>
      <c r="D842" s="171"/>
      <c r="E842" s="160"/>
      <c r="F842" s="171"/>
      <c r="G842" s="171"/>
      <c r="H842"/>
      <c r="Q842" s="160"/>
      <c r="R842" s="160"/>
      <c r="S842" s="171"/>
      <c r="AD842" s="171"/>
      <c r="AE842" s="171"/>
      <c r="AG842"/>
    </row>
    <row r="843" spans="1:33" x14ac:dyDescent="0.25">
      <c r="A843" s="182"/>
      <c r="B843" s="182"/>
      <c r="C843" s="171"/>
      <c r="D843" s="171"/>
      <c r="E843" s="160"/>
      <c r="F843" s="171"/>
      <c r="G843" s="171"/>
      <c r="H843"/>
      <c r="Q843" s="160"/>
      <c r="R843" s="160"/>
      <c r="S843" s="171"/>
      <c r="AD843" s="171"/>
      <c r="AE843" s="171"/>
      <c r="AG843"/>
    </row>
    <row r="844" spans="1:33" x14ac:dyDescent="0.25">
      <c r="A844" s="182"/>
      <c r="B844" s="182"/>
      <c r="C844" s="171"/>
      <c r="D844" s="171"/>
      <c r="E844" s="160"/>
      <c r="F844" s="171"/>
      <c r="G844"/>
      <c r="H844"/>
      <c r="Q844" s="160"/>
      <c r="R844" s="160"/>
      <c r="S844" s="171"/>
      <c r="AD844" s="171"/>
      <c r="AE844" s="171"/>
      <c r="AG844"/>
    </row>
    <row r="845" spans="1:33" x14ac:dyDescent="0.25">
      <c r="A845" s="182"/>
      <c r="B845" s="182"/>
      <c r="C845" s="171"/>
      <c r="D845" s="171"/>
      <c r="E845" s="160"/>
      <c r="F845" s="171"/>
      <c r="G845" s="171"/>
      <c r="H845"/>
      <c r="Q845" s="160"/>
      <c r="R845" s="160"/>
      <c r="S845" s="171"/>
      <c r="AD845" s="171"/>
      <c r="AE845" s="171"/>
      <c r="AG845"/>
    </row>
    <row r="846" spans="1:33" x14ac:dyDescent="0.25">
      <c r="A846" s="182"/>
      <c r="B846" s="182"/>
      <c r="C846" s="171"/>
      <c r="D846" s="171"/>
      <c r="E846" s="160"/>
      <c r="F846" s="171"/>
      <c r="G846" s="171"/>
      <c r="H846"/>
      <c r="Q846" s="160"/>
      <c r="R846" s="160"/>
      <c r="S846" s="171"/>
      <c r="AD846" s="171"/>
      <c r="AE846" s="171"/>
      <c r="AG846"/>
    </row>
    <row r="847" spans="1:33" x14ac:dyDescent="0.25">
      <c r="A847" s="182"/>
      <c r="B847" s="182"/>
      <c r="C847" s="171"/>
      <c r="D847" s="171"/>
      <c r="E847" s="160"/>
      <c r="F847" s="171"/>
      <c r="G847" s="171"/>
      <c r="H847"/>
      <c r="Q847" s="160"/>
      <c r="R847" s="160"/>
      <c r="S847" s="171"/>
      <c r="AD847" s="171"/>
      <c r="AE847" s="171"/>
      <c r="AG847"/>
    </row>
    <row r="848" spans="1:33" x14ac:dyDescent="0.25">
      <c r="A848" s="182"/>
      <c r="B848" s="182"/>
      <c r="C848" s="171"/>
      <c r="D848" s="171"/>
      <c r="E848" s="160"/>
      <c r="F848" s="171"/>
      <c r="G848" s="171"/>
      <c r="H848"/>
      <c r="Q848" s="160"/>
      <c r="R848" s="160"/>
      <c r="S848" s="171"/>
      <c r="AD848" s="171"/>
      <c r="AE848" s="171"/>
      <c r="AG848"/>
    </row>
    <row r="849" spans="1:33" x14ac:dyDescent="0.25">
      <c r="A849" s="182"/>
      <c r="B849" s="182"/>
      <c r="C849" s="171"/>
      <c r="D849" s="171"/>
      <c r="E849" s="160"/>
      <c r="F849" s="171"/>
      <c r="G849" s="171"/>
      <c r="H849"/>
      <c r="Q849" s="160"/>
      <c r="R849" s="160"/>
      <c r="S849" s="171"/>
      <c r="AD849" s="171"/>
      <c r="AE849" s="171"/>
      <c r="AG849"/>
    </row>
    <row r="850" spans="1:33" x14ac:dyDescent="0.25">
      <c r="A850" s="182"/>
      <c r="B850" s="182"/>
      <c r="C850" s="171"/>
      <c r="D850" s="171"/>
      <c r="E850" s="160"/>
      <c r="F850" s="171"/>
      <c r="G850" s="171"/>
      <c r="H850"/>
      <c r="Q850" s="160"/>
      <c r="R850" s="160"/>
      <c r="S850" s="171"/>
      <c r="AD850" s="171"/>
      <c r="AE850" s="171"/>
      <c r="AG850"/>
    </row>
    <row r="851" spans="1:33" x14ac:dyDescent="0.25">
      <c r="A851" s="182"/>
      <c r="B851" s="182"/>
      <c r="C851" s="171"/>
      <c r="D851" s="171"/>
      <c r="E851" s="160"/>
      <c r="F851" s="171"/>
      <c r="G851" s="171"/>
      <c r="H851"/>
      <c r="Q851" s="160"/>
      <c r="R851" s="160"/>
      <c r="S851" s="171"/>
      <c r="AD851" s="171"/>
      <c r="AE851" s="171"/>
      <c r="AG851"/>
    </row>
    <row r="852" spans="1:33" x14ac:dyDescent="0.25">
      <c r="A852" s="182"/>
      <c r="B852" s="182"/>
      <c r="C852" s="171"/>
      <c r="D852" s="171"/>
      <c r="E852" s="160"/>
      <c r="F852" s="171"/>
      <c r="G852" s="171"/>
      <c r="H852"/>
      <c r="Q852" s="160"/>
      <c r="R852" s="160"/>
      <c r="S852" s="171"/>
      <c r="AD852" s="171"/>
      <c r="AE852" s="171"/>
      <c r="AG852"/>
    </row>
    <row r="853" spans="1:33" x14ac:dyDescent="0.25">
      <c r="A853" s="182"/>
      <c r="B853" s="182"/>
      <c r="C853" s="171"/>
      <c r="D853" s="171"/>
      <c r="E853" s="160"/>
      <c r="F853" s="171"/>
      <c r="G853"/>
      <c r="H853"/>
      <c r="Q853" s="160"/>
      <c r="R853" s="160"/>
      <c r="S853" s="171"/>
      <c r="AD853" s="171"/>
      <c r="AE853" s="171"/>
      <c r="AG853"/>
    </row>
    <row r="854" spans="1:33" x14ac:dyDescent="0.25">
      <c r="A854" s="182"/>
      <c r="B854" s="182"/>
      <c r="C854" s="171"/>
      <c r="D854" s="171"/>
      <c r="E854" s="160"/>
      <c r="F854" s="171"/>
      <c r="G854"/>
      <c r="H854"/>
      <c r="Q854" s="160"/>
      <c r="R854" s="160"/>
      <c r="S854" s="171"/>
      <c r="AD854" s="171"/>
      <c r="AE854" s="171"/>
      <c r="AG854"/>
    </row>
    <row r="855" spans="1:33" x14ac:dyDescent="0.25">
      <c r="A855" s="182"/>
      <c r="B855" s="182"/>
      <c r="C855" s="171"/>
      <c r="D855" s="171"/>
      <c r="E855" s="160"/>
      <c r="F855" s="171"/>
      <c r="G855"/>
      <c r="H855"/>
      <c r="Q855" s="160"/>
      <c r="R855" s="160"/>
      <c r="S855" s="171"/>
      <c r="AD855" s="171"/>
      <c r="AE855" s="171"/>
      <c r="AG855"/>
    </row>
    <row r="856" spans="1:33" x14ac:dyDescent="0.25">
      <c r="A856" s="182"/>
      <c r="B856" s="182"/>
      <c r="C856" s="171"/>
      <c r="D856" s="171"/>
      <c r="E856" s="160"/>
      <c r="F856" s="171"/>
      <c r="G856" s="171"/>
      <c r="H856"/>
      <c r="Q856" s="160"/>
      <c r="R856" s="160"/>
      <c r="S856" s="171"/>
      <c r="AD856" s="171"/>
      <c r="AE856" s="171"/>
      <c r="AG856"/>
    </row>
    <row r="857" spans="1:33" x14ac:dyDescent="0.25">
      <c r="A857" s="182"/>
      <c r="B857" s="182"/>
      <c r="C857" s="171"/>
      <c r="D857" s="171"/>
      <c r="E857" s="160"/>
      <c r="F857" s="171"/>
      <c r="G857" s="171"/>
      <c r="H857"/>
      <c r="Q857" s="160"/>
      <c r="R857" s="160"/>
      <c r="S857" s="171"/>
      <c r="AD857" s="171"/>
      <c r="AE857" s="171"/>
      <c r="AG857"/>
    </row>
    <row r="858" spans="1:33" x14ac:dyDescent="0.25">
      <c r="A858" s="182"/>
      <c r="B858" s="182"/>
      <c r="C858" s="171"/>
      <c r="D858" s="171"/>
      <c r="E858" s="160"/>
      <c r="F858" s="171"/>
      <c r="G858" s="171"/>
      <c r="H858" s="171"/>
      <c r="Q858" s="160"/>
      <c r="R858" s="160"/>
      <c r="S858" s="171"/>
      <c r="AD858" s="171"/>
      <c r="AE858" s="171"/>
      <c r="AG858"/>
    </row>
    <row r="859" spans="1:33" x14ac:dyDescent="0.25">
      <c r="A859" s="182"/>
      <c r="B859" s="182"/>
      <c r="C859" s="171"/>
      <c r="D859" s="171"/>
      <c r="E859" s="160"/>
      <c r="F859" s="171"/>
      <c r="G859" s="171"/>
      <c r="H859"/>
      <c r="Q859" s="160"/>
      <c r="R859" s="160"/>
      <c r="S859" s="171"/>
      <c r="AD859" s="171"/>
      <c r="AE859" s="171"/>
      <c r="AG859"/>
    </row>
    <row r="860" spans="1:33" x14ac:dyDescent="0.25">
      <c r="A860" s="182"/>
      <c r="B860" s="182"/>
      <c r="C860" s="171"/>
      <c r="D860" s="171"/>
      <c r="E860" s="160"/>
      <c r="F860" s="171"/>
      <c r="G860"/>
      <c r="H860"/>
      <c r="Q860" s="160"/>
      <c r="R860" s="160"/>
      <c r="S860" s="171"/>
      <c r="AD860" s="171"/>
      <c r="AE860" s="171"/>
      <c r="AG860"/>
    </row>
    <row r="861" spans="1:33" x14ac:dyDescent="0.25">
      <c r="A861" s="182"/>
      <c r="B861" s="182"/>
      <c r="C861" s="171"/>
      <c r="D861" s="171"/>
      <c r="E861" s="160"/>
      <c r="F861" s="171"/>
      <c r="G861" s="171"/>
      <c r="H861"/>
      <c r="Q861" s="160"/>
      <c r="R861" s="160"/>
      <c r="S861" s="171"/>
      <c r="AD861" s="171"/>
      <c r="AE861" s="171"/>
      <c r="AG861"/>
    </row>
    <row r="862" spans="1:33" x14ac:dyDescent="0.25">
      <c r="A862" s="182"/>
      <c r="B862" s="182"/>
      <c r="C862" s="171"/>
      <c r="D862" s="171"/>
      <c r="E862" s="160"/>
      <c r="F862" s="171"/>
      <c r="G862" s="171"/>
      <c r="H862"/>
      <c r="Q862" s="160"/>
      <c r="R862" s="160"/>
      <c r="S862" s="171"/>
      <c r="AD862" s="171"/>
      <c r="AE862" s="171"/>
      <c r="AG862"/>
    </row>
    <row r="863" spans="1:33" x14ac:dyDescent="0.25">
      <c r="A863" s="182"/>
      <c r="B863" s="182"/>
      <c r="C863" s="171"/>
      <c r="D863" s="171"/>
      <c r="E863" s="160"/>
      <c r="F863" s="171"/>
      <c r="G863" s="171"/>
      <c r="H863"/>
      <c r="Q863" s="160"/>
      <c r="R863" s="160"/>
      <c r="S863" s="171"/>
      <c r="AD863" s="171"/>
      <c r="AE863" s="171"/>
      <c r="AG863"/>
    </row>
    <row r="864" spans="1:33" x14ac:dyDescent="0.25">
      <c r="A864" s="182"/>
      <c r="B864" s="182"/>
      <c r="C864" s="171"/>
      <c r="D864" s="171"/>
      <c r="E864" s="160"/>
      <c r="F864" s="171"/>
      <c r="G864" s="171"/>
      <c r="H864"/>
      <c r="Q864" s="160"/>
      <c r="R864" s="160"/>
      <c r="S864" s="171"/>
      <c r="AD864" s="171"/>
      <c r="AE864" s="171"/>
      <c r="AG864"/>
    </row>
    <row r="865" spans="1:33" x14ac:dyDescent="0.25">
      <c r="A865" s="182"/>
      <c r="B865" s="182"/>
      <c r="C865" s="171"/>
      <c r="D865" s="171"/>
      <c r="E865" s="160"/>
      <c r="F865" s="171"/>
      <c r="G865" s="171"/>
      <c r="H865"/>
      <c r="Q865" s="160"/>
      <c r="R865" s="160"/>
      <c r="S865" s="171"/>
      <c r="AD865" s="171"/>
      <c r="AE865" s="171"/>
      <c r="AG865"/>
    </row>
    <row r="866" spans="1:33" x14ac:dyDescent="0.25">
      <c r="A866" s="182"/>
      <c r="B866" s="182"/>
      <c r="C866" s="171"/>
      <c r="D866" s="171"/>
      <c r="E866" s="160"/>
      <c r="F866" s="171"/>
      <c r="G866" s="171"/>
      <c r="H866"/>
      <c r="Q866" s="160"/>
      <c r="R866" s="160"/>
      <c r="S866" s="171"/>
      <c r="AD866" s="171"/>
      <c r="AE866" s="171"/>
      <c r="AG866"/>
    </row>
    <row r="867" spans="1:33" x14ac:dyDescent="0.25">
      <c r="A867" s="182"/>
      <c r="B867" s="182"/>
      <c r="C867" s="171"/>
      <c r="D867" s="171"/>
      <c r="E867" s="160"/>
      <c r="F867" s="171"/>
      <c r="G867" s="171"/>
      <c r="H867"/>
      <c r="Q867" s="160"/>
      <c r="R867" s="160"/>
      <c r="S867" s="171"/>
      <c r="AD867" s="171"/>
      <c r="AE867" s="171"/>
      <c r="AG867"/>
    </row>
    <row r="868" spans="1:33" x14ac:dyDescent="0.25">
      <c r="A868" s="182"/>
      <c r="B868" s="182"/>
      <c r="C868" s="171"/>
      <c r="D868" s="171"/>
      <c r="E868" s="160"/>
      <c r="F868" s="171"/>
      <c r="G868" s="171"/>
      <c r="H868" s="171"/>
      <c r="Q868" s="160"/>
      <c r="R868" s="160"/>
      <c r="S868" s="171"/>
      <c r="AD868" s="171"/>
      <c r="AE868" s="171"/>
      <c r="AG868"/>
    </row>
    <row r="869" spans="1:33" x14ac:dyDescent="0.25">
      <c r="A869" s="182"/>
      <c r="B869" s="182"/>
      <c r="C869" s="171"/>
      <c r="D869" s="171"/>
      <c r="E869" s="160"/>
      <c r="F869" s="171"/>
      <c r="G869" s="171"/>
      <c r="H869"/>
      <c r="Q869" s="160"/>
      <c r="R869" s="160"/>
      <c r="S869" s="171"/>
      <c r="AD869" s="171"/>
      <c r="AE869" s="171"/>
      <c r="AG869"/>
    </row>
    <row r="870" spans="1:33" x14ac:dyDescent="0.25">
      <c r="A870" s="182"/>
      <c r="B870" s="182"/>
      <c r="C870" s="171"/>
      <c r="D870" s="171"/>
      <c r="E870" s="160"/>
      <c r="F870" s="171"/>
      <c r="G870" s="171"/>
      <c r="H870"/>
      <c r="Q870" s="160"/>
      <c r="R870" s="160"/>
      <c r="S870" s="171"/>
      <c r="AD870" s="171"/>
      <c r="AE870" s="171"/>
      <c r="AG870"/>
    </row>
    <row r="871" spans="1:33" x14ac:dyDescent="0.25">
      <c r="A871" s="182"/>
      <c r="B871" s="182"/>
      <c r="C871" s="171"/>
      <c r="D871" s="171"/>
      <c r="E871" s="160"/>
      <c r="F871" s="171"/>
      <c r="G871"/>
      <c r="H871"/>
      <c r="Q871" s="160"/>
      <c r="R871" s="160"/>
      <c r="S871" s="171"/>
      <c r="AD871" s="171"/>
      <c r="AE871" s="171"/>
      <c r="AG871"/>
    </row>
    <row r="872" spans="1:33" x14ac:dyDescent="0.25">
      <c r="A872" s="182"/>
      <c r="B872" s="182"/>
      <c r="C872" s="171"/>
      <c r="D872" s="171"/>
      <c r="E872" s="160"/>
      <c r="F872" s="171"/>
      <c r="G872"/>
      <c r="H872"/>
      <c r="Q872" s="160"/>
      <c r="R872" s="160"/>
      <c r="S872" s="171"/>
      <c r="AD872" s="171"/>
      <c r="AE872" s="171"/>
      <c r="AG872"/>
    </row>
    <row r="873" spans="1:33" x14ac:dyDescent="0.25">
      <c r="A873" s="182"/>
      <c r="B873" s="182"/>
      <c r="C873" s="171"/>
      <c r="D873" s="171"/>
      <c r="E873" s="160"/>
      <c r="F873" s="171"/>
      <c r="G873"/>
      <c r="H873"/>
      <c r="Q873" s="160"/>
      <c r="R873" s="160"/>
      <c r="S873" s="171"/>
      <c r="AD873" s="171"/>
      <c r="AE873" s="171"/>
      <c r="AG873"/>
    </row>
    <row r="874" spans="1:33" x14ac:dyDescent="0.25">
      <c r="A874" s="182"/>
      <c r="B874" s="182"/>
      <c r="C874" s="171"/>
      <c r="D874" s="171"/>
      <c r="E874" s="160"/>
      <c r="F874" s="171"/>
      <c r="G874" s="171"/>
      <c r="H874" s="171"/>
      <c r="Q874" s="160"/>
      <c r="R874" s="160"/>
      <c r="S874" s="171"/>
      <c r="AD874" s="171"/>
      <c r="AE874" s="171"/>
      <c r="AG874"/>
    </row>
    <row r="875" spans="1:33" x14ac:dyDescent="0.25">
      <c r="A875" s="182"/>
      <c r="B875" s="182"/>
      <c r="C875" s="171"/>
      <c r="D875" s="171"/>
      <c r="E875" s="160"/>
      <c r="F875" s="171"/>
      <c r="G875" s="171"/>
      <c r="H875"/>
      <c r="Q875" s="160"/>
      <c r="R875" s="160"/>
      <c r="S875" s="171"/>
      <c r="AD875" s="171"/>
      <c r="AE875" s="171"/>
      <c r="AG875"/>
    </row>
    <row r="876" spans="1:33" x14ac:dyDescent="0.25">
      <c r="A876" s="182"/>
      <c r="B876" s="182"/>
      <c r="C876" s="171"/>
      <c r="D876" s="171"/>
      <c r="E876" s="160"/>
      <c r="F876" s="171"/>
      <c r="G876" s="171"/>
      <c r="H876"/>
      <c r="Q876" s="160"/>
      <c r="R876" s="160"/>
      <c r="S876" s="171"/>
      <c r="AD876" s="171"/>
      <c r="AE876" s="171"/>
      <c r="AG876"/>
    </row>
    <row r="877" spans="1:33" x14ac:dyDescent="0.25">
      <c r="A877" s="182"/>
      <c r="B877" s="182"/>
      <c r="C877" s="171"/>
      <c r="D877" s="171"/>
      <c r="E877" s="160"/>
      <c r="F877" s="171"/>
      <c r="G877"/>
      <c r="H877"/>
      <c r="Q877" s="160"/>
      <c r="R877" s="160"/>
      <c r="S877" s="171"/>
      <c r="AD877" s="171"/>
      <c r="AE877" s="171"/>
      <c r="AG877"/>
    </row>
    <row r="878" spans="1:33" x14ac:dyDescent="0.25">
      <c r="A878" s="182"/>
      <c r="B878" s="182"/>
      <c r="C878" s="171"/>
      <c r="D878" s="171"/>
      <c r="E878" s="160"/>
      <c r="F878" s="171"/>
      <c r="G878" s="171"/>
      <c r="H878"/>
      <c r="Q878" s="160"/>
      <c r="R878" s="160"/>
      <c r="S878" s="171"/>
      <c r="AD878" s="171"/>
      <c r="AE878" s="171"/>
      <c r="AG878"/>
    </row>
    <row r="879" spans="1:33" x14ac:dyDescent="0.25">
      <c r="A879" s="182"/>
      <c r="B879" s="182"/>
      <c r="C879" s="171"/>
      <c r="D879" s="171"/>
      <c r="E879" s="160"/>
      <c r="F879" s="171"/>
      <c r="G879" s="171"/>
      <c r="H879"/>
      <c r="Q879" s="160"/>
      <c r="R879" s="160"/>
      <c r="S879" s="171"/>
      <c r="AD879" s="171"/>
      <c r="AE879" s="171"/>
      <c r="AG879"/>
    </row>
    <row r="880" spans="1:33" x14ac:dyDescent="0.25">
      <c r="A880" s="182"/>
      <c r="B880" s="182"/>
      <c r="C880" s="171"/>
      <c r="D880" s="171"/>
      <c r="E880" s="160"/>
      <c r="F880" s="171"/>
      <c r="G880" s="171"/>
      <c r="H880"/>
      <c r="Q880" s="160"/>
      <c r="R880" s="160"/>
      <c r="S880" s="171"/>
      <c r="AD880" s="171"/>
      <c r="AE880" s="171"/>
      <c r="AG880"/>
    </row>
    <row r="881" spans="1:33" x14ac:dyDescent="0.25">
      <c r="A881" s="182"/>
      <c r="B881" s="182"/>
      <c r="C881" s="171"/>
      <c r="D881" s="171"/>
      <c r="E881" s="160"/>
      <c r="F881" s="171"/>
      <c r="G881" s="171"/>
      <c r="H881"/>
      <c r="Q881" s="160"/>
      <c r="R881" s="160"/>
      <c r="S881" s="171"/>
      <c r="AD881" s="171"/>
      <c r="AE881" s="171"/>
      <c r="AG881"/>
    </row>
    <row r="882" spans="1:33" x14ac:dyDescent="0.25">
      <c r="A882" s="182"/>
      <c r="B882" s="182"/>
      <c r="C882" s="171"/>
      <c r="D882" s="171"/>
      <c r="E882" s="160"/>
      <c r="F882" s="171"/>
      <c r="G882" s="171"/>
      <c r="H882"/>
      <c r="Q882" s="160"/>
      <c r="R882" s="160"/>
      <c r="S882" s="171"/>
      <c r="AD882" s="171"/>
      <c r="AE882" s="171"/>
      <c r="AG882"/>
    </row>
    <row r="883" spans="1:33" x14ac:dyDescent="0.25">
      <c r="A883" s="182"/>
      <c r="B883" s="182"/>
      <c r="C883" s="171"/>
      <c r="D883" s="171"/>
      <c r="E883" s="160"/>
      <c r="F883" s="171"/>
      <c r="G883"/>
      <c r="H883"/>
      <c r="Q883" s="160"/>
      <c r="R883" s="160"/>
      <c r="S883" s="171"/>
      <c r="AD883" s="171"/>
      <c r="AE883" s="171"/>
      <c r="AG883"/>
    </row>
    <row r="884" spans="1:33" x14ac:dyDescent="0.25">
      <c r="A884" s="182"/>
      <c r="B884" s="182"/>
      <c r="C884" s="171"/>
      <c r="D884" s="171"/>
      <c r="E884" s="160"/>
      <c r="F884" s="171"/>
      <c r="G884" s="171"/>
      <c r="H884"/>
      <c r="Q884" s="160"/>
      <c r="R884" s="160"/>
      <c r="S884" s="171"/>
      <c r="AD884" s="171"/>
      <c r="AE884" s="171"/>
      <c r="AG884"/>
    </row>
    <row r="885" spans="1:33" x14ac:dyDescent="0.25">
      <c r="A885" s="182"/>
      <c r="B885" s="182"/>
      <c r="C885" s="171"/>
      <c r="D885" s="171"/>
      <c r="E885" s="160"/>
      <c r="F885" s="171"/>
      <c r="G885"/>
      <c r="H885"/>
      <c r="Q885" s="160"/>
      <c r="R885" s="160"/>
      <c r="S885" s="171"/>
      <c r="AD885" s="171"/>
      <c r="AE885" s="171"/>
      <c r="AG885"/>
    </row>
    <row r="886" spans="1:33" x14ac:dyDescent="0.25">
      <c r="A886" s="182"/>
      <c r="B886" s="182"/>
      <c r="C886" s="171"/>
      <c r="D886" s="171"/>
      <c r="E886" s="160"/>
      <c r="F886" s="171"/>
      <c r="G886" s="171"/>
      <c r="H886"/>
      <c r="Q886" s="160"/>
      <c r="R886" s="160"/>
      <c r="S886" s="171"/>
      <c r="AD886" s="171"/>
      <c r="AE886" s="171"/>
      <c r="AG886"/>
    </row>
    <row r="887" spans="1:33" x14ac:dyDescent="0.25">
      <c r="A887" s="182"/>
      <c r="B887" s="182"/>
      <c r="C887" s="171"/>
      <c r="D887" s="171"/>
      <c r="E887" s="160"/>
      <c r="F887" s="171"/>
      <c r="G887" s="171"/>
      <c r="H887"/>
      <c r="Q887" s="160"/>
      <c r="R887" s="160"/>
      <c r="S887" s="171"/>
      <c r="AD887" s="171"/>
      <c r="AE887" s="171"/>
      <c r="AG887"/>
    </row>
    <row r="888" spans="1:33" x14ac:dyDescent="0.25">
      <c r="A888" s="182"/>
      <c r="B888" s="182"/>
      <c r="C888" s="171"/>
      <c r="D888" s="171"/>
      <c r="E888" s="160"/>
      <c r="F888" s="171"/>
      <c r="G888" s="171"/>
      <c r="H888"/>
      <c r="Q888" s="160"/>
      <c r="R888" s="160"/>
      <c r="S888" s="171"/>
      <c r="AD888" s="171"/>
      <c r="AE888" s="171"/>
      <c r="AG888"/>
    </row>
    <row r="889" spans="1:33" x14ac:dyDescent="0.25">
      <c r="A889" s="182"/>
      <c r="B889" s="182"/>
      <c r="C889" s="171"/>
      <c r="D889" s="171"/>
      <c r="E889" s="160"/>
      <c r="F889" s="171"/>
      <c r="G889"/>
      <c r="H889"/>
      <c r="Q889" s="160"/>
      <c r="R889" s="160"/>
      <c r="S889" s="171"/>
      <c r="AD889" s="171"/>
      <c r="AE889" s="171"/>
      <c r="AG889"/>
    </row>
    <row r="890" spans="1:33" x14ac:dyDescent="0.25">
      <c r="A890" s="182"/>
      <c r="B890" s="182"/>
      <c r="C890" s="171"/>
      <c r="D890" s="171"/>
      <c r="E890" s="160"/>
      <c r="F890" s="171"/>
      <c r="G890" s="171"/>
      <c r="H890"/>
      <c r="Q890" s="160"/>
      <c r="R890" s="160"/>
      <c r="S890" s="171"/>
      <c r="AD890" s="171"/>
      <c r="AE890" s="171"/>
      <c r="AG890"/>
    </row>
    <row r="891" spans="1:33" x14ac:dyDescent="0.25">
      <c r="A891" s="182"/>
      <c r="B891" s="182"/>
      <c r="C891" s="171"/>
      <c r="D891" s="171"/>
      <c r="E891" s="160"/>
      <c r="F891" s="171"/>
      <c r="G891" s="171"/>
      <c r="H891"/>
      <c r="Q891" s="160"/>
      <c r="R891" s="160"/>
      <c r="S891" s="171"/>
      <c r="AD891" s="171"/>
      <c r="AE891" s="171"/>
      <c r="AG891"/>
    </row>
    <row r="892" spans="1:33" x14ac:dyDescent="0.25">
      <c r="A892" s="182"/>
      <c r="B892" s="182"/>
      <c r="C892" s="171"/>
      <c r="D892" s="171"/>
      <c r="E892" s="160"/>
      <c r="F892" s="171"/>
      <c r="G892" s="171"/>
      <c r="H892"/>
      <c r="Q892" s="160"/>
      <c r="R892" s="160"/>
      <c r="S892" s="171"/>
      <c r="AD892" s="171"/>
      <c r="AE892" s="171"/>
      <c r="AG892"/>
    </row>
    <row r="893" spans="1:33" x14ac:dyDescent="0.25">
      <c r="A893" s="182"/>
      <c r="B893" s="182"/>
      <c r="C893" s="171"/>
      <c r="D893" s="171"/>
      <c r="E893" s="160"/>
      <c r="F893" s="171"/>
      <c r="G893" s="171"/>
      <c r="H893"/>
      <c r="Q893" s="160"/>
      <c r="R893" s="160"/>
      <c r="S893" s="171"/>
      <c r="AD893" s="171"/>
      <c r="AE893" s="171"/>
      <c r="AG893"/>
    </row>
    <row r="894" spans="1:33" x14ac:dyDescent="0.25">
      <c r="A894" s="182"/>
      <c r="B894" s="182"/>
      <c r="C894" s="171"/>
      <c r="D894" s="171"/>
      <c r="E894" s="160"/>
      <c r="F894" s="171"/>
      <c r="G894" s="171"/>
      <c r="H894"/>
      <c r="Q894" s="160"/>
      <c r="R894" s="160"/>
      <c r="S894" s="171"/>
      <c r="AD894" s="171"/>
      <c r="AE894" s="171"/>
      <c r="AG894"/>
    </row>
    <row r="895" spans="1:33" x14ac:dyDescent="0.25">
      <c r="A895" s="182"/>
      <c r="B895" s="182"/>
      <c r="C895" s="171"/>
      <c r="D895" s="171"/>
      <c r="E895" s="160"/>
      <c r="F895" s="171"/>
      <c r="G895" s="171"/>
      <c r="H895"/>
      <c r="Q895" s="160"/>
      <c r="R895" s="160"/>
      <c r="S895" s="171"/>
      <c r="AD895" s="171"/>
      <c r="AE895" s="171"/>
      <c r="AG895"/>
    </row>
    <row r="896" spans="1:33" x14ac:dyDescent="0.25">
      <c r="A896" s="182"/>
      <c r="B896" s="182"/>
      <c r="C896" s="171"/>
      <c r="D896" s="171"/>
      <c r="E896" s="160"/>
      <c r="F896" s="171"/>
      <c r="G896"/>
      <c r="H896"/>
      <c r="Q896" s="160"/>
      <c r="R896" s="160"/>
      <c r="S896" s="171"/>
      <c r="AD896" s="171"/>
      <c r="AE896" s="171"/>
      <c r="AG896"/>
    </row>
    <row r="897" spans="1:33" x14ac:dyDescent="0.25">
      <c r="A897" s="182"/>
      <c r="B897" s="182"/>
      <c r="C897" s="171"/>
      <c r="D897" s="171"/>
      <c r="E897" s="160"/>
      <c r="F897" s="171"/>
      <c r="G897" s="171"/>
      <c r="H897"/>
      <c r="Q897" s="160"/>
      <c r="R897" s="160"/>
      <c r="S897" s="171"/>
      <c r="AD897" s="171"/>
      <c r="AE897" s="171"/>
      <c r="AG897"/>
    </row>
    <row r="898" spans="1:33" x14ac:dyDescent="0.25">
      <c r="A898" s="182"/>
      <c r="B898" s="182"/>
      <c r="C898" s="171"/>
      <c r="D898" s="171"/>
      <c r="E898" s="160"/>
      <c r="F898" s="171"/>
      <c r="G898" s="171"/>
      <c r="H898" s="171"/>
      <c r="Q898" s="160"/>
      <c r="R898" s="160"/>
      <c r="S898" s="171"/>
      <c r="AD898" s="171"/>
      <c r="AE898" s="171"/>
      <c r="AG898"/>
    </row>
    <row r="899" spans="1:33" x14ac:dyDescent="0.25">
      <c r="A899" s="182"/>
      <c r="B899" s="182"/>
      <c r="C899" s="171"/>
      <c r="D899" s="171"/>
      <c r="E899" s="160"/>
      <c r="F899" s="171"/>
      <c r="G899" s="171"/>
      <c r="H899" s="171"/>
      <c r="Q899" s="160"/>
      <c r="R899" s="160"/>
      <c r="S899" s="171"/>
      <c r="AD899" s="171"/>
      <c r="AE899" s="171"/>
      <c r="AG899"/>
    </row>
    <row r="900" spans="1:33" x14ac:dyDescent="0.25">
      <c r="A900" s="182"/>
      <c r="B900" s="182"/>
      <c r="C900" s="171"/>
      <c r="D900" s="171"/>
      <c r="E900" s="160"/>
      <c r="F900" s="171"/>
      <c r="G900"/>
      <c r="H900"/>
      <c r="Q900" s="160"/>
      <c r="R900" s="160"/>
      <c r="S900" s="171"/>
      <c r="AD900" s="171"/>
      <c r="AE900" s="171"/>
      <c r="AG900"/>
    </row>
    <row r="901" spans="1:33" x14ac:dyDescent="0.25">
      <c r="A901" s="182"/>
      <c r="B901" s="182"/>
      <c r="C901" s="171"/>
      <c r="D901" s="171"/>
      <c r="E901" s="160"/>
      <c r="F901" s="171"/>
      <c r="G901" s="171"/>
      <c r="H901"/>
      <c r="Q901" s="160"/>
      <c r="R901" s="160"/>
      <c r="S901" s="171"/>
      <c r="AD901" s="171"/>
      <c r="AE901" s="171"/>
      <c r="AG901"/>
    </row>
    <row r="902" spans="1:33" x14ac:dyDescent="0.25">
      <c r="A902" s="182"/>
      <c r="B902" s="182"/>
      <c r="C902" s="171"/>
      <c r="D902" s="171"/>
      <c r="E902" s="160"/>
      <c r="F902" s="171"/>
      <c r="G902"/>
      <c r="H902"/>
      <c r="Q902" s="160"/>
      <c r="R902" s="160"/>
      <c r="S902" s="171"/>
      <c r="AD902" s="171"/>
      <c r="AE902" s="171"/>
      <c r="AG902"/>
    </row>
    <row r="903" spans="1:33" x14ac:dyDescent="0.25">
      <c r="A903" s="182"/>
      <c r="B903" s="182"/>
      <c r="C903" s="171"/>
      <c r="D903" s="171"/>
      <c r="E903" s="160"/>
      <c r="F903"/>
      <c r="G903"/>
      <c r="H903"/>
      <c r="Q903" s="160"/>
      <c r="R903" s="160"/>
      <c r="S903" s="171"/>
      <c r="AD903" s="171"/>
      <c r="AE903" s="171"/>
      <c r="AG903"/>
    </row>
    <row r="904" spans="1:33" x14ac:dyDescent="0.25">
      <c r="A904" s="182"/>
      <c r="B904" s="182"/>
      <c r="C904" s="171"/>
      <c r="D904" s="171"/>
      <c r="E904" s="160"/>
      <c r="F904" s="171"/>
      <c r="G904"/>
      <c r="H904"/>
      <c r="Q904" s="160"/>
      <c r="R904" s="160"/>
      <c r="S904" s="171"/>
      <c r="AD904" s="171"/>
      <c r="AE904" s="171"/>
      <c r="AG904"/>
    </row>
    <row r="905" spans="1:33" x14ac:dyDescent="0.25">
      <c r="A905" s="182"/>
      <c r="B905" s="182"/>
      <c r="C905" s="171"/>
      <c r="D905" s="171"/>
      <c r="E905" s="160"/>
      <c r="F905" s="171"/>
      <c r="G905"/>
      <c r="H905"/>
      <c r="Q905" s="160"/>
      <c r="R905" s="160"/>
      <c r="S905" s="171"/>
      <c r="AD905" s="171"/>
      <c r="AE905" s="171"/>
      <c r="AG905"/>
    </row>
    <row r="906" spans="1:33" x14ac:dyDescent="0.25">
      <c r="A906" s="182"/>
      <c r="B906" s="182"/>
      <c r="C906" s="171"/>
      <c r="D906" s="171"/>
      <c r="E906" s="160"/>
      <c r="F906" s="171"/>
      <c r="G906"/>
      <c r="H906"/>
      <c r="Q906" s="160"/>
      <c r="R906" s="160"/>
      <c r="S906" s="171"/>
      <c r="AD906" s="171"/>
      <c r="AE906" s="171"/>
      <c r="AG906"/>
    </row>
    <row r="907" spans="1:33" x14ac:dyDescent="0.25">
      <c r="A907" s="182"/>
      <c r="B907" s="182"/>
      <c r="C907" s="171"/>
      <c r="D907" s="171"/>
      <c r="E907" s="160"/>
      <c r="F907" s="171"/>
      <c r="G907" s="171"/>
      <c r="H907"/>
      <c r="Q907" s="160"/>
      <c r="R907" s="160"/>
      <c r="S907" s="171"/>
      <c r="AD907" s="171"/>
      <c r="AE907" s="171"/>
      <c r="AG907"/>
    </row>
    <row r="908" spans="1:33" x14ac:dyDescent="0.25">
      <c r="A908" s="182"/>
      <c r="B908" s="182"/>
      <c r="C908" s="171"/>
      <c r="D908" s="171"/>
      <c r="E908" s="160"/>
      <c r="F908" s="171"/>
      <c r="G908" s="171"/>
      <c r="H908"/>
      <c r="Q908" s="160"/>
      <c r="R908" s="160"/>
      <c r="S908" s="171"/>
      <c r="AD908" s="171"/>
      <c r="AE908" s="171"/>
      <c r="AG908"/>
    </row>
    <row r="909" spans="1:33" x14ac:dyDescent="0.25">
      <c r="A909" s="182"/>
      <c r="B909" s="182"/>
      <c r="C909" s="171"/>
      <c r="D909" s="171"/>
      <c r="E909" s="160"/>
      <c r="F909" s="171"/>
      <c r="G909" s="171"/>
      <c r="H909"/>
      <c r="Q909" s="160"/>
      <c r="R909" s="160"/>
      <c r="S909" s="171"/>
      <c r="AD909" s="171"/>
      <c r="AE909" s="171"/>
      <c r="AG909"/>
    </row>
    <row r="910" spans="1:33" x14ac:dyDescent="0.25">
      <c r="A910" s="182"/>
      <c r="B910" s="182"/>
      <c r="C910" s="171"/>
      <c r="D910" s="171"/>
      <c r="E910" s="160"/>
      <c r="F910" s="171"/>
      <c r="G910" s="171"/>
      <c r="H910"/>
      <c r="Q910" s="160"/>
      <c r="R910" s="160"/>
      <c r="S910" s="171"/>
      <c r="AD910" s="171"/>
      <c r="AE910" s="171"/>
      <c r="AG910"/>
    </row>
    <row r="911" spans="1:33" x14ac:dyDescent="0.25">
      <c r="A911" s="182"/>
      <c r="B911" s="182"/>
      <c r="C911" s="171"/>
      <c r="D911" s="171"/>
      <c r="E911" s="160"/>
      <c r="F911" s="171"/>
      <c r="G911" s="171"/>
      <c r="H911"/>
      <c r="Q911" s="160"/>
      <c r="R911" s="160"/>
      <c r="S911" s="171"/>
      <c r="AD911" s="171"/>
      <c r="AE911" s="171"/>
      <c r="AG911"/>
    </row>
    <row r="912" spans="1:33" x14ac:dyDescent="0.25">
      <c r="A912" s="182"/>
      <c r="B912" s="182"/>
      <c r="C912" s="171"/>
      <c r="D912" s="171"/>
      <c r="E912" s="160"/>
      <c r="F912" s="171"/>
      <c r="G912" s="171"/>
      <c r="H912"/>
      <c r="Q912" s="160"/>
      <c r="R912" s="160"/>
      <c r="S912" s="171"/>
      <c r="AD912" s="171"/>
      <c r="AE912" s="171"/>
      <c r="AG912"/>
    </row>
    <row r="913" spans="1:33" x14ac:dyDescent="0.25">
      <c r="A913" s="182"/>
      <c r="B913" s="182"/>
      <c r="C913" s="171"/>
      <c r="D913" s="171"/>
      <c r="E913" s="160"/>
      <c r="F913" s="171"/>
      <c r="G913" s="171"/>
      <c r="H913"/>
      <c r="Q913" s="160"/>
      <c r="R913" s="160"/>
      <c r="S913" s="171"/>
      <c r="AD913" s="171"/>
      <c r="AE913" s="171"/>
      <c r="AG913"/>
    </row>
    <row r="914" spans="1:33" x14ac:dyDescent="0.25">
      <c r="A914" s="182"/>
      <c r="B914" s="182"/>
      <c r="C914" s="171"/>
      <c r="D914" s="171"/>
      <c r="E914" s="160"/>
      <c r="F914" s="171"/>
      <c r="G914" s="171"/>
      <c r="H914"/>
      <c r="Q914" s="160"/>
      <c r="R914" s="160"/>
      <c r="S914" s="171"/>
      <c r="AD914" s="171"/>
      <c r="AE914" s="171"/>
      <c r="AG914"/>
    </row>
    <row r="915" spans="1:33" x14ac:dyDescent="0.25">
      <c r="A915" s="182"/>
      <c r="B915" s="182"/>
      <c r="C915" s="171"/>
      <c r="D915" s="171"/>
      <c r="E915" s="160"/>
      <c r="F915" s="171"/>
      <c r="G915" s="171"/>
      <c r="H915"/>
      <c r="Q915" s="160"/>
      <c r="R915" s="160"/>
      <c r="S915" s="171"/>
      <c r="AD915" s="171"/>
      <c r="AE915" s="171"/>
      <c r="AG915"/>
    </row>
    <row r="916" spans="1:33" x14ac:dyDescent="0.25">
      <c r="A916" s="182"/>
      <c r="B916" s="182"/>
      <c r="C916" s="171"/>
      <c r="D916" s="171"/>
      <c r="E916" s="160"/>
      <c r="F916" s="171"/>
      <c r="G916" s="171"/>
      <c r="H916"/>
      <c r="Q916" s="160"/>
      <c r="R916" s="160"/>
      <c r="S916" s="171"/>
      <c r="AD916" s="171"/>
      <c r="AE916" s="171"/>
      <c r="AG916"/>
    </row>
    <row r="917" spans="1:33" x14ac:dyDescent="0.25">
      <c r="A917" s="182"/>
      <c r="B917" s="182"/>
      <c r="C917" s="171"/>
      <c r="D917" s="171"/>
      <c r="E917" s="160"/>
      <c r="F917" s="171"/>
      <c r="G917"/>
      <c r="H917"/>
      <c r="Q917" s="160"/>
      <c r="R917" s="160"/>
      <c r="S917" s="171"/>
      <c r="AD917" s="171"/>
      <c r="AE917" s="171"/>
      <c r="AG917"/>
    </row>
    <row r="918" spans="1:33" x14ac:dyDescent="0.25">
      <c r="A918" s="182"/>
      <c r="B918" s="182"/>
      <c r="C918" s="171"/>
      <c r="D918" s="171"/>
      <c r="E918" s="160"/>
      <c r="F918" s="171"/>
      <c r="G918"/>
      <c r="H918"/>
      <c r="Q918" s="160"/>
      <c r="R918" s="160"/>
      <c r="S918" s="171"/>
      <c r="AD918" s="171"/>
      <c r="AE918" s="171"/>
      <c r="AG918"/>
    </row>
    <row r="919" spans="1:33" x14ac:dyDescent="0.25">
      <c r="A919" s="182"/>
      <c r="B919" s="182"/>
      <c r="C919" s="171"/>
      <c r="D919" s="171"/>
      <c r="E919" s="160"/>
      <c r="F919" s="171"/>
      <c r="G919" s="171"/>
      <c r="H919"/>
      <c r="Q919" s="160"/>
      <c r="R919" s="160"/>
      <c r="S919" s="171"/>
      <c r="AD919" s="171"/>
      <c r="AE919" s="171"/>
      <c r="AG919"/>
    </row>
    <row r="920" spans="1:33" x14ac:dyDescent="0.25">
      <c r="A920" s="182"/>
      <c r="B920" s="182"/>
      <c r="C920" s="171"/>
      <c r="D920" s="171"/>
      <c r="E920" s="160"/>
      <c r="F920" s="171"/>
      <c r="G920" s="171"/>
      <c r="H920"/>
      <c r="Q920" s="160"/>
      <c r="R920" s="160"/>
      <c r="S920" s="171"/>
      <c r="AD920" s="171"/>
      <c r="AE920" s="171"/>
      <c r="AG920"/>
    </row>
    <row r="921" spans="1:33" x14ac:dyDescent="0.25">
      <c r="A921" s="182"/>
      <c r="B921" s="182"/>
      <c r="C921" s="171"/>
      <c r="D921" s="171"/>
      <c r="E921" s="160"/>
      <c r="F921" s="171"/>
      <c r="G921"/>
      <c r="H921"/>
      <c r="Q921" s="160"/>
      <c r="R921" s="160"/>
      <c r="S921" s="171"/>
      <c r="AD921" s="171"/>
      <c r="AE921" s="171"/>
      <c r="AG921"/>
    </row>
    <row r="922" spans="1:33" x14ac:dyDescent="0.25">
      <c r="A922" s="182"/>
      <c r="B922" s="182"/>
      <c r="C922" s="171"/>
      <c r="D922" s="171"/>
      <c r="E922" s="160"/>
      <c r="F922" s="171"/>
      <c r="G922"/>
      <c r="H922"/>
      <c r="Q922" s="160"/>
      <c r="R922" s="160"/>
      <c r="S922" s="171"/>
      <c r="AD922" s="171"/>
      <c r="AE922" s="171"/>
      <c r="AG922"/>
    </row>
    <row r="923" spans="1:33" x14ac:dyDescent="0.25">
      <c r="A923" s="182"/>
      <c r="B923" s="182"/>
      <c r="C923" s="171"/>
      <c r="D923" s="171"/>
      <c r="E923" s="160"/>
      <c r="F923" s="171"/>
      <c r="G923" s="171"/>
      <c r="H923"/>
      <c r="Q923" s="160"/>
      <c r="R923" s="160"/>
      <c r="S923" s="171"/>
      <c r="AD923" s="171"/>
      <c r="AE923" s="171"/>
      <c r="AG923"/>
    </row>
    <row r="924" spans="1:33" x14ac:dyDescent="0.25">
      <c r="A924" s="182"/>
      <c r="B924" s="182"/>
      <c r="C924" s="171"/>
      <c r="D924" s="171"/>
      <c r="E924" s="160"/>
      <c r="F924" s="171"/>
      <c r="G924" s="171"/>
      <c r="H924"/>
      <c r="Q924" s="160"/>
      <c r="R924" s="160"/>
      <c r="S924" s="171"/>
      <c r="AD924" s="171"/>
      <c r="AE924" s="171"/>
      <c r="AG924"/>
    </row>
    <row r="925" spans="1:33" x14ac:dyDescent="0.25">
      <c r="A925" s="182"/>
      <c r="B925" s="182"/>
      <c r="C925" s="171"/>
      <c r="D925" s="171"/>
      <c r="E925" s="160"/>
      <c r="F925" s="171"/>
      <c r="G925" s="171"/>
      <c r="H925" s="171"/>
      <c r="Q925" s="160"/>
      <c r="R925" s="160"/>
      <c r="S925" s="171"/>
      <c r="AD925" s="171"/>
      <c r="AE925" s="171"/>
      <c r="AG925"/>
    </row>
    <row r="926" spans="1:33" x14ac:dyDescent="0.25">
      <c r="A926" s="182"/>
      <c r="B926" s="182"/>
      <c r="C926" s="171"/>
      <c r="D926" s="171"/>
      <c r="E926" s="160"/>
      <c r="F926" s="171"/>
      <c r="G926" s="171"/>
      <c r="H926"/>
      <c r="Q926" s="160"/>
      <c r="R926" s="160"/>
      <c r="S926" s="171"/>
      <c r="AD926" s="171"/>
      <c r="AE926" s="171"/>
      <c r="AG926"/>
    </row>
    <row r="927" spans="1:33" x14ac:dyDescent="0.25">
      <c r="A927" s="182"/>
      <c r="B927" s="182"/>
      <c r="C927" s="171"/>
      <c r="D927" s="171"/>
      <c r="E927" s="160"/>
      <c r="F927" s="171"/>
      <c r="G927" s="171"/>
      <c r="H927"/>
      <c r="Q927" s="160"/>
      <c r="R927" s="160"/>
      <c r="S927" s="171"/>
      <c r="AD927" s="171"/>
      <c r="AE927" s="171"/>
      <c r="AG927"/>
    </row>
    <row r="928" spans="1:33" x14ac:dyDescent="0.25">
      <c r="A928" s="182"/>
      <c r="B928" s="182"/>
      <c r="C928" s="171"/>
      <c r="D928" s="171"/>
      <c r="E928" s="160"/>
      <c r="F928" s="171"/>
      <c r="G928" s="171"/>
      <c r="H928" s="171"/>
      <c r="Q928" s="160"/>
      <c r="R928" s="160"/>
      <c r="S928" s="171"/>
      <c r="AD928" s="171"/>
      <c r="AE928" s="171"/>
      <c r="AG928"/>
    </row>
    <row r="929" spans="1:33" x14ac:dyDescent="0.25">
      <c r="A929" s="182"/>
      <c r="B929" s="182"/>
      <c r="C929" s="171"/>
      <c r="D929" s="171"/>
      <c r="E929" s="160"/>
      <c r="F929" s="171"/>
      <c r="G929" s="171"/>
      <c r="H929"/>
      <c r="Q929" s="160"/>
      <c r="R929" s="160"/>
      <c r="S929" s="171"/>
      <c r="AD929" s="171"/>
      <c r="AE929" s="171"/>
      <c r="AG929"/>
    </row>
    <row r="930" spans="1:33" x14ac:dyDescent="0.25">
      <c r="A930" s="182"/>
      <c r="B930" s="182"/>
      <c r="C930" s="171"/>
      <c r="D930" s="171"/>
      <c r="E930" s="160"/>
      <c r="F930" s="171"/>
      <c r="G930" s="171"/>
      <c r="H930"/>
      <c r="Q930" s="160"/>
      <c r="R930" s="160"/>
      <c r="S930" s="171"/>
      <c r="AD930" s="171"/>
      <c r="AE930" s="171"/>
      <c r="AG930"/>
    </row>
    <row r="931" spans="1:33" x14ac:dyDescent="0.25">
      <c r="A931" s="182"/>
      <c r="B931" s="182"/>
      <c r="C931" s="171"/>
      <c r="D931" s="171"/>
      <c r="E931" s="160"/>
      <c r="F931" s="171"/>
      <c r="G931"/>
      <c r="H931"/>
      <c r="Q931" s="160"/>
      <c r="R931" s="160"/>
      <c r="S931" s="171"/>
      <c r="AD931" s="171"/>
      <c r="AE931" s="171"/>
      <c r="AG931"/>
    </row>
    <row r="932" spans="1:33" x14ac:dyDescent="0.25">
      <c r="A932" s="182"/>
      <c r="B932" s="182"/>
      <c r="C932" s="171"/>
      <c r="D932" s="171"/>
      <c r="E932" s="160"/>
      <c r="F932" s="171"/>
      <c r="G932" s="171"/>
      <c r="H932"/>
      <c r="Q932" s="160"/>
      <c r="R932" s="160"/>
      <c r="S932" s="171"/>
      <c r="AD932" s="171"/>
      <c r="AE932" s="171"/>
      <c r="AG932"/>
    </row>
    <row r="933" spans="1:33" x14ac:dyDescent="0.25">
      <c r="A933" s="182"/>
      <c r="B933" s="182"/>
      <c r="C933" s="171"/>
      <c r="D933" s="171"/>
      <c r="E933" s="160"/>
      <c r="F933" s="171"/>
      <c r="G933" s="171"/>
      <c r="H933"/>
      <c r="Q933" s="160"/>
      <c r="R933" s="160"/>
      <c r="S933" s="171"/>
      <c r="AD933" s="171"/>
      <c r="AE933" s="171"/>
      <c r="AG933"/>
    </row>
    <row r="934" spans="1:33" x14ac:dyDescent="0.25">
      <c r="A934" s="182"/>
      <c r="B934" s="182"/>
      <c r="C934" s="171"/>
      <c r="D934" s="171"/>
      <c r="E934" s="160"/>
      <c r="F934" s="171"/>
      <c r="G934" s="171"/>
      <c r="H934"/>
      <c r="Q934" s="160"/>
      <c r="R934" s="160"/>
      <c r="S934" s="171"/>
      <c r="AD934" s="171"/>
      <c r="AE934" s="171"/>
      <c r="AG934"/>
    </row>
    <row r="935" spans="1:33" x14ac:dyDescent="0.25">
      <c r="A935" s="182"/>
      <c r="B935" s="182"/>
      <c r="C935" s="171"/>
      <c r="D935" s="171"/>
      <c r="E935" s="160"/>
      <c r="F935" s="171"/>
      <c r="G935" s="171"/>
      <c r="H935"/>
      <c r="Q935" s="160"/>
      <c r="R935" s="160"/>
      <c r="S935" s="171"/>
      <c r="AD935" s="171"/>
      <c r="AE935" s="171"/>
      <c r="AG935"/>
    </row>
    <row r="936" spans="1:33" x14ac:dyDescent="0.25">
      <c r="A936" s="182"/>
      <c r="B936" s="182"/>
      <c r="C936" s="171"/>
      <c r="D936" s="171"/>
      <c r="E936" s="160"/>
      <c r="F936" s="171"/>
      <c r="G936"/>
      <c r="H936"/>
      <c r="Q936" s="160"/>
      <c r="R936" s="160"/>
      <c r="S936" s="171"/>
      <c r="AD936" s="171"/>
      <c r="AE936" s="171"/>
      <c r="AG936"/>
    </row>
    <row r="937" spans="1:33" x14ac:dyDescent="0.25">
      <c r="A937" s="182"/>
      <c r="B937" s="182"/>
      <c r="C937" s="171"/>
      <c r="D937" s="171"/>
      <c r="E937" s="160"/>
      <c r="F937" s="171"/>
      <c r="G937" s="171"/>
      <c r="H937"/>
      <c r="Q937" s="160"/>
      <c r="R937" s="160"/>
      <c r="S937" s="171"/>
      <c r="AD937" s="171"/>
      <c r="AE937" s="171"/>
      <c r="AG937"/>
    </row>
    <row r="938" spans="1:33" x14ac:dyDescent="0.25">
      <c r="A938" s="182"/>
      <c r="B938" s="182"/>
      <c r="C938" s="171"/>
      <c r="D938" s="171"/>
      <c r="E938" s="160"/>
      <c r="F938" s="171"/>
      <c r="G938" s="171"/>
      <c r="H938" s="171"/>
      <c r="Q938" s="160"/>
      <c r="R938" s="160"/>
      <c r="S938" s="171"/>
      <c r="AD938" s="171"/>
      <c r="AE938" s="171"/>
      <c r="AG938"/>
    </row>
    <row r="939" spans="1:33" x14ac:dyDescent="0.25">
      <c r="A939" s="182"/>
      <c r="B939" s="182"/>
      <c r="C939" s="171"/>
      <c r="D939" s="171"/>
      <c r="E939" s="160"/>
      <c r="F939" s="171"/>
      <c r="G939" s="171"/>
      <c r="H939"/>
      <c r="Q939" s="160"/>
      <c r="R939" s="160"/>
      <c r="S939" s="171"/>
      <c r="AD939" s="171"/>
      <c r="AE939" s="171"/>
      <c r="AG939"/>
    </row>
    <row r="940" spans="1:33" x14ac:dyDescent="0.25">
      <c r="A940" s="182"/>
      <c r="B940" s="182"/>
      <c r="C940" s="171"/>
      <c r="D940" s="171"/>
      <c r="E940" s="160"/>
      <c r="F940" s="171"/>
      <c r="G940"/>
      <c r="H940"/>
      <c r="Q940" s="160"/>
      <c r="R940" s="160"/>
      <c r="S940" s="171"/>
      <c r="AD940" s="171"/>
      <c r="AE940" s="171"/>
      <c r="AG940"/>
    </row>
    <row r="941" spans="1:33" x14ac:dyDescent="0.25">
      <c r="A941" s="182"/>
      <c r="B941" s="182"/>
      <c r="C941" s="171"/>
      <c r="D941" s="171"/>
      <c r="E941" s="160"/>
      <c r="F941" s="171"/>
      <c r="G941" s="171"/>
      <c r="H941"/>
      <c r="Q941" s="160"/>
      <c r="R941" s="160"/>
      <c r="S941" s="171"/>
      <c r="AD941" s="171"/>
      <c r="AE941" s="171"/>
      <c r="AG941"/>
    </row>
    <row r="942" spans="1:33" x14ac:dyDescent="0.25">
      <c r="A942" s="182"/>
      <c r="B942" s="182"/>
      <c r="C942" s="171"/>
      <c r="D942" s="171"/>
      <c r="E942" s="160"/>
      <c r="F942" s="171"/>
      <c r="G942" s="171"/>
      <c r="H942"/>
      <c r="Q942" s="160"/>
      <c r="R942" s="160"/>
      <c r="S942" s="171"/>
      <c r="AD942" s="171"/>
      <c r="AE942" s="171"/>
      <c r="AG942"/>
    </row>
    <row r="943" spans="1:33" x14ac:dyDescent="0.25">
      <c r="A943" s="182"/>
      <c r="B943" s="182"/>
      <c r="C943" s="171"/>
      <c r="D943" s="171"/>
      <c r="E943" s="160"/>
      <c r="F943" s="171"/>
      <c r="G943" s="171"/>
      <c r="H943" s="171"/>
      <c r="Q943" s="160"/>
      <c r="R943" s="160"/>
      <c r="S943" s="171"/>
      <c r="AD943" s="171"/>
      <c r="AE943" s="171"/>
      <c r="AG943"/>
    </row>
    <row r="944" spans="1:33" x14ac:dyDescent="0.25">
      <c r="A944" s="182"/>
      <c r="B944" s="182"/>
      <c r="C944" s="171"/>
      <c r="D944" s="171"/>
      <c r="E944" s="160"/>
      <c r="F944" s="171"/>
      <c r="G944" s="171"/>
      <c r="H944"/>
      <c r="Q944" s="160"/>
      <c r="R944" s="160"/>
      <c r="S944" s="171"/>
      <c r="AD944" s="171"/>
      <c r="AE944" s="171"/>
      <c r="AG944"/>
    </row>
    <row r="945" spans="1:33" x14ac:dyDescent="0.25">
      <c r="A945" s="182"/>
      <c r="B945" s="182"/>
      <c r="C945" s="171"/>
      <c r="D945" s="171"/>
      <c r="E945" s="160"/>
      <c r="F945" s="171"/>
      <c r="G945" s="171"/>
      <c r="H945" s="171"/>
      <c r="Q945" s="160"/>
      <c r="R945" s="160"/>
      <c r="S945" s="171"/>
      <c r="AD945" s="171"/>
      <c r="AE945" s="171"/>
      <c r="AG945"/>
    </row>
    <row r="946" spans="1:33" x14ac:dyDescent="0.25">
      <c r="A946" s="182"/>
      <c r="B946" s="182"/>
      <c r="C946" s="171"/>
      <c r="D946" s="171"/>
      <c r="E946" s="160"/>
      <c r="F946" s="171"/>
      <c r="G946" s="171"/>
      <c r="H946" s="171"/>
      <c r="Q946" s="160"/>
      <c r="R946" s="160"/>
      <c r="S946" s="171"/>
      <c r="AD946" s="171"/>
      <c r="AE946" s="171"/>
      <c r="AG946"/>
    </row>
    <row r="947" spans="1:33" x14ac:dyDescent="0.25">
      <c r="A947" s="182"/>
      <c r="B947" s="182"/>
      <c r="C947" s="171"/>
      <c r="D947" s="171"/>
      <c r="E947" s="160"/>
      <c r="F947" s="171"/>
      <c r="G947" s="171"/>
      <c r="H947" s="171"/>
      <c r="Q947" s="160"/>
      <c r="R947" s="160"/>
      <c r="S947" s="171"/>
      <c r="AD947" s="171"/>
      <c r="AE947" s="171"/>
      <c r="AG947"/>
    </row>
    <row r="948" spans="1:33" x14ac:dyDescent="0.25">
      <c r="A948" s="182"/>
      <c r="B948" s="182"/>
      <c r="C948" s="171"/>
      <c r="D948" s="171"/>
      <c r="E948" s="160"/>
      <c r="F948" s="171"/>
      <c r="G948"/>
      <c r="H948"/>
      <c r="Q948" s="160"/>
      <c r="R948" s="160"/>
      <c r="S948" s="171"/>
      <c r="AD948" s="171"/>
      <c r="AE948" s="171"/>
      <c r="AG948"/>
    </row>
    <row r="949" spans="1:33" x14ac:dyDescent="0.25">
      <c r="A949" s="182"/>
      <c r="B949" s="182"/>
      <c r="C949" s="171"/>
      <c r="D949" s="171"/>
      <c r="E949" s="160"/>
      <c r="F949" s="171"/>
      <c r="G949" s="171"/>
      <c r="H949"/>
      <c r="Q949" s="160"/>
      <c r="R949" s="160"/>
      <c r="S949" s="171"/>
      <c r="AD949" s="171"/>
      <c r="AE949" s="171"/>
      <c r="AG949"/>
    </row>
    <row r="950" spans="1:33" x14ac:dyDescent="0.25">
      <c r="A950" s="182"/>
      <c r="B950" s="182"/>
      <c r="C950" s="171"/>
      <c r="D950" s="171"/>
      <c r="E950" s="160"/>
      <c r="F950" s="171"/>
      <c r="G950" s="171"/>
      <c r="H950"/>
      <c r="Q950" s="160"/>
      <c r="R950" s="160"/>
      <c r="S950" s="171"/>
      <c r="AD950" s="171"/>
      <c r="AE950" s="171"/>
      <c r="AG950"/>
    </row>
    <row r="951" spans="1:33" x14ac:dyDescent="0.25">
      <c r="A951" s="182"/>
      <c r="B951" s="182"/>
      <c r="C951" s="171"/>
      <c r="D951" s="171"/>
      <c r="E951" s="160"/>
      <c r="F951" s="171"/>
      <c r="G951" s="171"/>
      <c r="H951"/>
      <c r="Q951" s="160"/>
      <c r="R951" s="160"/>
      <c r="S951" s="171"/>
      <c r="AD951" s="171"/>
      <c r="AE951" s="171"/>
      <c r="AG951"/>
    </row>
    <row r="952" spans="1:33" x14ac:dyDescent="0.25">
      <c r="A952" s="182"/>
      <c r="B952" s="182"/>
      <c r="C952" s="171"/>
      <c r="D952" s="171"/>
      <c r="E952" s="160"/>
      <c r="F952" s="171"/>
      <c r="G952" s="171"/>
      <c r="H952"/>
      <c r="Q952" s="160"/>
      <c r="R952" s="160"/>
      <c r="S952" s="171"/>
      <c r="AD952" s="171"/>
      <c r="AE952" s="171"/>
      <c r="AG952"/>
    </row>
    <row r="953" spans="1:33" x14ac:dyDescent="0.25">
      <c r="A953" s="182"/>
      <c r="B953" s="182"/>
      <c r="C953" s="171"/>
      <c r="D953" s="171"/>
      <c r="E953" s="160"/>
      <c r="F953" s="171"/>
      <c r="G953" s="171"/>
      <c r="H953"/>
      <c r="Q953" s="160"/>
      <c r="R953" s="160"/>
      <c r="S953" s="171"/>
      <c r="AD953" s="171"/>
      <c r="AE953" s="171"/>
      <c r="AG953"/>
    </row>
    <row r="954" spans="1:33" x14ac:dyDescent="0.25">
      <c r="A954" s="182"/>
      <c r="B954" s="182"/>
      <c r="C954" s="171"/>
      <c r="D954" s="171"/>
      <c r="E954" s="160"/>
      <c r="F954" s="171"/>
      <c r="G954" s="171"/>
      <c r="H954"/>
      <c r="Q954" s="160"/>
      <c r="R954" s="160"/>
      <c r="S954" s="171"/>
      <c r="AD954" s="171"/>
      <c r="AE954" s="171"/>
      <c r="AG954"/>
    </row>
    <row r="955" spans="1:33" x14ac:dyDescent="0.25">
      <c r="A955" s="182"/>
      <c r="B955" s="182"/>
      <c r="C955" s="171"/>
      <c r="D955" s="171"/>
      <c r="E955" s="160"/>
      <c r="F955" s="171"/>
      <c r="G955" s="171"/>
      <c r="H955"/>
      <c r="Q955" s="160"/>
      <c r="R955" s="160"/>
      <c r="S955" s="171"/>
      <c r="AD955" s="171"/>
      <c r="AE955" s="171"/>
      <c r="AG955"/>
    </row>
    <row r="956" spans="1:33" x14ac:dyDescent="0.25">
      <c r="A956" s="182"/>
      <c r="B956" s="182"/>
      <c r="C956" s="171"/>
      <c r="D956" s="171"/>
      <c r="E956" s="160"/>
      <c r="F956" s="171"/>
      <c r="G956"/>
      <c r="H956"/>
      <c r="Q956" s="160"/>
      <c r="R956" s="160"/>
      <c r="S956" s="171"/>
      <c r="AD956" s="171"/>
      <c r="AE956" s="171"/>
      <c r="AG956"/>
    </row>
    <row r="957" spans="1:33" x14ac:dyDescent="0.25">
      <c r="A957" s="182"/>
      <c r="B957" s="182"/>
      <c r="C957" s="171"/>
      <c r="D957" s="171"/>
      <c r="E957" s="160"/>
      <c r="F957" s="171"/>
      <c r="G957" s="171"/>
      <c r="H957"/>
      <c r="Q957" s="160"/>
      <c r="R957" s="160"/>
      <c r="S957" s="171"/>
      <c r="AD957" s="171"/>
      <c r="AE957" s="171"/>
      <c r="AG957"/>
    </row>
    <row r="958" spans="1:33" x14ac:dyDescent="0.25">
      <c r="A958" s="182"/>
      <c r="B958" s="182"/>
      <c r="C958" s="171"/>
      <c r="D958" s="171"/>
      <c r="E958" s="160"/>
      <c r="F958" s="171"/>
      <c r="G958" s="171"/>
      <c r="H958"/>
      <c r="Q958" s="160"/>
      <c r="R958" s="160"/>
      <c r="S958" s="171"/>
      <c r="AD958" s="171"/>
      <c r="AE958" s="171"/>
      <c r="AG958"/>
    </row>
    <row r="959" spans="1:33" x14ac:dyDescent="0.25">
      <c r="A959" s="182"/>
      <c r="B959" s="182"/>
      <c r="C959" s="171"/>
      <c r="D959" s="171"/>
      <c r="E959" s="160"/>
      <c r="F959" s="171"/>
      <c r="G959"/>
      <c r="H959"/>
      <c r="Q959" s="160"/>
      <c r="R959" s="160"/>
      <c r="S959" s="171"/>
      <c r="AD959" s="171"/>
      <c r="AE959" s="171"/>
      <c r="AG959"/>
    </row>
    <row r="960" spans="1:33" x14ac:dyDescent="0.25">
      <c r="A960" s="182"/>
      <c r="B960" s="182"/>
      <c r="C960" s="171"/>
      <c r="D960" s="171"/>
      <c r="E960" s="160"/>
      <c r="F960" s="171"/>
      <c r="G960" s="171"/>
      <c r="H960"/>
      <c r="Q960" s="160"/>
      <c r="R960" s="160"/>
      <c r="S960" s="171"/>
      <c r="AD960" s="171"/>
      <c r="AE960" s="171"/>
      <c r="AG960"/>
    </row>
    <row r="961" spans="1:33" x14ac:dyDescent="0.25">
      <c r="A961" s="182"/>
      <c r="B961" s="182"/>
      <c r="C961" s="171"/>
      <c r="D961" s="171"/>
      <c r="E961" s="160"/>
      <c r="F961" s="171"/>
      <c r="G961"/>
      <c r="H961"/>
      <c r="Q961" s="160"/>
      <c r="R961" s="160"/>
      <c r="S961" s="171"/>
      <c r="AD961" s="171"/>
      <c r="AE961" s="171"/>
      <c r="AG961"/>
    </row>
    <row r="962" spans="1:33" x14ac:dyDescent="0.25">
      <c r="A962" s="182"/>
      <c r="B962" s="182"/>
      <c r="C962" s="171"/>
      <c r="D962" s="171"/>
      <c r="E962" s="160"/>
      <c r="F962" s="171"/>
      <c r="G962"/>
      <c r="H962"/>
      <c r="Q962" s="160"/>
      <c r="R962" s="160"/>
      <c r="S962" s="171"/>
      <c r="AD962" s="171"/>
      <c r="AE962" s="171"/>
      <c r="AG962"/>
    </row>
    <row r="963" spans="1:33" x14ac:dyDescent="0.25">
      <c r="A963" s="182"/>
      <c r="B963" s="182"/>
      <c r="C963" s="171"/>
      <c r="D963" s="171"/>
      <c r="E963" s="160"/>
      <c r="F963" s="171"/>
      <c r="G963"/>
      <c r="H963"/>
      <c r="Q963" s="160"/>
      <c r="R963" s="160"/>
      <c r="S963" s="171"/>
      <c r="AD963" s="171"/>
      <c r="AE963" s="171"/>
      <c r="AG963"/>
    </row>
    <row r="964" spans="1:33" x14ac:dyDescent="0.25">
      <c r="A964" s="182"/>
      <c r="B964" s="182"/>
      <c r="C964" s="171"/>
      <c r="D964" s="171"/>
      <c r="E964" s="160"/>
      <c r="F964" s="171"/>
      <c r="G964" s="171"/>
      <c r="H964"/>
      <c r="Q964" s="160"/>
      <c r="R964" s="160"/>
      <c r="S964" s="171"/>
      <c r="AD964" s="171"/>
      <c r="AE964" s="171"/>
      <c r="AG964"/>
    </row>
    <row r="965" spans="1:33" x14ac:dyDescent="0.25">
      <c r="A965" s="182"/>
      <c r="B965" s="182"/>
      <c r="C965" s="171"/>
      <c r="D965" s="171"/>
      <c r="E965" s="160"/>
      <c r="F965" s="171"/>
      <c r="G965" s="171"/>
      <c r="H965"/>
      <c r="Q965" s="160"/>
      <c r="R965" s="160"/>
      <c r="S965" s="171"/>
      <c r="AD965" s="171"/>
      <c r="AE965" s="171"/>
      <c r="AG965"/>
    </row>
    <row r="966" spans="1:33" x14ac:dyDescent="0.25">
      <c r="A966" s="182"/>
      <c r="B966" s="182"/>
      <c r="C966" s="171"/>
      <c r="D966" s="171"/>
      <c r="E966" s="160"/>
      <c r="F966" s="171"/>
      <c r="G966" s="171"/>
      <c r="H966"/>
      <c r="Q966" s="160"/>
      <c r="R966" s="160"/>
      <c r="S966" s="171"/>
      <c r="AD966" s="171"/>
      <c r="AE966" s="171"/>
      <c r="AG966"/>
    </row>
    <row r="967" spans="1:33" x14ac:dyDescent="0.25">
      <c r="A967" s="182"/>
      <c r="B967" s="182"/>
      <c r="C967" s="171"/>
      <c r="D967" s="171"/>
      <c r="E967" s="160"/>
      <c r="F967" s="171"/>
      <c r="G967"/>
      <c r="H967"/>
      <c r="Q967" s="160"/>
      <c r="R967" s="160"/>
      <c r="S967" s="171"/>
      <c r="AD967" s="171"/>
      <c r="AE967" s="171"/>
      <c r="AG967"/>
    </row>
    <row r="968" spans="1:33" x14ac:dyDescent="0.25">
      <c r="A968" s="182"/>
      <c r="B968" s="182"/>
      <c r="C968" s="171"/>
      <c r="D968" s="171"/>
      <c r="E968" s="160"/>
      <c r="F968" s="171"/>
      <c r="G968" s="171"/>
      <c r="H968" s="171"/>
      <c r="Q968" s="160"/>
      <c r="R968" s="160"/>
      <c r="S968" s="171"/>
      <c r="AD968" s="171"/>
      <c r="AE968" s="171"/>
      <c r="AG968"/>
    </row>
    <row r="969" spans="1:33" x14ac:dyDescent="0.25">
      <c r="A969" s="182"/>
      <c r="B969" s="182"/>
      <c r="C969" s="171"/>
      <c r="D969" s="171"/>
      <c r="E969" s="160"/>
      <c r="F969" s="171"/>
      <c r="G969" s="171"/>
      <c r="H969"/>
      <c r="Q969" s="160"/>
      <c r="R969" s="160"/>
      <c r="S969" s="171"/>
      <c r="AD969" s="171"/>
      <c r="AE969" s="171"/>
      <c r="AG969"/>
    </row>
    <row r="970" spans="1:33" x14ac:dyDescent="0.25">
      <c r="A970" s="182"/>
      <c r="B970" s="182"/>
      <c r="C970" s="171"/>
      <c r="D970" s="171"/>
      <c r="E970" s="160"/>
      <c r="F970" s="171"/>
      <c r="G970" s="171"/>
      <c r="H970"/>
      <c r="Q970" s="160"/>
      <c r="R970" s="160"/>
      <c r="S970" s="171"/>
      <c r="AD970" s="171"/>
      <c r="AE970" s="171"/>
      <c r="AG970"/>
    </row>
    <row r="971" spans="1:33" x14ac:dyDescent="0.25">
      <c r="A971" s="182"/>
      <c r="B971" s="182"/>
      <c r="C971" s="171"/>
      <c r="D971" s="171"/>
      <c r="E971" s="160"/>
      <c r="F971" s="171"/>
      <c r="G971" s="171"/>
      <c r="H971"/>
      <c r="Q971" s="160"/>
      <c r="R971" s="160"/>
      <c r="S971" s="171"/>
      <c r="AD971" s="171"/>
      <c r="AE971" s="171"/>
      <c r="AG971"/>
    </row>
    <row r="972" spans="1:33" x14ac:dyDescent="0.25">
      <c r="A972" s="182"/>
      <c r="B972" s="182"/>
      <c r="C972" s="171"/>
      <c r="D972" s="171"/>
      <c r="E972" s="160"/>
      <c r="F972" s="171"/>
      <c r="G972" s="171"/>
      <c r="H972"/>
      <c r="Q972" s="160"/>
      <c r="R972" s="160"/>
      <c r="S972" s="171"/>
      <c r="AD972" s="171"/>
      <c r="AE972" s="171"/>
      <c r="AG972"/>
    </row>
    <row r="973" spans="1:33" x14ac:dyDescent="0.25">
      <c r="A973" s="182"/>
      <c r="B973" s="182"/>
      <c r="C973" s="171"/>
      <c r="D973" s="171"/>
      <c r="E973" s="160"/>
      <c r="F973" s="171"/>
      <c r="G973" s="171"/>
      <c r="H973"/>
      <c r="Q973" s="160"/>
      <c r="R973" s="160"/>
      <c r="S973" s="171"/>
      <c r="AD973" s="171"/>
      <c r="AE973" s="171"/>
      <c r="AG973"/>
    </row>
    <row r="974" spans="1:33" x14ac:dyDescent="0.25">
      <c r="A974" s="182"/>
      <c r="B974" s="182"/>
      <c r="C974" s="171"/>
      <c r="D974" s="171"/>
      <c r="E974" s="160"/>
      <c r="F974" s="171"/>
      <c r="G974" s="171"/>
      <c r="H974"/>
      <c r="Q974" s="160"/>
      <c r="R974" s="160"/>
      <c r="S974" s="171"/>
      <c r="AD974" s="171"/>
      <c r="AE974" s="171"/>
      <c r="AG974"/>
    </row>
    <row r="975" spans="1:33" x14ac:dyDescent="0.25">
      <c r="A975" s="182"/>
      <c r="B975" s="182"/>
      <c r="C975" s="171"/>
      <c r="D975" s="171"/>
      <c r="E975" s="160"/>
      <c r="F975" s="171"/>
      <c r="G975" s="171"/>
      <c r="H975"/>
      <c r="Q975" s="160"/>
      <c r="R975" s="160"/>
      <c r="S975" s="171"/>
      <c r="AD975" s="171"/>
      <c r="AE975" s="171"/>
      <c r="AG975"/>
    </row>
    <row r="976" spans="1:33" x14ac:dyDescent="0.25">
      <c r="A976" s="182"/>
      <c r="B976" s="182"/>
      <c r="C976" s="171"/>
      <c r="D976" s="171"/>
      <c r="E976" s="160"/>
      <c r="F976" s="171"/>
      <c r="G976" s="171"/>
      <c r="H976"/>
      <c r="Q976" s="160"/>
      <c r="R976" s="160"/>
      <c r="S976" s="171"/>
      <c r="AD976" s="171"/>
      <c r="AE976" s="171"/>
      <c r="AG976"/>
    </row>
    <row r="977" spans="1:33" x14ac:dyDescent="0.25">
      <c r="A977" s="182"/>
      <c r="B977" s="182"/>
      <c r="C977" s="171"/>
      <c r="D977" s="171"/>
      <c r="E977" s="160"/>
      <c r="F977" s="171"/>
      <c r="G977"/>
      <c r="H977"/>
      <c r="Q977" s="160"/>
      <c r="R977" s="160"/>
      <c r="S977" s="171"/>
      <c r="AD977" s="171"/>
      <c r="AE977" s="171"/>
      <c r="AG977"/>
    </row>
    <row r="978" spans="1:33" x14ac:dyDescent="0.25">
      <c r="A978" s="182"/>
      <c r="B978" s="182"/>
      <c r="C978" s="171"/>
      <c r="D978" s="171"/>
      <c r="E978" s="160"/>
      <c r="F978" s="171"/>
      <c r="G978"/>
      <c r="H978"/>
      <c r="Q978" s="160"/>
      <c r="R978" s="160"/>
      <c r="S978" s="171"/>
      <c r="AD978" s="171"/>
      <c r="AE978" s="171"/>
      <c r="AG978"/>
    </row>
    <row r="979" spans="1:33" x14ac:dyDescent="0.25">
      <c r="A979" s="182"/>
      <c r="B979" s="182"/>
      <c r="C979" s="171"/>
      <c r="D979" s="171"/>
      <c r="E979" s="160"/>
      <c r="F979" s="171"/>
      <c r="G979" s="171"/>
      <c r="H979" s="171"/>
      <c r="Q979" s="160"/>
      <c r="R979" s="160"/>
      <c r="S979" s="171"/>
      <c r="AD979" s="171"/>
      <c r="AE979" s="171"/>
      <c r="AG979"/>
    </row>
    <row r="980" spans="1:33" x14ac:dyDescent="0.25">
      <c r="A980" s="182"/>
      <c r="B980" s="182"/>
      <c r="C980" s="171"/>
      <c r="D980" s="171"/>
      <c r="E980" s="160"/>
      <c r="F980" s="171"/>
      <c r="G980"/>
      <c r="H980"/>
      <c r="Q980" s="160"/>
      <c r="R980" s="160"/>
      <c r="S980" s="171"/>
      <c r="AD980" s="171"/>
      <c r="AE980" s="171"/>
      <c r="AG980"/>
    </row>
    <row r="981" spans="1:33" x14ac:dyDescent="0.25">
      <c r="A981" s="182"/>
      <c r="B981" s="182"/>
      <c r="C981" s="171"/>
      <c r="D981" s="171"/>
      <c r="E981" s="160"/>
      <c r="F981" s="171"/>
      <c r="G981" s="171"/>
      <c r="H981"/>
      <c r="Q981" s="160"/>
      <c r="R981" s="160"/>
      <c r="S981" s="171"/>
      <c r="AD981" s="171"/>
      <c r="AE981" s="171"/>
      <c r="AG981"/>
    </row>
    <row r="982" spans="1:33" x14ac:dyDescent="0.25">
      <c r="A982" s="182"/>
      <c r="B982" s="182"/>
      <c r="C982" s="171"/>
      <c r="D982" s="171"/>
      <c r="E982" s="160"/>
      <c r="F982" s="171"/>
      <c r="G982" s="171"/>
      <c r="H982"/>
      <c r="Q982" s="160"/>
      <c r="R982" s="160"/>
      <c r="S982" s="171"/>
      <c r="AD982" s="171"/>
      <c r="AE982" s="171"/>
      <c r="AG982"/>
    </row>
    <row r="983" spans="1:33" x14ac:dyDescent="0.25">
      <c r="A983" s="182"/>
      <c r="B983" s="182"/>
      <c r="C983" s="171"/>
      <c r="D983" s="171"/>
      <c r="E983" s="160"/>
      <c r="F983" s="171"/>
      <c r="G983" s="171"/>
      <c r="H983"/>
      <c r="Q983" s="160"/>
      <c r="R983" s="160"/>
      <c r="S983" s="171"/>
      <c r="AD983" s="171"/>
      <c r="AE983" s="171"/>
      <c r="AG983"/>
    </row>
    <row r="984" spans="1:33" x14ac:dyDescent="0.25">
      <c r="A984" s="182"/>
      <c r="B984" s="182"/>
      <c r="C984" s="171"/>
      <c r="D984" s="171"/>
      <c r="E984" s="160"/>
      <c r="F984" s="171"/>
      <c r="G984" s="171"/>
      <c r="H984"/>
      <c r="Q984" s="160"/>
      <c r="R984" s="160"/>
      <c r="S984" s="171"/>
      <c r="AD984" s="171"/>
      <c r="AE984" s="171"/>
      <c r="AG984"/>
    </row>
    <row r="985" spans="1:33" x14ac:dyDescent="0.25">
      <c r="A985" s="182"/>
      <c r="B985" s="182"/>
      <c r="C985" s="171"/>
      <c r="D985" s="171"/>
      <c r="E985" s="160"/>
      <c r="F985" s="171"/>
      <c r="G985" s="171"/>
      <c r="H985"/>
      <c r="Q985" s="160"/>
      <c r="R985" s="160"/>
      <c r="S985" s="171"/>
      <c r="AD985" s="171"/>
      <c r="AE985" s="171"/>
      <c r="AG985"/>
    </row>
    <row r="986" spans="1:33" x14ac:dyDescent="0.25">
      <c r="A986" s="182"/>
      <c r="B986" s="182"/>
      <c r="C986" s="171"/>
      <c r="D986" s="171"/>
      <c r="E986" s="160"/>
      <c r="F986" s="171"/>
      <c r="G986" s="171"/>
      <c r="H986"/>
      <c r="Q986" s="160"/>
      <c r="R986" s="160"/>
      <c r="S986" s="171"/>
      <c r="AD986" s="171"/>
      <c r="AE986" s="171"/>
      <c r="AG986"/>
    </row>
    <row r="987" spans="1:33" x14ac:dyDescent="0.25">
      <c r="A987" s="182"/>
      <c r="B987" s="182"/>
      <c r="C987" s="171"/>
      <c r="D987" s="171"/>
      <c r="E987" s="160"/>
      <c r="F987" s="171"/>
      <c r="G987" s="171"/>
      <c r="H987"/>
      <c r="Q987" s="160"/>
      <c r="R987" s="160"/>
      <c r="S987" s="171"/>
      <c r="AD987" s="171"/>
      <c r="AE987" s="171"/>
      <c r="AG987"/>
    </row>
    <row r="988" spans="1:33" x14ac:dyDescent="0.25">
      <c r="A988" s="182"/>
      <c r="B988" s="182"/>
      <c r="C988" s="171"/>
      <c r="D988" s="171"/>
      <c r="E988" s="160"/>
      <c r="F988" s="171"/>
      <c r="G988" s="171"/>
      <c r="H988"/>
      <c r="Q988" s="160"/>
      <c r="R988" s="160"/>
      <c r="S988" s="171"/>
      <c r="AD988" s="171"/>
      <c r="AE988" s="171"/>
      <c r="AG988"/>
    </row>
    <row r="989" spans="1:33" x14ac:dyDescent="0.25">
      <c r="A989" s="182"/>
      <c r="B989" s="182"/>
      <c r="C989" s="171"/>
      <c r="D989" s="171"/>
      <c r="E989" s="160"/>
      <c r="F989" s="171"/>
      <c r="G989"/>
      <c r="H989"/>
      <c r="Q989" s="160"/>
      <c r="R989" s="160"/>
      <c r="S989" s="171"/>
      <c r="AD989" s="171"/>
      <c r="AE989" s="171"/>
      <c r="AG989"/>
    </row>
    <row r="990" spans="1:33" x14ac:dyDescent="0.25">
      <c r="A990" s="182"/>
      <c r="B990" s="182"/>
      <c r="C990" s="171"/>
      <c r="D990" s="171"/>
      <c r="E990" s="160"/>
      <c r="F990" s="171"/>
      <c r="G990" s="171"/>
      <c r="H990"/>
      <c r="Q990" s="160"/>
      <c r="R990" s="160"/>
      <c r="S990" s="171"/>
      <c r="AD990" s="171"/>
      <c r="AE990" s="171"/>
      <c r="AG990"/>
    </row>
    <row r="991" spans="1:33" x14ac:dyDescent="0.25">
      <c r="A991" s="182"/>
      <c r="B991" s="182"/>
      <c r="C991" s="171"/>
      <c r="D991" s="171"/>
      <c r="E991" s="160"/>
      <c r="F991" s="171"/>
      <c r="G991"/>
      <c r="H991"/>
      <c r="Q991" s="160"/>
      <c r="R991" s="160"/>
      <c r="S991" s="171"/>
      <c r="AD991" s="171"/>
      <c r="AE991" s="171"/>
      <c r="AG991"/>
    </row>
    <row r="992" spans="1:33" x14ac:dyDescent="0.25">
      <c r="A992" s="182"/>
      <c r="B992" s="182"/>
      <c r="C992" s="171"/>
      <c r="D992" s="171"/>
      <c r="E992" s="160"/>
      <c r="F992" s="171"/>
      <c r="G992" s="171"/>
      <c r="H992"/>
      <c r="Q992" s="160"/>
      <c r="R992" s="160"/>
      <c r="S992" s="171"/>
      <c r="AD992" s="171"/>
      <c r="AE992" s="171"/>
      <c r="AG992"/>
    </row>
    <row r="993" spans="1:33" x14ac:dyDescent="0.25">
      <c r="A993" s="182"/>
      <c r="B993" s="182"/>
      <c r="C993" s="171"/>
      <c r="D993" s="171"/>
      <c r="E993" s="160"/>
      <c r="F993" s="171"/>
      <c r="G993" s="171"/>
      <c r="H993"/>
      <c r="Q993" s="160"/>
      <c r="R993" s="160"/>
      <c r="S993" s="171"/>
      <c r="AD993" s="171"/>
      <c r="AE993" s="171"/>
      <c r="AG993"/>
    </row>
    <row r="994" spans="1:33" x14ac:dyDescent="0.25">
      <c r="A994" s="182"/>
      <c r="B994" s="182"/>
      <c r="C994" s="171"/>
      <c r="D994" s="171"/>
      <c r="E994" s="160"/>
      <c r="F994" s="171"/>
      <c r="G994" s="171"/>
      <c r="H994" s="171"/>
      <c r="Q994" s="160"/>
      <c r="R994" s="160"/>
      <c r="S994" s="171"/>
      <c r="AD994" s="171"/>
      <c r="AE994" s="171"/>
      <c r="AG994"/>
    </row>
    <row r="995" spans="1:33" x14ac:dyDescent="0.25">
      <c r="A995" s="182"/>
      <c r="B995" s="182"/>
      <c r="C995" s="171"/>
      <c r="D995" s="171"/>
      <c r="E995" s="160"/>
      <c r="F995" s="171"/>
      <c r="G995" s="171"/>
      <c r="H995"/>
      <c r="Q995" s="160"/>
      <c r="R995" s="160"/>
      <c r="S995" s="171"/>
      <c r="AD995" s="171"/>
      <c r="AE995" s="171"/>
      <c r="AG995"/>
    </row>
    <row r="996" spans="1:33" x14ac:dyDescent="0.25">
      <c r="A996" s="182"/>
      <c r="B996" s="182"/>
      <c r="C996" s="171"/>
      <c r="D996" s="171"/>
      <c r="E996" s="160"/>
      <c r="F996" s="171"/>
      <c r="G996"/>
      <c r="H996"/>
      <c r="Q996" s="160"/>
      <c r="R996" s="160"/>
      <c r="S996" s="171"/>
      <c r="AD996" s="171"/>
      <c r="AE996" s="171"/>
      <c r="AG996"/>
    </row>
    <row r="997" spans="1:33" x14ac:dyDescent="0.25">
      <c r="A997" s="182"/>
      <c r="B997" s="182"/>
      <c r="C997" s="171"/>
      <c r="D997" s="171"/>
      <c r="E997" s="160"/>
      <c r="F997" s="171"/>
      <c r="G997" s="171"/>
      <c r="H997"/>
      <c r="Q997" s="160"/>
      <c r="R997" s="160"/>
      <c r="S997" s="171"/>
      <c r="AD997" s="171"/>
      <c r="AE997" s="171"/>
      <c r="AG997"/>
    </row>
    <row r="998" spans="1:33" x14ac:dyDescent="0.25">
      <c r="A998" s="182"/>
      <c r="B998" s="182"/>
      <c r="C998" s="171"/>
      <c r="D998" s="171"/>
      <c r="E998" s="160"/>
      <c r="F998" s="171"/>
      <c r="G998" s="171"/>
      <c r="H998"/>
      <c r="Q998" s="160"/>
      <c r="R998" s="160"/>
      <c r="S998" s="171"/>
      <c r="AD998" s="171"/>
      <c r="AE998" s="171"/>
      <c r="AG998"/>
    </row>
    <row r="999" spans="1:33" x14ac:dyDescent="0.25">
      <c r="A999" s="182"/>
      <c r="B999" s="182"/>
      <c r="C999" s="171"/>
      <c r="D999" s="171"/>
      <c r="E999" s="160"/>
      <c r="F999" s="171"/>
      <c r="G999" s="171"/>
      <c r="H999"/>
      <c r="Q999" s="160"/>
      <c r="R999" s="160"/>
      <c r="S999" s="171"/>
      <c r="AD999" s="171"/>
      <c r="AE999" s="171"/>
      <c r="AG999"/>
    </row>
    <row r="1000" spans="1:33" x14ac:dyDescent="0.25">
      <c r="A1000" s="182"/>
      <c r="B1000" s="182"/>
      <c r="C1000" s="171"/>
      <c r="D1000" s="171"/>
      <c r="E1000" s="160"/>
      <c r="F1000" s="171"/>
      <c r="G1000" s="171"/>
      <c r="H1000"/>
      <c r="Q1000" s="160"/>
      <c r="R1000" s="160"/>
      <c r="S1000" s="171"/>
      <c r="AD1000" s="171"/>
      <c r="AE1000" s="171"/>
      <c r="AG1000"/>
    </row>
    <row r="1001" spans="1:33" x14ac:dyDescent="0.25">
      <c r="A1001" s="182"/>
      <c r="B1001" s="182"/>
      <c r="C1001" s="171"/>
      <c r="D1001" s="171"/>
      <c r="E1001" s="160"/>
      <c r="F1001" s="171"/>
      <c r="G1001" s="171"/>
      <c r="H1001" s="171"/>
      <c r="Q1001" s="160"/>
      <c r="R1001" s="160"/>
      <c r="S1001" s="171"/>
      <c r="AD1001" s="171"/>
      <c r="AE1001" s="171"/>
      <c r="AG1001"/>
    </row>
    <row r="1002" spans="1:33" x14ac:dyDescent="0.25">
      <c r="A1002" s="182"/>
      <c r="B1002" s="182"/>
      <c r="C1002" s="171"/>
      <c r="D1002" s="171"/>
      <c r="E1002" s="160"/>
      <c r="F1002" s="171"/>
      <c r="G1002" s="171"/>
      <c r="H1002"/>
      <c r="Q1002" s="160"/>
      <c r="R1002" s="160"/>
      <c r="S1002" s="171"/>
      <c r="AD1002" s="171"/>
      <c r="AE1002" s="171"/>
      <c r="AG1002"/>
    </row>
    <row r="1003" spans="1:33" x14ac:dyDescent="0.25">
      <c r="A1003" s="182"/>
      <c r="B1003" s="182"/>
      <c r="C1003" s="171"/>
      <c r="D1003" s="171"/>
      <c r="E1003" s="160"/>
      <c r="F1003" s="171"/>
      <c r="G1003" s="171"/>
      <c r="H1003"/>
      <c r="Q1003" s="160"/>
      <c r="R1003" s="160"/>
      <c r="S1003" s="171"/>
      <c r="AD1003" s="171"/>
      <c r="AE1003" s="171"/>
      <c r="AG1003"/>
    </row>
    <row r="1004" spans="1:33" x14ac:dyDescent="0.25">
      <c r="A1004" s="182"/>
      <c r="B1004" s="182"/>
      <c r="C1004" s="171"/>
      <c r="D1004" s="171"/>
      <c r="E1004" s="160"/>
      <c r="F1004" s="171"/>
      <c r="G1004" s="171"/>
      <c r="H1004"/>
      <c r="Q1004" s="160"/>
      <c r="R1004" s="160"/>
      <c r="S1004" s="171"/>
      <c r="AD1004" s="171"/>
      <c r="AE1004" s="171"/>
      <c r="AG1004"/>
    </row>
    <row r="1005" spans="1:33" x14ac:dyDescent="0.25">
      <c r="A1005" s="182"/>
      <c r="B1005" s="182"/>
      <c r="C1005" s="171"/>
      <c r="D1005" s="171"/>
      <c r="E1005" s="160"/>
      <c r="F1005" s="171"/>
      <c r="G1005" s="171"/>
      <c r="H1005"/>
      <c r="Q1005" s="160"/>
      <c r="R1005" s="160"/>
      <c r="S1005" s="171"/>
      <c r="AD1005" s="171"/>
      <c r="AE1005" s="171"/>
      <c r="AG1005"/>
    </row>
    <row r="1006" spans="1:33" x14ac:dyDescent="0.25">
      <c r="A1006" s="182"/>
      <c r="B1006" s="182"/>
      <c r="C1006" s="171"/>
      <c r="D1006" s="171"/>
      <c r="E1006" s="160"/>
      <c r="F1006" s="171"/>
      <c r="G1006" s="171"/>
      <c r="H1006"/>
      <c r="Q1006" s="160"/>
      <c r="R1006" s="160"/>
      <c r="S1006" s="171"/>
      <c r="AD1006" s="171"/>
      <c r="AE1006" s="171"/>
      <c r="AG1006"/>
    </row>
    <row r="1007" spans="1:33" x14ac:dyDescent="0.25">
      <c r="A1007" s="182"/>
      <c r="B1007" s="182"/>
      <c r="C1007" s="171"/>
      <c r="D1007" s="171"/>
      <c r="E1007" s="160"/>
      <c r="F1007" s="171"/>
      <c r="G1007" s="171"/>
      <c r="H1007"/>
      <c r="Q1007" s="160"/>
      <c r="R1007" s="160"/>
      <c r="S1007" s="171"/>
      <c r="AD1007" s="171"/>
      <c r="AE1007" s="171"/>
      <c r="AG1007"/>
    </row>
    <row r="1008" spans="1:33" x14ac:dyDescent="0.25">
      <c r="A1008" s="182"/>
      <c r="B1008" s="182"/>
      <c r="C1008" s="171"/>
      <c r="D1008" s="171"/>
      <c r="E1008" s="160"/>
      <c r="F1008" s="171"/>
      <c r="G1008" s="171"/>
      <c r="H1008"/>
      <c r="Q1008" s="160"/>
      <c r="R1008" s="160"/>
      <c r="S1008" s="171"/>
      <c r="AD1008" s="171"/>
      <c r="AE1008" s="171"/>
      <c r="AG1008"/>
    </row>
    <row r="1009" spans="1:33" x14ac:dyDescent="0.25">
      <c r="A1009" s="182"/>
      <c r="B1009" s="182"/>
      <c r="C1009" s="171"/>
      <c r="D1009" s="171"/>
      <c r="E1009" s="160"/>
      <c r="F1009" s="171"/>
      <c r="G1009" s="171"/>
      <c r="H1009"/>
      <c r="Q1009" s="160"/>
      <c r="R1009" s="160"/>
      <c r="S1009" s="171"/>
      <c r="AD1009" s="171"/>
      <c r="AE1009" s="171"/>
      <c r="AG1009"/>
    </row>
    <row r="1010" spans="1:33" x14ac:dyDescent="0.25">
      <c r="A1010" s="182"/>
      <c r="B1010" s="182"/>
      <c r="C1010" s="171"/>
      <c r="D1010" s="171"/>
      <c r="E1010" s="160"/>
      <c r="F1010" s="171"/>
      <c r="G1010"/>
      <c r="H1010"/>
      <c r="Q1010" s="160"/>
      <c r="R1010" s="160"/>
      <c r="S1010" s="171"/>
      <c r="AD1010" s="171"/>
      <c r="AE1010" s="171"/>
      <c r="AG1010"/>
    </row>
    <row r="1011" spans="1:33" x14ac:dyDescent="0.25">
      <c r="A1011" s="182"/>
      <c r="B1011" s="182"/>
      <c r="C1011" s="171"/>
      <c r="D1011" s="171"/>
      <c r="E1011" s="160"/>
      <c r="F1011" s="171"/>
      <c r="G1011" s="171"/>
      <c r="H1011"/>
      <c r="Q1011" s="160"/>
      <c r="R1011" s="160"/>
      <c r="S1011" s="171"/>
      <c r="AD1011" s="171"/>
      <c r="AE1011" s="171"/>
      <c r="AG1011"/>
    </row>
    <row r="1012" spans="1:33" x14ac:dyDescent="0.25">
      <c r="A1012" s="182"/>
      <c r="B1012" s="182"/>
      <c r="C1012" s="171"/>
      <c r="D1012" s="171"/>
      <c r="E1012" s="160"/>
      <c r="F1012" s="171"/>
      <c r="G1012" s="171"/>
      <c r="H1012" s="171"/>
      <c r="Q1012" s="160"/>
      <c r="R1012" s="160"/>
      <c r="S1012" s="171"/>
      <c r="AD1012" s="171"/>
      <c r="AE1012" s="171"/>
      <c r="AG1012"/>
    </row>
    <row r="1013" spans="1:33" x14ac:dyDescent="0.25">
      <c r="A1013" s="182"/>
      <c r="B1013" s="182"/>
      <c r="C1013" s="171"/>
      <c r="D1013" s="171"/>
      <c r="E1013" s="160"/>
      <c r="F1013" s="171"/>
      <c r="G1013" s="171"/>
      <c r="H1013"/>
      <c r="Q1013" s="160"/>
      <c r="R1013" s="160"/>
      <c r="S1013" s="171"/>
      <c r="AD1013" s="171"/>
      <c r="AE1013" s="171"/>
      <c r="AG1013"/>
    </row>
    <row r="1014" spans="1:33" x14ac:dyDescent="0.25">
      <c r="A1014" s="182"/>
      <c r="B1014" s="182"/>
      <c r="C1014" s="171"/>
      <c r="D1014" s="171"/>
      <c r="E1014" s="160"/>
      <c r="F1014" s="171"/>
      <c r="G1014" s="171"/>
      <c r="H1014"/>
      <c r="Q1014" s="160"/>
      <c r="R1014" s="160"/>
      <c r="S1014" s="171"/>
      <c r="AD1014" s="171"/>
      <c r="AE1014" s="171"/>
      <c r="AG1014"/>
    </row>
    <row r="1015" spans="1:33" x14ac:dyDescent="0.25">
      <c r="A1015" s="182"/>
      <c r="B1015" s="182"/>
      <c r="C1015" s="171"/>
      <c r="D1015" s="171"/>
      <c r="E1015" s="160"/>
      <c r="F1015" s="171"/>
      <c r="G1015"/>
      <c r="H1015"/>
      <c r="Q1015" s="160"/>
      <c r="R1015" s="160"/>
      <c r="S1015" s="171"/>
      <c r="AD1015" s="171"/>
      <c r="AE1015" s="171"/>
      <c r="AG1015"/>
    </row>
    <row r="1016" spans="1:33" x14ac:dyDescent="0.25">
      <c r="A1016" s="182"/>
      <c r="B1016" s="182"/>
      <c r="C1016" s="171"/>
      <c r="D1016" s="171"/>
      <c r="E1016" s="160"/>
      <c r="F1016" s="171"/>
      <c r="G1016"/>
      <c r="H1016"/>
      <c r="Q1016" s="160"/>
      <c r="R1016" s="160"/>
      <c r="S1016" s="171"/>
      <c r="AD1016" s="171"/>
      <c r="AE1016" s="171"/>
      <c r="AG1016"/>
    </row>
    <row r="1017" spans="1:33" x14ac:dyDescent="0.25">
      <c r="A1017" s="182"/>
      <c r="B1017" s="182"/>
      <c r="C1017" s="171"/>
      <c r="D1017" s="171"/>
      <c r="E1017" s="160"/>
      <c r="F1017" s="171"/>
      <c r="G1017" s="171"/>
      <c r="H1017"/>
      <c r="Q1017" s="160"/>
      <c r="R1017" s="160"/>
      <c r="S1017" s="171"/>
      <c r="AD1017" s="171"/>
      <c r="AE1017" s="171"/>
      <c r="AG1017"/>
    </row>
    <row r="1018" spans="1:33" x14ac:dyDescent="0.25">
      <c r="A1018" s="182"/>
      <c r="B1018" s="182"/>
      <c r="C1018" s="171"/>
      <c r="D1018" s="171"/>
      <c r="E1018" s="160"/>
      <c r="F1018" s="171"/>
      <c r="G1018" s="171"/>
      <c r="H1018"/>
      <c r="Q1018" s="160"/>
      <c r="R1018" s="160"/>
      <c r="S1018" s="171"/>
      <c r="AD1018" s="171"/>
      <c r="AE1018" s="171"/>
      <c r="AG1018"/>
    </row>
    <row r="1019" spans="1:33" x14ac:dyDescent="0.25">
      <c r="A1019" s="182"/>
      <c r="B1019" s="182"/>
      <c r="C1019" s="171"/>
      <c r="D1019" s="171"/>
      <c r="E1019" s="160"/>
      <c r="F1019" s="171"/>
      <c r="G1019" s="171"/>
      <c r="H1019" s="171"/>
      <c r="Q1019" s="160"/>
      <c r="R1019" s="160"/>
      <c r="S1019" s="171"/>
      <c r="AD1019" s="171"/>
      <c r="AE1019" s="171"/>
      <c r="AG1019"/>
    </row>
    <row r="1020" spans="1:33" x14ac:dyDescent="0.25">
      <c r="A1020" s="182"/>
      <c r="B1020" s="182"/>
      <c r="C1020" s="171"/>
      <c r="D1020" s="171"/>
      <c r="E1020" s="160"/>
      <c r="F1020" s="171"/>
      <c r="G1020" s="171"/>
      <c r="H1020"/>
      <c r="Q1020" s="160"/>
      <c r="R1020" s="160"/>
      <c r="S1020" s="171"/>
      <c r="AD1020" s="171"/>
      <c r="AE1020" s="171"/>
      <c r="AG1020"/>
    </row>
    <row r="1021" spans="1:33" x14ac:dyDescent="0.25">
      <c r="A1021" s="182"/>
      <c r="B1021" s="182"/>
      <c r="C1021" s="171"/>
      <c r="D1021" s="171"/>
      <c r="E1021" s="160"/>
      <c r="F1021" s="171"/>
      <c r="G1021" s="171"/>
      <c r="H1021"/>
      <c r="Q1021" s="160"/>
      <c r="R1021" s="160"/>
      <c r="S1021" s="171"/>
      <c r="AD1021" s="171"/>
      <c r="AE1021" s="171"/>
      <c r="AG1021"/>
    </row>
    <row r="1022" spans="1:33" x14ac:dyDescent="0.25">
      <c r="A1022" s="182"/>
      <c r="B1022" s="182"/>
      <c r="C1022" s="171"/>
      <c r="D1022" s="171"/>
      <c r="E1022" s="160"/>
      <c r="F1022" s="171"/>
      <c r="G1022"/>
      <c r="H1022"/>
      <c r="Q1022" s="160"/>
      <c r="R1022" s="160"/>
      <c r="S1022" s="171"/>
      <c r="AD1022" s="171"/>
      <c r="AE1022" s="171"/>
      <c r="AG1022"/>
    </row>
    <row r="1023" spans="1:33" x14ac:dyDescent="0.25">
      <c r="A1023" s="182"/>
      <c r="B1023" s="182"/>
      <c r="C1023" s="171"/>
      <c r="D1023" s="171"/>
      <c r="E1023" s="160"/>
      <c r="F1023" s="171"/>
      <c r="G1023" s="171"/>
      <c r="H1023"/>
      <c r="Q1023" s="160"/>
      <c r="R1023" s="160"/>
      <c r="S1023" s="171"/>
      <c r="AD1023" s="171"/>
      <c r="AE1023" s="171"/>
      <c r="AG1023"/>
    </row>
    <row r="1024" spans="1:33" x14ac:dyDescent="0.25">
      <c r="A1024" s="182"/>
      <c r="B1024" s="182"/>
      <c r="C1024" s="171"/>
      <c r="D1024" s="171"/>
      <c r="E1024" s="160"/>
      <c r="F1024" s="171"/>
      <c r="G1024" s="171"/>
      <c r="H1024"/>
      <c r="Q1024" s="160"/>
      <c r="R1024" s="160"/>
      <c r="S1024" s="171"/>
      <c r="AD1024" s="171"/>
      <c r="AE1024" s="171"/>
      <c r="AG1024"/>
    </row>
    <row r="1025" spans="1:33" x14ac:dyDescent="0.25">
      <c r="A1025" s="182"/>
      <c r="B1025" s="182"/>
      <c r="C1025" s="171"/>
      <c r="D1025" s="171"/>
      <c r="E1025" s="160"/>
      <c r="F1025" s="171"/>
      <c r="G1025" s="171"/>
      <c r="H1025"/>
      <c r="Q1025" s="160"/>
      <c r="R1025" s="160"/>
      <c r="S1025" s="171"/>
      <c r="AD1025" s="171"/>
      <c r="AE1025" s="171"/>
      <c r="AG1025"/>
    </row>
    <row r="1026" spans="1:33" x14ac:dyDescent="0.25">
      <c r="A1026" s="182"/>
      <c r="B1026" s="182"/>
      <c r="C1026" s="171"/>
      <c r="D1026" s="171"/>
      <c r="E1026" s="160"/>
      <c r="F1026" s="171"/>
      <c r="G1026" s="171"/>
      <c r="H1026" s="171"/>
      <c r="Q1026" s="160"/>
      <c r="R1026" s="160"/>
      <c r="S1026" s="171"/>
      <c r="AD1026" s="171"/>
      <c r="AE1026" s="171"/>
      <c r="AG1026"/>
    </row>
    <row r="1027" spans="1:33" x14ac:dyDescent="0.25">
      <c r="A1027" s="182"/>
      <c r="B1027" s="182"/>
      <c r="C1027" s="171"/>
      <c r="D1027" s="171"/>
      <c r="E1027" s="160"/>
      <c r="F1027" s="171"/>
      <c r="G1027" s="171"/>
      <c r="H1027"/>
      <c r="Q1027" s="160"/>
      <c r="R1027" s="160"/>
      <c r="S1027" s="171"/>
      <c r="AD1027" s="171"/>
      <c r="AE1027" s="171"/>
      <c r="AG1027"/>
    </row>
    <row r="1028" spans="1:33" x14ac:dyDescent="0.25">
      <c r="A1028" s="182"/>
      <c r="B1028" s="182"/>
      <c r="C1028" s="171"/>
      <c r="D1028" s="171"/>
      <c r="E1028" s="160"/>
      <c r="F1028" s="171"/>
      <c r="G1028" s="171"/>
      <c r="H1028"/>
      <c r="Q1028" s="160"/>
      <c r="R1028" s="160"/>
      <c r="S1028" s="171"/>
      <c r="AD1028" s="171"/>
      <c r="AE1028" s="171"/>
      <c r="AG1028"/>
    </row>
    <row r="1029" spans="1:33" x14ac:dyDescent="0.25">
      <c r="A1029" s="182"/>
      <c r="B1029" s="182"/>
      <c r="C1029" s="171"/>
      <c r="D1029" s="171"/>
      <c r="E1029" s="160"/>
      <c r="F1029" s="171"/>
      <c r="G1029" s="171"/>
      <c r="H1029"/>
      <c r="Q1029" s="160"/>
      <c r="R1029" s="160"/>
      <c r="S1029" s="171"/>
      <c r="AD1029" s="171"/>
      <c r="AE1029" s="171"/>
      <c r="AG1029"/>
    </row>
    <row r="1030" spans="1:33" x14ac:dyDescent="0.25">
      <c r="A1030" s="182"/>
      <c r="B1030" s="182"/>
      <c r="C1030" s="171"/>
      <c r="D1030" s="171"/>
      <c r="E1030" s="160"/>
      <c r="F1030" s="171"/>
      <c r="G1030"/>
      <c r="H1030"/>
      <c r="Q1030" s="160"/>
      <c r="R1030" s="160"/>
      <c r="S1030" s="171"/>
      <c r="AD1030" s="171"/>
      <c r="AE1030" s="171"/>
      <c r="AG1030"/>
    </row>
    <row r="1031" spans="1:33" x14ac:dyDescent="0.25">
      <c r="A1031" s="182"/>
      <c r="B1031" s="182"/>
      <c r="C1031" s="171"/>
      <c r="D1031" s="171"/>
      <c r="E1031" s="160"/>
      <c r="F1031" s="171"/>
      <c r="G1031" s="171"/>
      <c r="H1031"/>
      <c r="Q1031" s="160"/>
      <c r="R1031" s="160"/>
      <c r="S1031" s="171"/>
      <c r="AD1031" s="171"/>
      <c r="AE1031" s="171"/>
      <c r="AG1031"/>
    </row>
    <row r="1032" spans="1:33" x14ac:dyDescent="0.25">
      <c r="A1032" s="182"/>
      <c r="B1032" s="182"/>
      <c r="C1032" s="171"/>
      <c r="D1032" s="171"/>
      <c r="E1032" s="160"/>
      <c r="F1032" s="171"/>
      <c r="G1032" s="171"/>
      <c r="H1032"/>
      <c r="Q1032" s="160"/>
      <c r="R1032" s="160"/>
      <c r="S1032" s="171"/>
      <c r="AD1032" s="171"/>
      <c r="AE1032" s="171"/>
      <c r="AG1032"/>
    </row>
    <row r="1033" spans="1:33" x14ac:dyDescent="0.25">
      <c r="A1033" s="182"/>
      <c r="B1033" s="182"/>
      <c r="C1033" s="171"/>
      <c r="D1033" s="171"/>
      <c r="E1033" s="160"/>
      <c r="F1033" s="171"/>
      <c r="G1033" s="171"/>
      <c r="H1033"/>
      <c r="Q1033" s="160"/>
      <c r="R1033" s="160"/>
      <c r="S1033" s="171"/>
      <c r="AD1033" s="171"/>
      <c r="AE1033" s="171"/>
      <c r="AG1033"/>
    </row>
    <row r="1034" spans="1:33" x14ac:dyDescent="0.25">
      <c r="A1034" s="182"/>
      <c r="B1034" s="182"/>
      <c r="C1034" s="171"/>
      <c r="D1034" s="171"/>
      <c r="E1034" s="160"/>
      <c r="F1034" s="171"/>
      <c r="G1034" s="171"/>
      <c r="H1034"/>
      <c r="Q1034" s="160"/>
      <c r="R1034" s="160"/>
      <c r="S1034" s="171"/>
      <c r="AD1034" s="171"/>
      <c r="AE1034" s="171"/>
      <c r="AG1034"/>
    </row>
    <row r="1035" spans="1:33" x14ac:dyDescent="0.25">
      <c r="A1035" s="182"/>
      <c r="B1035" s="182"/>
      <c r="C1035" s="171"/>
      <c r="D1035" s="171"/>
      <c r="E1035" s="160"/>
      <c r="F1035" s="171"/>
      <c r="G1035" s="171"/>
      <c r="H1035"/>
      <c r="Q1035" s="160"/>
      <c r="R1035" s="160"/>
      <c r="S1035" s="171"/>
      <c r="AD1035" s="171"/>
      <c r="AE1035" s="171"/>
      <c r="AG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3"/>
  <sheetViews>
    <sheetView topLeftCell="B1" zoomScaleNormal="100" workbookViewId="0">
      <selection activeCell="L146" sqref="L146"/>
    </sheetView>
  </sheetViews>
  <sheetFormatPr defaultColWidth="8.88671875" defaultRowHeight="13.2" x14ac:dyDescent="0.25"/>
  <cols>
    <col min="1" max="1" width="8.44140625" style="49" hidden="1" customWidth="1"/>
    <col min="2" max="2" width="10.44140625" style="49" customWidth="1"/>
    <col min="3" max="3" width="9.109375" style="49" customWidth="1"/>
    <col min="4" max="4" width="15.6640625" style="49" customWidth="1"/>
    <col min="5" max="5" width="11.6640625" style="49" customWidth="1"/>
    <col min="6" max="7" width="9.109375" style="49" customWidth="1"/>
    <col min="8" max="8" width="8.88671875" style="49"/>
    <col min="9" max="9" width="13" style="49" customWidth="1"/>
    <col min="10" max="10" width="14.33203125" style="49" customWidth="1"/>
    <col min="11" max="11" width="15.88671875" style="49" customWidth="1"/>
    <col min="12" max="13" width="15.5546875" style="49" customWidth="1"/>
    <col min="14" max="14" width="12.6640625" style="49" customWidth="1"/>
    <col min="15" max="15" width="13" style="49" customWidth="1"/>
    <col min="16" max="17" width="8.88671875" style="49"/>
    <col min="18" max="18" width="11.88671875" style="49" customWidth="1"/>
    <col min="19" max="16384" width="8.88671875" style="49"/>
  </cols>
  <sheetData>
    <row r="1" spans="2:14" ht="22.2" x14ac:dyDescent="0.35">
      <c r="B1" s="55" t="s">
        <v>94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3" spans="2:14" ht="20.399999999999999" x14ac:dyDescent="0.25">
      <c r="B3" s="50" t="s">
        <v>165</v>
      </c>
    </row>
    <row r="5" spans="2:14" ht="13.8" x14ac:dyDescent="0.25">
      <c r="B5" s="277" t="s">
        <v>299</v>
      </c>
      <c r="C5" s="278"/>
      <c r="D5" s="278"/>
      <c r="E5" s="279"/>
    </row>
    <row r="6" spans="2:14" ht="14.25" customHeight="1" x14ac:dyDescent="0.25">
      <c r="B6" s="456"/>
      <c r="C6" s="457"/>
      <c r="D6" s="457"/>
      <c r="E6" s="458"/>
    </row>
    <row r="7" spans="2:14" ht="13.8" x14ac:dyDescent="0.25">
      <c r="B7" s="280" t="s">
        <v>338</v>
      </c>
      <c r="C7" s="281"/>
      <c r="D7" s="282"/>
      <c r="E7" s="282"/>
    </row>
    <row r="8" spans="2:14" ht="14.25" customHeight="1" x14ac:dyDescent="0.25">
      <c r="B8" s="456"/>
      <c r="C8" s="457"/>
      <c r="D8" s="457"/>
      <c r="E8" s="458"/>
    </row>
    <row r="9" spans="2:14" ht="13.8" x14ac:dyDescent="0.25">
      <c r="B9" s="277" t="s">
        <v>301</v>
      </c>
      <c r="C9" s="278"/>
      <c r="D9" s="278"/>
      <c r="E9" s="279"/>
    </row>
    <row r="10" spans="2:14" ht="14.25" customHeight="1" x14ac:dyDescent="0.25">
      <c r="B10" s="456"/>
      <c r="C10" s="457"/>
      <c r="D10" s="457"/>
      <c r="E10" s="458"/>
    </row>
    <row r="11" spans="2:14" ht="13.8" x14ac:dyDescent="0.25">
      <c r="B11" s="283" t="s">
        <v>298</v>
      </c>
      <c r="C11" s="282"/>
      <c r="D11" s="282"/>
      <c r="E11" s="284"/>
    </row>
    <row r="12" spans="2:14" ht="15" customHeight="1" x14ac:dyDescent="0.25">
      <c r="B12" s="456"/>
      <c r="C12" s="457"/>
      <c r="D12" s="458"/>
      <c r="E12" s="285"/>
    </row>
    <row r="13" spans="2:14" ht="13.8" x14ac:dyDescent="0.25">
      <c r="B13" s="283" t="s">
        <v>300</v>
      </c>
      <c r="C13" s="282"/>
      <c r="D13" s="282"/>
      <c r="E13" s="43"/>
    </row>
    <row r="14" spans="2:14" ht="15" x14ac:dyDescent="0.25">
      <c r="B14" s="459"/>
      <c r="C14" s="457"/>
      <c r="D14" s="458"/>
      <c r="E14" s="43"/>
      <c r="N14" s="293"/>
    </row>
    <row r="16" spans="2:14" x14ac:dyDescent="0.25">
      <c r="B16" s="57"/>
      <c r="C16" s="126"/>
      <c r="D16" s="127"/>
      <c r="E16" s="127"/>
      <c r="G16" s="57"/>
    </row>
    <row r="17" spans="2:19" ht="15" x14ac:dyDescent="0.25">
      <c r="B17" s="57"/>
      <c r="C17" s="126"/>
      <c r="D17" s="127"/>
      <c r="E17" s="127"/>
      <c r="G17" s="57"/>
      <c r="J17" s="41"/>
      <c r="N17" s="3"/>
      <c r="O17" s="3"/>
      <c r="P17" s="3"/>
      <c r="Q17" s="3"/>
      <c r="R17" s="3"/>
      <c r="S17" s="48"/>
    </row>
    <row r="18" spans="2:19" ht="15" x14ac:dyDescent="0.25">
      <c r="B18" s="41" t="s">
        <v>276</v>
      </c>
      <c r="C18" s="41"/>
      <c r="D18" s="41"/>
      <c r="E18" s="41"/>
      <c r="F18" s="40"/>
      <c r="J18" s="41" t="s">
        <v>166</v>
      </c>
      <c r="L18" s="41"/>
      <c r="M18" s="41"/>
      <c r="N18" s="41"/>
      <c r="O18" s="3"/>
    </row>
    <row r="19" spans="2:19" ht="18.75" customHeight="1" x14ac:dyDescent="0.25">
      <c r="L19" s="42"/>
      <c r="M19" s="42"/>
      <c r="N19" s="42"/>
      <c r="O19" s="3"/>
    </row>
    <row r="20" spans="2:19" ht="15" x14ac:dyDescent="0.25">
      <c r="B20" s="229" t="s">
        <v>277</v>
      </c>
      <c r="F20" s="351" t="s">
        <v>345</v>
      </c>
      <c r="G20" s="351" t="s">
        <v>344</v>
      </c>
      <c r="J20" s="228" t="s">
        <v>167</v>
      </c>
      <c r="K20" s="228"/>
      <c r="L20" s="228"/>
      <c r="M20" s="322"/>
      <c r="N20" s="323"/>
      <c r="O20" s="2"/>
    </row>
    <row r="21" spans="2:19" ht="15.75" customHeight="1" x14ac:dyDescent="0.25">
      <c r="B21" s="57" t="s">
        <v>346</v>
      </c>
      <c r="C21" s="126"/>
      <c r="D21" s="127"/>
      <c r="E21" s="127"/>
      <c r="F21" s="349"/>
      <c r="G21" s="349"/>
      <c r="H21" s="350" t="s">
        <v>58</v>
      </c>
      <c r="J21" s="110"/>
      <c r="M21" s="455" t="s">
        <v>168</v>
      </c>
      <c r="N21" s="443" t="s">
        <v>169</v>
      </c>
    </row>
    <row r="22" spans="2:19" ht="15.75" customHeight="1" x14ac:dyDescent="0.25">
      <c r="B22" s="57" t="s">
        <v>278</v>
      </c>
      <c r="C22" s="126"/>
      <c r="D22" s="127"/>
      <c r="E22" s="127"/>
      <c r="F22" s="44">
        <v>4</v>
      </c>
      <c r="G22" s="44">
        <v>4</v>
      </c>
      <c r="H22" s="350" t="s">
        <v>116</v>
      </c>
      <c r="J22" s="112"/>
      <c r="K22" s="320"/>
      <c r="L22" s="111"/>
      <c r="M22" s="455"/>
      <c r="N22" s="443"/>
    </row>
    <row r="23" spans="2:19" ht="15.75" customHeight="1" x14ac:dyDescent="0.25">
      <c r="B23" s="49" t="s">
        <v>350</v>
      </c>
      <c r="F23" s="138">
        <f>IFERROR(INT(F21/F22),0)</f>
        <v>0</v>
      </c>
      <c r="G23" s="138">
        <f>IFERROR(INT(G21/G22),0)</f>
        <v>0</v>
      </c>
      <c r="H23" s="49" t="s">
        <v>115</v>
      </c>
      <c r="J23" s="329"/>
      <c r="K23" s="330" t="s">
        <v>61</v>
      </c>
      <c r="L23" s="331" t="s">
        <v>57</v>
      </c>
      <c r="M23" s="332">
        <f>F37*F22*F41</f>
        <v>384</v>
      </c>
      <c r="N23" s="333">
        <f>F37*F22*F41*F39*F40/86400</f>
        <v>7.9999999999999984E-3</v>
      </c>
    </row>
    <row r="24" spans="2:19" ht="15.75" customHeight="1" x14ac:dyDescent="0.25">
      <c r="B24" s="57" t="s">
        <v>351</v>
      </c>
      <c r="C24" s="126"/>
      <c r="D24" s="127"/>
      <c r="E24" s="127"/>
      <c r="F24" s="44">
        <v>1</v>
      </c>
      <c r="G24" s="44">
        <v>1</v>
      </c>
      <c r="H24" s="49" t="s">
        <v>352</v>
      </c>
      <c r="J24" s="334" t="s">
        <v>261</v>
      </c>
      <c r="K24" s="325"/>
      <c r="L24" s="326"/>
      <c r="M24" s="362"/>
      <c r="N24" s="363"/>
    </row>
    <row r="25" spans="2:19" ht="15.75" customHeight="1" x14ac:dyDescent="0.25">
      <c r="B25" s="49" t="s">
        <v>349</v>
      </c>
      <c r="F25" s="138">
        <f>IFERROR(INT(F23/F24),0)</f>
        <v>0</v>
      </c>
      <c r="G25" s="138">
        <f>IFERROR(INT(G23/G24),0)</f>
        <v>0</v>
      </c>
      <c r="H25" s="49" t="s">
        <v>115</v>
      </c>
      <c r="J25" s="335"/>
      <c r="K25" s="327" t="str">
        <f>IFERROR(INT(L25)&amp;" Qe =",0)</f>
        <v>1250 Qe =</v>
      </c>
      <c r="L25" s="328">
        <f>IFERROR(N25/N23,0)</f>
        <v>1250.0000000000002</v>
      </c>
      <c r="M25" s="364"/>
      <c r="N25" s="336">
        <f>IF(N23=0,0,10)</f>
        <v>10</v>
      </c>
    </row>
    <row r="26" spans="2:19" ht="15.75" customHeight="1" x14ac:dyDescent="0.25">
      <c r="J26" s="337"/>
      <c r="K26" s="321" t="s">
        <v>61</v>
      </c>
      <c r="L26" s="109" t="s">
        <v>57</v>
      </c>
      <c r="M26" s="136">
        <f>G37*G22*F41</f>
        <v>384</v>
      </c>
      <c r="N26" s="338">
        <f>G37*G22*F41*F39*F40/86400</f>
        <v>7.9999999999999984E-3</v>
      </c>
    </row>
    <row r="27" spans="2:19" ht="15.75" customHeight="1" x14ac:dyDescent="0.25">
      <c r="B27" s="229" t="s">
        <v>279</v>
      </c>
      <c r="F27" s="351" t="s">
        <v>345</v>
      </c>
      <c r="G27" s="351" t="s">
        <v>344</v>
      </c>
      <c r="J27" s="339" t="s">
        <v>260</v>
      </c>
      <c r="K27" s="108"/>
      <c r="L27" s="108"/>
      <c r="M27" s="108"/>
      <c r="N27" s="365"/>
    </row>
    <row r="28" spans="2:19" ht="14.25" customHeight="1" x14ac:dyDescent="0.25">
      <c r="B28" s="57" t="s">
        <v>347</v>
      </c>
      <c r="C28" s="126"/>
      <c r="D28" s="127"/>
      <c r="E28" s="127"/>
      <c r="F28" s="352">
        <f>RedBasica!$L$11</f>
        <v>0</v>
      </c>
      <c r="G28" s="352">
        <f>RedBasica!$K$11</f>
        <v>0</v>
      </c>
      <c r="H28" s="57" t="s">
        <v>115</v>
      </c>
      <c r="J28" s="340"/>
      <c r="K28" s="341" t="str">
        <f>IFERROR(INT(L28)&amp;" Qe =",0)</f>
        <v>1250 Qe =</v>
      </c>
      <c r="L28" s="342">
        <f>IFERROR(N28/N26,0)</f>
        <v>1250.0000000000002</v>
      </c>
      <c r="M28" s="366"/>
      <c r="N28" s="343">
        <f>IF(N26=0,0,10)</f>
        <v>10</v>
      </c>
    </row>
    <row r="29" spans="2:19" ht="14.25" customHeight="1" x14ac:dyDescent="0.25">
      <c r="B29" s="57" t="s">
        <v>280</v>
      </c>
      <c r="C29" s="127"/>
      <c r="D29" s="127"/>
      <c r="E29" s="354" t="s">
        <v>59</v>
      </c>
      <c r="F29" s="146">
        <f>N23</f>
        <v>7.9999999999999984E-3</v>
      </c>
      <c r="G29" s="146">
        <f>N26</f>
        <v>7.9999999999999984E-3</v>
      </c>
      <c r="H29" s="57" t="s">
        <v>5</v>
      </c>
      <c r="J29" s="444" t="s">
        <v>170</v>
      </c>
      <c r="K29" s="445"/>
      <c r="L29" s="445"/>
      <c r="M29" s="445"/>
      <c r="N29" s="446"/>
    </row>
    <row r="30" spans="2:19" ht="14.25" customHeight="1" x14ac:dyDescent="0.25">
      <c r="B30" s="57" t="s">
        <v>281</v>
      </c>
      <c r="C30" s="127"/>
      <c r="D30" s="127"/>
      <c r="E30" s="354" t="s">
        <v>60</v>
      </c>
      <c r="F30" s="147">
        <f>M23</f>
        <v>384</v>
      </c>
      <c r="G30" s="353">
        <f>M26</f>
        <v>384</v>
      </c>
      <c r="H30" s="57" t="s">
        <v>55</v>
      </c>
      <c r="J30" s="447"/>
      <c r="K30" s="448"/>
      <c r="L30" s="448"/>
      <c r="M30" s="448"/>
      <c r="N30" s="449"/>
    </row>
    <row r="31" spans="2:19" ht="13.5" customHeight="1" x14ac:dyDescent="0.25">
      <c r="B31" s="57"/>
      <c r="C31" s="127"/>
      <c r="D31" s="127"/>
      <c r="E31" s="135"/>
      <c r="F31" s="147"/>
      <c r="G31" s="353"/>
      <c r="H31" s="57"/>
      <c r="J31" s="319"/>
      <c r="K31" s="319"/>
      <c r="L31" s="319"/>
      <c r="M31" s="319"/>
      <c r="N31" s="319"/>
    </row>
    <row r="32" spans="2:19" ht="15" x14ac:dyDescent="0.25">
      <c r="B32" s="229" t="s">
        <v>282</v>
      </c>
      <c r="F32" s="351"/>
      <c r="G32" s="351"/>
      <c r="J32" s="228" t="s">
        <v>171</v>
      </c>
      <c r="K32" s="115"/>
      <c r="L32" s="114"/>
      <c r="M32" s="113"/>
    </row>
    <row r="33" spans="2:15" ht="15" customHeight="1" x14ac:dyDescent="0.25">
      <c r="B33" s="117" t="s">
        <v>348</v>
      </c>
      <c r="C33" s="126"/>
      <c r="D33" s="127"/>
      <c r="F33" s="450" t="s">
        <v>383</v>
      </c>
      <c r="G33" s="450"/>
      <c r="J33" s="110"/>
      <c r="K33" s="451" t="s">
        <v>172</v>
      </c>
      <c r="L33" s="451" t="s">
        <v>173</v>
      </c>
      <c r="M33" s="453" t="s">
        <v>174</v>
      </c>
      <c r="N33" s="2"/>
      <c r="O33" s="2"/>
    </row>
    <row r="34" spans="2:15" ht="15" customHeight="1" x14ac:dyDescent="0.25">
      <c r="B34" s="117" t="s">
        <v>283</v>
      </c>
      <c r="C34" s="126"/>
      <c r="D34" s="127"/>
      <c r="E34" s="127"/>
      <c r="F34" s="145">
        <f>IFERROR(IF(F33="Sim",M36,0),0)</f>
        <v>0</v>
      </c>
      <c r="G34" s="145">
        <f>IFERROR(IF(F33="Sim",M37,0),0)</f>
        <v>0</v>
      </c>
      <c r="H34" s="126" t="s">
        <v>14</v>
      </c>
      <c r="J34" s="110"/>
      <c r="K34" s="451"/>
      <c r="L34" s="451"/>
      <c r="M34" s="453"/>
      <c r="N34" s="2"/>
      <c r="O34" s="2"/>
    </row>
    <row r="35" spans="2:15" ht="13.5" customHeight="1" x14ac:dyDescent="0.25">
      <c r="J35" s="324"/>
      <c r="K35" s="452"/>
      <c r="L35" s="452"/>
      <c r="M35" s="454"/>
    </row>
    <row r="36" spans="2:15" ht="20.25" customHeight="1" x14ac:dyDescent="0.25">
      <c r="B36" s="229" t="s">
        <v>284</v>
      </c>
      <c r="F36" s="351" t="s">
        <v>345</v>
      </c>
      <c r="G36" s="351" t="s">
        <v>344</v>
      </c>
      <c r="J36" s="360" t="s">
        <v>175</v>
      </c>
      <c r="K36" s="344">
        <f>F21</f>
        <v>0</v>
      </c>
      <c r="L36" s="344">
        <f>RedBasica!F11</f>
        <v>0</v>
      </c>
      <c r="M36" s="345">
        <f>IF(RedBasica!$F$11=0,0,(F21*$F$37*$F$41/86400)/RedBasica!$F$11*1000)</f>
        <v>0</v>
      </c>
    </row>
    <row r="37" spans="2:15" ht="20.25" customHeight="1" x14ac:dyDescent="0.25">
      <c r="B37" s="117" t="s">
        <v>285</v>
      </c>
      <c r="C37" s="126"/>
      <c r="D37" s="127"/>
      <c r="E37" s="127"/>
      <c r="F37" s="367">
        <v>120</v>
      </c>
      <c r="G37" s="367">
        <v>120</v>
      </c>
      <c r="H37" s="126" t="s">
        <v>13</v>
      </c>
      <c r="J37" s="361" t="s">
        <v>176</v>
      </c>
      <c r="K37" s="346">
        <f>G21</f>
        <v>0</v>
      </c>
      <c r="L37" s="346">
        <f>RedBasica!F11</f>
        <v>0</v>
      </c>
      <c r="M37" s="347">
        <f>IF(RedBasica!$F$11=0,0,(G21*$G$37*$F$41/86400)/RedBasica!$F$11*1000)</f>
        <v>0</v>
      </c>
    </row>
    <row r="38" spans="2:15" ht="2.25" customHeight="1" x14ac:dyDescent="0.25">
      <c r="B38" s="369"/>
      <c r="C38" s="370"/>
      <c r="D38" s="371"/>
      <c r="E38" s="371"/>
      <c r="F38" s="370"/>
      <c r="G38" s="370"/>
      <c r="H38" s="368"/>
    </row>
    <row r="39" spans="2:15" x14ac:dyDescent="0.25">
      <c r="B39" s="57" t="s">
        <v>11</v>
      </c>
      <c r="C39" s="126"/>
      <c r="D39" s="127"/>
      <c r="F39" s="44">
        <v>1.2</v>
      </c>
      <c r="G39" s="128"/>
    </row>
    <row r="40" spans="2:15" x14ac:dyDescent="0.25">
      <c r="B40" s="57" t="s">
        <v>12</v>
      </c>
      <c r="C40" s="126"/>
      <c r="D40" s="127"/>
      <c r="F40" s="44">
        <v>1.5</v>
      </c>
      <c r="G40" s="128"/>
    </row>
    <row r="41" spans="2:15" x14ac:dyDescent="0.25">
      <c r="B41" s="126" t="s">
        <v>3</v>
      </c>
      <c r="C41" s="126"/>
      <c r="D41" s="127"/>
      <c r="F41" s="44">
        <v>0.8</v>
      </c>
      <c r="G41" s="126"/>
    </row>
    <row r="42" spans="2:15" x14ac:dyDescent="0.25">
      <c r="B42" s="57" t="s">
        <v>286</v>
      </c>
      <c r="C42" s="126"/>
      <c r="D42" s="127"/>
      <c r="F42" s="218">
        <v>0.01</v>
      </c>
      <c r="G42" s="126" t="s">
        <v>14</v>
      </c>
      <c r="J42" s="42"/>
    </row>
    <row r="43" spans="2:15" x14ac:dyDescent="0.25">
      <c r="B43" s="117" t="s">
        <v>291</v>
      </c>
      <c r="C43" s="117"/>
      <c r="D43" s="127"/>
      <c r="F43" s="44">
        <v>1</v>
      </c>
      <c r="G43" s="126" t="s">
        <v>0</v>
      </c>
    </row>
    <row r="44" spans="2:15" x14ac:dyDescent="0.25">
      <c r="B44" s="57" t="s">
        <v>287</v>
      </c>
      <c r="C44" s="126"/>
      <c r="D44" s="127"/>
      <c r="F44" s="44">
        <v>1.5</v>
      </c>
      <c r="G44" s="126" t="s">
        <v>5</v>
      </c>
    </row>
    <row r="45" spans="2:15" x14ac:dyDescent="0.25">
      <c r="B45" s="57" t="s">
        <v>290</v>
      </c>
      <c r="C45" s="126"/>
      <c r="D45" s="127"/>
      <c r="F45" s="139">
        <v>0.5</v>
      </c>
      <c r="G45" s="126" t="s">
        <v>4</v>
      </c>
    </row>
    <row r="46" spans="2:15" x14ac:dyDescent="0.25">
      <c r="B46" s="57" t="s">
        <v>288</v>
      </c>
      <c r="C46" s="126"/>
      <c r="D46" s="127"/>
      <c r="F46" s="139">
        <v>0.75</v>
      </c>
      <c r="G46" s="126" t="s">
        <v>4</v>
      </c>
    </row>
    <row r="47" spans="2:15" ht="12.6" customHeight="1" x14ac:dyDescent="0.25">
      <c r="B47" s="57"/>
      <c r="C47" s="126"/>
      <c r="D47" s="127"/>
      <c r="G47" s="126"/>
      <c r="I47" s="61"/>
    </row>
    <row r="48" spans="2:15" x14ac:dyDescent="0.25">
      <c r="B48" s="46" t="s">
        <v>289</v>
      </c>
      <c r="C48" s="128"/>
      <c r="D48" s="127"/>
      <c r="E48" s="127"/>
      <c r="F48" s="141"/>
      <c r="G48" s="128"/>
    </row>
    <row r="49" spans="1:13" ht="9" customHeight="1" x14ac:dyDescent="0.25">
      <c r="B49" s="126" t="s">
        <v>1</v>
      </c>
      <c r="C49" s="126"/>
      <c r="D49" s="127"/>
      <c r="E49" s="127"/>
      <c r="F49" s="142">
        <v>150</v>
      </c>
      <c r="G49" s="126" t="s">
        <v>2</v>
      </c>
    </row>
    <row r="50" spans="1:13" ht="6" customHeight="1" x14ac:dyDescent="0.25">
      <c r="I50" s="313"/>
      <c r="M50" s="137"/>
    </row>
    <row r="51" spans="1:13" x14ac:dyDescent="0.25">
      <c r="B51" s="46" t="s">
        <v>292</v>
      </c>
      <c r="C51" s="46"/>
      <c r="D51" s="127"/>
      <c r="E51" s="127"/>
      <c r="F51" s="140" t="s">
        <v>56</v>
      </c>
      <c r="G51" s="128"/>
    </row>
    <row r="52" spans="1:13" x14ac:dyDescent="0.25">
      <c r="B52" s="117" t="s">
        <v>293</v>
      </c>
      <c r="C52" s="295">
        <v>150</v>
      </c>
      <c r="D52" s="127"/>
      <c r="E52" s="127"/>
      <c r="F52" s="219">
        <v>4.4999999999999997E-3</v>
      </c>
      <c r="G52" s="126" t="s">
        <v>22</v>
      </c>
    </row>
    <row r="53" spans="1:13" x14ac:dyDescent="0.25">
      <c r="B53" s="117" t="s">
        <v>293</v>
      </c>
      <c r="C53" s="295">
        <v>200</v>
      </c>
      <c r="D53" s="127"/>
      <c r="E53" s="127"/>
      <c r="F53" s="219">
        <v>4.0000000000000001E-3</v>
      </c>
      <c r="G53" s="126" t="s">
        <v>22</v>
      </c>
    </row>
    <row r="54" spans="1:13" x14ac:dyDescent="0.25">
      <c r="B54" s="126" t="s">
        <v>54</v>
      </c>
      <c r="C54" s="295">
        <v>250</v>
      </c>
      <c r="D54" s="127"/>
      <c r="E54" s="127"/>
      <c r="F54" s="219">
        <v>3.5000000000000001E-3</v>
      </c>
      <c r="G54" s="126" t="s">
        <v>22</v>
      </c>
    </row>
    <row r="55" spans="1:13" ht="6" customHeight="1" x14ac:dyDescent="0.25">
      <c r="B55" s="126"/>
      <c r="G55" s="126"/>
    </row>
    <row r="56" spans="1:13" x14ac:dyDescent="0.25">
      <c r="B56" s="46" t="s">
        <v>23</v>
      </c>
      <c r="C56" s="46"/>
      <c r="D56" s="127"/>
      <c r="E56" s="127"/>
      <c r="F56" s="141"/>
      <c r="G56" s="128"/>
    </row>
    <row r="57" spans="1:13" x14ac:dyDescent="0.25">
      <c r="B57" s="57" t="s">
        <v>294</v>
      </c>
      <c r="C57" s="126"/>
      <c r="D57" s="127"/>
      <c r="E57" s="127"/>
      <c r="F57" s="143">
        <v>0.9</v>
      </c>
      <c r="G57" s="126" t="s">
        <v>6</v>
      </c>
    </row>
    <row r="58" spans="1:13" ht="9" customHeight="1" x14ac:dyDescent="0.25">
      <c r="B58" s="57" t="s">
        <v>295</v>
      </c>
      <c r="C58" s="126"/>
      <c r="D58" s="127"/>
      <c r="E58" s="127"/>
      <c r="F58" s="44">
        <v>0.65</v>
      </c>
      <c r="G58" s="126" t="s">
        <v>6</v>
      </c>
    </row>
    <row r="59" spans="1:13" ht="6" customHeight="1" x14ac:dyDescent="0.25">
      <c r="B59" s="57"/>
      <c r="C59" s="126"/>
      <c r="D59" s="127"/>
      <c r="E59" s="127"/>
      <c r="F59" s="126"/>
      <c r="G59" s="126"/>
    </row>
    <row r="60" spans="1:13" x14ac:dyDescent="0.25">
      <c r="A60" s="61"/>
      <c r="B60" s="46" t="s">
        <v>296</v>
      </c>
      <c r="C60" s="127"/>
      <c r="D60" s="127"/>
      <c r="E60" s="127"/>
      <c r="F60" s="144"/>
      <c r="G60" s="127"/>
    </row>
    <row r="61" spans="1:13" x14ac:dyDescent="0.25">
      <c r="A61" s="61"/>
      <c r="B61" s="57" t="s">
        <v>379</v>
      </c>
      <c r="C61" s="127"/>
      <c r="D61" s="127"/>
      <c r="E61" s="127"/>
      <c r="F61" s="294" t="s">
        <v>383</v>
      </c>
      <c r="G61" s="127"/>
    </row>
    <row r="62" spans="1:13" ht="6" customHeight="1" x14ac:dyDescent="0.25">
      <c r="B62" s="57"/>
      <c r="C62" s="127"/>
      <c r="D62" s="127"/>
      <c r="E62" s="127"/>
      <c r="F62" s="127"/>
    </row>
    <row r="63" spans="1:13" x14ac:dyDescent="0.25">
      <c r="B63" s="229" t="s">
        <v>381</v>
      </c>
      <c r="C63" s="127"/>
      <c r="D63" s="127"/>
      <c r="E63" s="127"/>
      <c r="F63" s="144"/>
      <c r="G63" s="127"/>
    </row>
    <row r="64" spans="1:13" x14ac:dyDescent="0.25">
      <c r="B64" s="57" t="s">
        <v>392</v>
      </c>
      <c r="C64" s="356"/>
      <c r="D64" s="356"/>
      <c r="F64" s="372">
        <v>0</v>
      </c>
      <c r="G64" s="355" t="s">
        <v>6</v>
      </c>
    </row>
    <row r="65" spans="2:7" x14ac:dyDescent="0.25">
      <c r="B65" s="57" t="s">
        <v>297</v>
      </c>
      <c r="C65" s="356"/>
      <c r="D65" s="356"/>
      <c r="F65" s="372">
        <v>0.5</v>
      </c>
      <c r="G65" s="355" t="s">
        <v>6</v>
      </c>
    </row>
    <row r="66" spans="2:7" x14ac:dyDescent="0.25">
      <c r="B66" s="57" t="s">
        <v>382</v>
      </c>
      <c r="C66" s="357"/>
      <c r="D66" s="357"/>
      <c r="E66" s="357"/>
      <c r="F66" s="359">
        <v>0</v>
      </c>
      <c r="G66" s="358" t="s">
        <v>6</v>
      </c>
    </row>
    <row r="67" spans="2:7" ht="16.5" customHeight="1" x14ac:dyDescent="0.25">
      <c r="G67" s="116"/>
    </row>
    <row r="68" spans="2:7" ht="24" customHeight="1" x14ac:dyDescent="0.25">
      <c r="B68" s="118" t="s">
        <v>25</v>
      </c>
      <c r="C68" s="119"/>
      <c r="D68" s="119"/>
      <c r="E68" s="119"/>
      <c r="F68" s="116"/>
      <c r="G68" s="116"/>
    </row>
    <row r="69" spans="2:7" ht="27.75" customHeight="1" x14ac:dyDescent="0.25">
      <c r="B69" s="59" t="s">
        <v>29</v>
      </c>
      <c r="C69" s="60" t="s">
        <v>26</v>
      </c>
      <c r="D69" s="58" t="s">
        <v>28</v>
      </c>
      <c r="E69" s="58" t="s">
        <v>237</v>
      </c>
      <c r="F69" s="116"/>
      <c r="G69" s="116"/>
    </row>
    <row r="70" spans="2:7" ht="4.5" customHeight="1" x14ac:dyDescent="0.25">
      <c r="B70" s="269">
        <v>0</v>
      </c>
      <c r="C70" s="270"/>
      <c r="D70" s="271"/>
      <c r="E70" s="271"/>
      <c r="F70" s="116"/>
      <c r="G70" s="116"/>
    </row>
    <row r="71" spans="2:7" x14ac:dyDescent="0.25">
      <c r="B71" s="38">
        <f>'A7'!B2</f>
        <v>100</v>
      </c>
      <c r="C71" s="124" t="s">
        <v>121</v>
      </c>
      <c r="D71" s="120">
        <f>HLOOKUP(C71,'A7'!$C$18:$G$19,2,FALSE)</f>
        <v>0.01</v>
      </c>
      <c r="E71" s="125">
        <v>1.2999999999999999E-2</v>
      </c>
      <c r="F71" s="116"/>
      <c r="G71" s="116"/>
    </row>
    <row r="72" spans="2:7" x14ac:dyDescent="0.25">
      <c r="B72" s="38">
        <f>'A7'!B3</f>
        <v>150</v>
      </c>
      <c r="C72" s="124" t="s">
        <v>121</v>
      </c>
      <c r="D72" s="120">
        <f>HLOOKUP(C72,'A7'!$C$18:$G$19,2,FALSE)</f>
        <v>0.01</v>
      </c>
      <c r="E72" s="125">
        <v>1.2999999999999999E-2</v>
      </c>
      <c r="F72" s="116"/>
      <c r="G72" s="116"/>
    </row>
    <row r="73" spans="2:7" x14ac:dyDescent="0.25">
      <c r="B73" s="38">
        <f>'A7'!B4</f>
        <v>200</v>
      </c>
      <c r="C73" s="124" t="s">
        <v>121</v>
      </c>
      <c r="D73" s="120">
        <f>HLOOKUP(C73,'A7'!$C$18:$G$19,2,FALSE)</f>
        <v>0.01</v>
      </c>
      <c r="E73" s="125">
        <v>1.2999999999999999E-2</v>
      </c>
      <c r="F73" s="116"/>
      <c r="G73" s="116"/>
    </row>
    <row r="74" spans="2:7" x14ac:dyDescent="0.25">
      <c r="B74" s="38">
        <f>'A7'!B5</f>
        <v>250</v>
      </c>
      <c r="C74" s="124" t="s">
        <v>121</v>
      </c>
      <c r="D74" s="120">
        <f>HLOOKUP(C74,'A7'!$C$18:$G$19,2,FALSE)</f>
        <v>0.01</v>
      </c>
      <c r="E74" s="125">
        <v>1.2999999999999999E-2</v>
      </c>
      <c r="F74" s="116"/>
      <c r="G74" s="116"/>
    </row>
    <row r="75" spans="2:7" x14ac:dyDescent="0.25">
      <c r="B75" s="38">
        <f>'A7'!B6</f>
        <v>300</v>
      </c>
      <c r="C75" s="124" t="s">
        <v>121</v>
      </c>
      <c r="D75" s="120">
        <f>HLOOKUP(C75,'A7'!$C$18:$G$19,2,FALSE)</f>
        <v>0.01</v>
      </c>
      <c r="E75" s="125">
        <v>1.2999999999999999E-2</v>
      </c>
      <c r="F75" s="116"/>
    </row>
    <row r="76" spans="2:7" x14ac:dyDescent="0.25">
      <c r="B76" s="38">
        <f>'A7'!B7</f>
        <v>350</v>
      </c>
      <c r="C76" s="124" t="s">
        <v>121</v>
      </c>
      <c r="D76" s="120">
        <f>HLOOKUP(C76,'A7'!$C$18:$G$19,2,FALSE)</f>
        <v>0.01</v>
      </c>
      <c r="E76" s="125">
        <v>1.2999999999999999E-2</v>
      </c>
    </row>
    <row r="77" spans="2:7" x14ac:dyDescent="0.25">
      <c r="B77" s="38">
        <f>'A7'!B8</f>
        <v>400</v>
      </c>
      <c r="C77" s="124" t="s">
        <v>112</v>
      </c>
      <c r="D77" s="120">
        <f>HLOOKUP(C77,'A7'!$C$18:$G$19,2,FALSE)</f>
        <v>0.01</v>
      </c>
      <c r="E77" s="125">
        <v>1.2999999999999999E-2</v>
      </c>
    </row>
    <row r="78" spans="2:7" x14ac:dyDescent="0.25">
      <c r="B78" s="38">
        <f>'A7'!B9</f>
        <v>450</v>
      </c>
      <c r="C78" s="124" t="s">
        <v>112</v>
      </c>
      <c r="D78" s="120">
        <f>HLOOKUP(C78,'A7'!$C$18:$G$19,2,FALSE)</f>
        <v>0.01</v>
      </c>
      <c r="E78" s="125">
        <v>1.2999999999999999E-2</v>
      </c>
    </row>
    <row r="79" spans="2:7" x14ac:dyDescent="0.25">
      <c r="B79" s="38">
        <f>'A7'!B10</f>
        <v>500</v>
      </c>
      <c r="C79" s="124" t="s">
        <v>112</v>
      </c>
      <c r="D79" s="120">
        <f>HLOOKUP(C79,'A7'!$C$18:$G$19,2,FALSE)</f>
        <v>0.01</v>
      </c>
      <c r="E79" s="125">
        <v>1.2999999999999999E-2</v>
      </c>
    </row>
    <row r="80" spans="2:7" x14ac:dyDescent="0.25">
      <c r="B80" s="38">
        <f>'A7'!B11</f>
        <v>600</v>
      </c>
      <c r="C80" s="124" t="s">
        <v>112</v>
      </c>
      <c r="D80" s="120">
        <f>HLOOKUP(C80,'A7'!$C$18:$G$19,2,FALSE)</f>
        <v>0.01</v>
      </c>
      <c r="E80" s="125">
        <v>1.2999999999999999E-2</v>
      </c>
    </row>
    <row r="81" spans="2:5" x14ac:dyDescent="0.25">
      <c r="B81" s="38">
        <f>'A7'!B12</f>
        <v>700</v>
      </c>
      <c r="C81" s="124" t="s">
        <v>112</v>
      </c>
      <c r="D81" s="120">
        <f>HLOOKUP(C81,'A7'!$C$18:$G$19,2,FALSE)</f>
        <v>0.01</v>
      </c>
      <c r="E81" s="125">
        <v>1.2999999999999999E-2</v>
      </c>
    </row>
    <row r="82" spans="2:5" x14ac:dyDescent="0.25">
      <c r="B82" s="38">
        <f>'A7'!B13</f>
        <v>800</v>
      </c>
      <c r="C82" s="124" t="s">
        <v>112</v>
      </c>
      <c r="D82" s="120">
        <f>HLOOKUP(C82,'A7'!$C$18:$G$19,2,FALSE)</f>
        <v>0.01</v>
      </c>
      <c r="E82" s="125">
        <v>1.2999999999999999E-2</v>
      </c>
    </row>
    <row r="83" spans="2:5" x14ac:dyDescent="0.25">
      <c r="B83" s="38">
        <f>'A7'!B14</f>
        <v>900</v>
      </c>
      <c r="C83" s="124" t="s">
        <v>112</v>
      </c>
      <c r="D83" s="120">
        <f>HLOOKUP(C83,'A7'!$C$18:$G$19,2,FALSE)</f>
        <v>0.01</v>
      </c>
      <c r="E83" s="125">
        <v>1.2999999999999999E-2</v>
      </c>
    </row>
    <row r="84" spans="2:5" ht="9.75" customHeight="1" x14ac:dyDescent="0.25">
      <c r="B84" s="38">
        <f>'A7'!B15</f>
        <v>1000</v>
      </c>
      <c r="C84" s="124" t="s">
        <v>112</v>
      </c>
      <c r="D84" s="120">
        <f>HLOOKUP(C84,'A7'!$C$18:$G$19,2,FALSE)</f>
        <v>0.01</v>
      </c>
      <c r="E84" s="125">
        <v>1.2999999999999999E-2</v>
      </c>
    </row>
    <row r="86" spans="2:5" x14ac:dyDescent="0.25">
      <c r="B86" s="118" t="s">
        <v>177</v>
      </c>
      <c r="C86" s="119"/>
      <c r="D86" s="119"/>
    </row>
    <row r="87" spans="2:5" ht="39.6" x14ac:dyDescent="0.25">
      <c r="B87" s="58" t="s">
        <v>102</v>
      </c>
      <c r="C87" s="201" t="s">
        <v>110</v>
      </c>
      <c r="D87" s="58" t="s">
        <v>103</v>
      </c>
    </row>
    <row r="88" spans="2:5" x14ac:dyDescent="0.25">
      <c r="B88" s="202" t="str">
        <f>'A7'!B28</f>
        <v>CI-0.60</v>
      </c>
      <c r="C88" s="203">
        <v>1.3</v>
      </c>
      <c r="D88" s="204">
        <v>150</v>
      </c>
    </row>
    <row r="89" spans="2:5" x14ac:dyDescent="0.25">
      <c r="B89" s="202" t="str">
        <f>'A7'!B29</f>
        <v>PV-0.80</v>
      </c>
      <c r="C89" s="203">
        <v>1.8</v>
      </c>
      <c r="D89" s="204">
        <v>400</v>
      </c>
    </row>
    <row r="90" spans="2:5" x14ac:dyDescent="0.25">
      <c r="B90" s="202" t="str">
        <f>'A7'!B30</f>
        <v>PV-1.00</v>
      </c>
      <c r="C90" s="203">
        <v>3.5</v>
      </c>
      <c r="D90" s="204">
        <v>500</v>
      </c>
    </row>
    <row r="91" spans="2:5" x14ac:dyDescent="0.25">
      <c r="B91" s="202" t="str">
        <f>'A7'!B31</f>
        <v>PV-1.20</v>
      </c>
      <c r="C91" s="203">
        <v>4</v>
      </c>
      <c r="D91" s="204">
        <v>600</v>
      </c>
    </row>
    <row r="92" spans="2:5" x14ac:dyDescent="0.25">
      <c r="B92" s="202" t="str">
        <f>'A7'!B32</f>
        <v>PV-1.50</v>
      </c>
      <c r="C92" s="203">
        <v>6</v>
      </c>
      <c r="D92" s="204">
        <v>800</v>
      </c>
    </row>
    <row r="93" spans="2:5" x14ac:dyDescent="0.25">
      <c r="B93" s="202" t="str">
        <f>'A7'!B33</f>
        <v>PV-2.00</v>
      </c>
      <c r="C93" s="203">
        <v>15</v>
      </c>
      <c r="D93" s="204">
        <v>1000</v>
      </c>
    </row>
  </sheetData>
  <mergeCells count="12">
    <mergeCell ref="B6:E6"/>
    <mergeCell ref="B8:E8"/>
    <mergeCell ref="B10:E10"/>
    <mergeCell ref="B12:D12"/>
    <mergeCell ref="B14:D14"/>
    <mergeCell ref="N21:N22"/>
    <mergeCell ref="J29:N30"/>
    <mergeCell ref="F33:G33"/>
    <mergeCell ref="L33:L35"/>
    <mergeCell ref="M33:M35"/>
    <mergeCell ref="K33:K35"/>
    <mergeCell ref="M21:M22"/>
  </mergeCells>
  <conditionalFormatting sqref="D71:D84">
    <cfRule type="cellIs" dxfId="130" priority="2220" operator="notEqual">
      <formula>E71</formula>
    </cfRule>
  </conditionalFormatting>
  <conditionalFormatting sqref="K37:M37">
    <cfRule type="cellIs" dxfId="129" priority="2178" operator="equal">
      <formula>0</formula>
    </cfRule>
  </conditionalFormatting>
  <conditionalFormatting sqref="N23">
    <cfRule type="cellIs" dxfId="128" priority="2174" operator="equal">
      <formula>0</formula>
    </cfRule>
  </conditionalFormatting>
  <conditionalFormatting sqref="N25">
    <cfRule type="cellIs" dxfId="127" priority="2173" operator="equal">
      <formula>0</formula>
    </cfRule>
  </conditionalFormatting>
  <conditionalFormatting sqref="M23">
    <cfRule type="cellIs" dxfId="126" priority="2172" operator="equal">
      <formula>0</formula>
    </cfRule>
  </conditionalFormatting>
  <conditionalFormatting sqref="C89">
    <cfRule type="expression" dxfId="125" priority="1400">
      <formula>C89&lt;C88</formula>
    </cfRule>
  </conditionalFormatting>
  <conditionalFormatting sqref="C90:C93">
    <cfRule type="expression" dxfId="124" priority="1399">
      <formula>C90&lt;C89</formula>
    </cfRule>
  </conditionalFormatting>
  <conditionalFormatting sqref="D89">
    <cfRule type="expression" dxfId="123" priority="1388">
      <formula>D89&lt;D88</formula>
    </cfRule>
  </conditionalFormatting>
  <conditionalFormatting sqref="D90:D93">
    <cfRule type="expression" dxfId="122" priority="1387">
      <formula>D90&lt;D89</formula>
    </cfRule>
  </conditionalFormatting>
  <conditionalFormatting sqref="N26">
    <cfRule type="cellIs" dxfId="121" priority="224" operator="equal">
      <formula>0</formula>
    </cfRule>
  </conditionalFormatting>
  <conditionalFormatting sqref="M26">
    <cfRule type="cellIs" dxfId="120" priority="223" operator="equal">
      <formula>0</formula>
    </cfRule>
  </conditionalFormatting>
  <conditionalFormatting sqref="N28">
    <cfRule type="cellIs" dxfId="119" priority="222" operator="equal">
      <formula>0</formula>
    </cfRule>
  </conditionalFormatting>
  <conditionalFormatting sqref="K36:M36">
    <cfRule type="cellIs" dxfId="118" priority="191" operator="equal">
      <formula>0</formula>
    </cfRule>
  </conditionalFormatting>
  <conditionalFormatting sqref="F21:G21">
    <cfRule type="cellIs" dxfId="117" priority="10" operator="equal">
      <formula>0</formula>
    </cfRule>
  </conditionalFormatting>
  <conditionalFormatting sqref="F33">
    <cfRule type="cellIs" dxfId="116" priority="7" operator="equal">
      <formula>"Sim"</formula>
    </cfRule>
    <cfRule type="cellIs" dxfId="115" priority="8" operator="equal">
      <formula>"Não"</formula>
    </cfRule>
    <cfRule type="containsBlanks" dxfId="114" priority="9">
      <formula>LEN(TRIM(F33))=0</formula>
    </cfRule>
  </conditionalFormatting>
  <conditionalFormatting sqref="F61">
    <cfRule type="cellIs" dxfId="113" priority="1" operator="equal">
      <formula>"Si"</formula>
    </cfRule>
    <cfRule type="cellIs" dxfId="112" priority="2" operator="equal">
      <formula>"Não"</formula>
    </cfRule>
    <cfRule type="cellIs" dxfId="111" priority="3" operator="equal">
      <formula>"Sim"</formula>
    </cfRule>
    <cfRule type="cellIs" dxfId="110" priority="4" operator="equal">
      <formula>"Yes"</formula>
    </cfRule>
    <cfRule type="cellIs" dxfId="109" priority="5" operator="equal">
      <formula>"No"</formula>
    </cfRule>
    <cfRule type="containsBlanks" dxfId="108" priority="6">
      <formula>LEN(TRIM(F61))=0</formula>
    </cfRule>
  </conditionalFormatting>
  <dataValidations count="16">
    <dataValidation type="list" allowBlank="1" showInputMessage="1" showErrorMessage="1" sqref="F33" xr:uid="{40120834-FB2A-4D7D-80F9-114FD5D2E091}">
      <formula1>"Não,Sim"</formula1>
    </dataValidation>
    <dataValidation type="list" allowBlank="1" showInputMessage="1" showErrorMessage="1" sqref="C72" xr:uid="{AD6642AC-CB95-4CFF-818F-0952AE4FAD20}">
      <formula1>nDN_2</formula1>
    </dataValidation>
    <dataValidation type="list" allowBlank="1" showInputMessage="1" showErrorMessage="1" sqref="C73" xr:uid="{7079AB29-B598-4426-A9F0-39060346C741}">
      <formula1>nDN_3</formula1>
    </dataValidation>
    <dataValidation type="list" allowBlank="1" showInputMessage="1" showErrorMessage="1" sqref="C74" xr:uid="{95A50B81-8241-445F-9986-067F47EABAF1}">
      <formula1>nDN_4</formula1>
    </dataValidation>
    <dataValidation type="list" allowBlank="1" showInputMessage="1" showErrorMessage="1" sqref="C75" xr:uid="{0B7F5506-C98C-458D-AC2F-349D47B2F73A}">
      <formula1>nDN_5</formula1>
    </dataValidation>
    <dataValidation type="list" allowBlank="1" showInputMessage="1" showErrorMessage="1" sqref="C77" xr:uid="{57284254-8C28-4D64-A5B0-CA1E898BAA06}">
      <formula1>nDN_7</formula1>
    </dataValidation>
    <dataValidation type="list" allowBlank="1" showInputMessage="1" showErrorMessage="1" sqref="C81" xr:uid="{902C125D-0701-41DA-9972-1CB9FF5B002C}">
      <formula1>nDN_11</formula1>
    </dataValidation>
    <dataValidation type="list" allowBlank="1" showInputMessage="1" showErrorMessage="1" sqref="C84" xr:uid="{8C8847B7-1855-40DF-A64D-3FFDC323FF83}">
      <formula1>nDN_14</formula1>
    </dataValidation>
    <dataValidation type="list" allowBlank="1" showInputMessage="1" showErrorMessage="1" sqref="C78" xr:uid="{6FC5DC39-65C0-420E-9814-CF5A2B0E1C72}">
      <formula1>nDN_8</formula1>
    </dataValidation>
    <dataValidation type="list" allowBlank="1" showInputMessage="1" showErrorMessage="1" sqref="C79" xr:uid="{2545E586-69BD-4A1F-9C41-353B1656069A}">
      <formula1>nDN_9</formula1>
    </dataValidation>
    <dataValidation type="list" allowBlank="1" showInputMessage="1" showErrorMessage="1" sqref="C80" xr:uid="{0BFD0640-A4A1-422D-8E1B-CC21240AC47F}">
      <formula1>nDN_10</formula1>
    </dataValidation>
    <dataValidation type="list" allowBlank="1" showInputMessage="1" showErrorMessage="1" sqref="F61" xr:uid="{BE2AE405-8886-4535-8884-43DCED6DDE43}">
      <formula1>"Não, Sim"</formula1>
    </dataValidation>
    <dataValidation type="list" allowBlank="1" showInputMessage="1" showErrorMessage="1" sqref="C71" xr:uid="{A702A2DD-4180-437C-9DDC-742E28BD9759}">
      <formula1>nDN_1</formula1>
    </dataValidation>
    <dataValidation type="list" allowBlank="1" showInputMessage="1" showErrorMessage="1" sqref="C76" xr:uid="{2C15E2AD-533B-4E11-9900-6D755AD6B5C9}">
      <formula1>nDN_6</formula1>
    </dataValidation>
    <dataValidation type="list" allowBlank="1" showInputMessage="1" showErrorMessage="1" sqref="C82" xr:uid="{F38C70C9-BDF7-4555-BCFD-2BAB1A9F61E7}">
      <formula1>nDN_12</formula1>
    </dataValidation>
    <dataValidation type="list" allowBlank="1" showInputMessage="1" showErrorMessage="1" sqref="C83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7</xdr:col>
                    <xdr:colOff>152400</xdr:colOff>
                    <xdr:row>5</xdr:row>
                    <xdr:rowOff>121920</xdr:rowOff>
                  </from>
                  <to>
                    <xdr:col>8</xdr:col>
                    <xdr:colOff>373380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7</xdr:col>
                    <xdr:colOff>144780</xdr:colOff>
                    <xdr:row>8</xdr:row>
                    <xdr:rowOff>99060</xdr:rowOff>
                  </from>
                  <to>
                    <xdr:col>8</xdr:col>
                    <xdr:colOff>358140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617220</xdr:colOff>
                    <xdr:row>5</xdr:row>
                    <xdr:rowOff>106680</xdr:rowOff>
                  </from>
                  <to>
                    <xdr:col>9</xdr:col>
                    <xdr:colOff>533400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609600</xdr:colOff>
                    <xdr:row>8</xdr:row>
                    <xdr:rowOff>99060</xdr:rowOff>
                  </from>
                  <to>
                    <xdr:col>9</xdr:col>
                    <xdr:colOff>541020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601980</xdr:colOff>
                    <xdr:row>11</xdr:row>
                    <xdr:rowOff>53340</xdr:rowOff>
                  </from>
                  <to>
                    <xdr:col>9</xdr:col>
                    <xdr:colOff>525780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H10000"/>
  <sheetViews>
    <sheetView topLeftCell="E1" zoomScale="70" zoomScaleNormal="70" workbookViewId="0">
      <selection activeCell="O18" sqref="O18"/>
    </sheetView>
  </sheetViews>
  <sheetFormatPr defaultColWidth="8" defaultRowHeight="13.2" x14ac:dyDescent="0.25"/>
  <cols>
    <col min="1" max="1" width="4.109375" style="42" hidden="1" customWidth="1"/>
    <col min="2" max="2" width="8.5546875" style="42" hidden="1" customWidth="1"/>
    <col min="3" max="3" width="8.88671875" style="42" hidden="1" customWidth="1"/>
    <col min="4" max="4" width="10.5546875" style="56" hidden="1" customWidth="1"/>
    <col min="5" max="5" width="21.109375" style="179" customWidth="1"/>
    <col min="6" max="6" width="11.109375" style="198" customWidth="1"/>
    <col min="7" max="7" width="13" style="42" customWidth="1"/>
    <col min="8" max="8" width="12.88671875" style="42" customWidth="1"/>
    <col min="9" max="9" width="12.44140625" style="42" customWidth="1"/>
    <col min="10" max="10" width="17.44140625" style="42" customWidth="1"/>
    <col min="11" max="11" width="12.109375" style="42" customWidth="1"/>
    <col min="12" max="12" width="12" style="42" customWidth="1"/>
    <col min="13" max="14" width="13.33203125" style="42" customWidth="1"/>
    <col min="15" max="15" width="16.33203125" style="42" customWidth="1"/>
    <col min="16" max="17" width="11.88671875" style="42" customWidth="1"/>
    <col min="18" max="18" width="9.88671875" style="42" customWidth="1"/>
    <col min="19" max="19" width="10.5546875" style="42" customWidth="1"/>
    <col min="20" max="20" width="10" style="42" customWidth="1"/>
    <col min="21" max="21" width="6.88671875" style="42" hidden="1" customWidth="1"/>
    <col min="22" max="23" width="20.6640625" style="42" hidden="1" customWidth="1"/>
    <col min="24" max="25" width="20.6640625" style="42" customWidth="1"/>
    <col min="26" max="26" width="10" style="42" customWidth="1"/>
    <col min="27" max="27" width="12.6640625" style="42" hidden="1" customWidth="1"/>
    <col min="28" max="28" width="12" style="42" hidden="1" customWidth="1"/>
    <col min="29" max="29" width="12.44140625" style="54" hidden="1" customWidth="1"/>
    <col min="30" max="32" width="12.5546875" style="42" hidden="1" customWidth="1"/>
    <col min="33" max="33" width="10.88671875" style="42" customWidth="1"/>
    <col min="34" max="34" width="11.44140625" style="42" customWidth="1"/>
    <col min="35" max="35" width="1.5546875" style="42" customWidth="1"/>
    <col min="36" max="36" width="13.109375" style="54" customWidth="1"/>
    <col min="37" max="37" width="11.88671875" style="54" hidden="1" customWidth="1"/>
    <col min="38" max="38" width="12.33203125" style="93" customWidth="1"/>
    <col min="39" max="39" width="8.5546875" style="93" bestFit="1" customWidth="1"/>
    <col min="40" max="40" width="16.5546875" style="385" customWidth="1"/>
    <col min="41" max="41" width="15.6640625" style="385" customWidth="1"/>
    <col min="42" max="42" width="10.6640625" style="93" hidden="1" customWidth="1"/>
    <col min="43" max="43" width="8.5546875" style="93" customWidth="1"/>
    <col min="44" max="46" width="11.88671875" style="93" customWidth="1"/>
    <col min="47" max="47" width="16.5546875" style="387" customWidth="1"/>
    <col min="48" max="48" width="15.6640625" style="387" customWidth="1"/>
    <col min="49" max="49" width="10.6640625" style="42" hidden="1" customWidth="1"/>
    <col min="50" max="53" width="11.5546875" style="42" customWidth="1"/>
    <col min="54" max="54" width="17.44140625" style="42" hidden="1" customWidth="1"/>
    <col min="55" max="55" width="15.109375" style="42" customWidth="1"/>
    <col min="56" max="56" width="16.6640625" style="42" hidden="1" customWidth="1"/>
    <col min="57" max="57" width="16.6640625" style="42" customWidth="1"/>
    <col min="58" max="58" width="16.6640625" style="42" hidden="1" customWidth="1"/>
    <col min="59" max="59" width="22" style="42" customWidth="1"/>
    <col min="60" max="63" width="6.88671875" style="49" customWidth="1"/>
    <col min="64" max="64" width="7.5546875" style="49" customWidth="1"/>
    <col min="65" max="65" width="8.6640625" style="49" bestFit="1" customWidth="1"/>
    <col min="66" max="67" width="7.5546875" style="49" customWidth="1"/>
    <col min="68" max="68" width="14.6640625" style="49" customWidth="1"/>
    <col min="69" max="72" width="7.5546875" style="49" customWidth="1"/>
    <col min="73" max="73" width="6.88671875" style="49" customWidth="1"/>
    <col min="74" max="74" width="9.109375" style="49" customWidth="1"/>
    <col min="75" max="75" width="7" style="49" customWidth="1"/>
    <col min="76" max="76" width="7.5546875" style="49" customWidth="1"/>
    <col min="77" max="77" width="7" style="49" bestFit="1" customWidth="1"/>
    <col min="78" max="78" width="12.88671875" style="49" bestFit="1" customWidth="1"/>
    <col min="79" max="79" width="6.88671875" style="49" customWidth="1"/>
    <col min="80" max="80" width="8.88671875" style="49" customWidth="1"/>
    <col min="81" max="83" width="6.88671875" style="49" customWidth="1"/>
    <col min="84" max="84" width="8.88671875" style="49" customWidth="1"/>
    <col min="85" max="85" width="8.5546875" style="49" customWidth="1"/>
    <col min="86" max="122" width="6.88671875" style="49" customWidth="1"/>
    <col min="123" max="123" width="26.5546875" style="49" customWidth="1"/>
    <col min="124" max="125" width="8" style="49" customWidth="1"/>
    <col min="126" max="126" width="20.88671875" style="49" customWidth="1"/>
    <col min="127" max="128" width="8" style="49" customWidth="1"/>
    <col min="129" max="129" width="23.88671875" style="49" customWidth="1"/>
    <col min="130" max="131" width="8" style="49" customWidth="1"/>
    <col min="132" max="132" width="22" style="49" customWidth="1"/>
    <col min="133" max="133" width="8" style="49" customWidth="1"/>
    <col min="134" max="134" width="8.109375" style="49" customWidth="1"/>
    <col min="135" max="135" width="6.88671875" style="49" customWidth="1"/>
    <col min="136" max="16384" width="8" style="49"/>
  </cols>
  <sheetData>
    <row r="1" spans="1:60" ht="22.2" x14ac:dyDescent="0.35">
      <c r="A1" s="43"/>
      <c r="E1" s="174" t="s">
        <v>94</v>
      </c>
      <c r="F1" s="19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60" x14ac:dyDescent="0.25">
      <c r="A2" s="43"/>
      <c r="E2" s="175"/>
      <c r="F2" s="195"/>
      <c r="G2" s="40"/>
      <c r="H2" s="40"/>
      <c r="I2" s="40"/>
      <c r="J2" s="40"/>
      <c r="K2" s="40"/>
      <c r="L2" s="40"/>
      <c r="M2" s="40"/>
      <c r="N2" s="40"/>
      <c r="S2" s="49"/>
      <c r="T2" s="49"/>
      <c r="U2" s="49"/>
      <c r="V2" s="49"/>
      <c r="W2" s="49"/>
      <c r="X2" s="49"/>
      <c r="Y2" s="49"/>
      <c r="Z2" s="49"/>
      <c r="AA2" s="49"/>
      <c r="AB2" s="49"/>
      <c r="AC2" s="40"/>
      <c r="AE2" s="40"/>
      <c r="AF2" s="40"/>
      <c r="AG2" s="40"/>
      <c r="AI2" s="40"/>
      <c r="AJ2" s="40"/>
      <c r="AK2" s="49"/>
      <c r="AL2" s="49"/>
      <c r="AM2" s="49"/>
      <c r="AN2" s="379"/>
      <c r="AO2" s="379"/>
      <c r="AP2" s="49"/>
      <c r="AQ2" s="49"/>
      <c r="AR2" s="49"/>
      <c r="AS2" s="49"/>
      <c r="AT2" s="49"/>
      <c r="AU2" s="379"/>
      <c r="AV2" s="37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</row>
    <row r="3" spans="1:60" ht="20.100000000000001" customHeight="1" x14ac:dyDescent="0.25">
      <c r="A3" s="43"/>
      <c r="E3" s="176" t="s">
        <v>302</v>
      </c>
      <c r="F3" s="196"/>
      <c r="G3" s="133"/>
      <c r="H3" s="134"/>
      <c r="I3" s="52"/>
      <c r="J3" s="164"/>
      <c r="V3" s="40"/>
      <c r="W3" s="40"/>
      <c r="X3" s="40"/>
      <c r="Z3" s="40"/>
      <c r="AA3" s="40"/>
      <c r="AB3" s="40"/>
      <c r="AC3" s="43"/>
      <c r="AE3" s="43"/>
      <c r="AF3" s="273"/>
      <c r="AG3" s="43"/>
      <c r="AI3" s="43"/>
      <c r="AJ3" s="273"/>
      <c r="AK3" s="40"/>
      <c r="AL3" s="40"/>
      <c r="AM3" s="40"/>
      <c r="AN3" s="380"/>
      <c r="AO3" s="380"/>
      <c r="AP3" s="40"/>
      <c r="AQ3" s="40"/>
      <c r="AR3" s="40"/>
      <c r="AS3" s="40"/>
      <c r="AT3" s="40"/>
      <c r="AU3" s="380"/>
      <c r="AV3" s="380"/>
      <c r="AW3" s="40"/>
      <c r="AX3" s="40"/>
      <c r="AY3" s="40"/>
      <c r="AZ3" s="40"/>
      <c r="BA3" s="40"/>
      <c r="BC3" s="48"/>
      <c r="BD3" s="40"/>
      <c r="BE3" s="40"/>
      <c r="BF3" s="40"/>
      <c r="BG3" s="40"/>
    </row>
    <row r="4" spans="1:60" ht="20.100000000000001" customHeight="1" x14ac:dyDescent="0.25">
      <c r="A4" s="43"/>
      <c r="E4" s="177"/>
      <c r="F4" s="197"/>
      <c r="G4" s="51"/>
      <c r="H4" s="52"/>
      <c r="I4" s="52"/>
      <c r="J4" s="164"/>
      <c r="K4" s="164"/>
      <c r="V4" s="40"/>
      <c r="W4" s="40"/>
      <c r="X4" s="40"/>
      <c r="Y4" s="40"/>
      <c r="Z4" s="40"/>
      <c r="AA4" s="40"/>
      <c r="AB4" s="40"/>
      <c r="AC4" s="43"/>
      <c r="AD4" s="43"/>
      <c r="AE4" s="43"/>
      <c r="AF4" s="43"/>
      <c r="AG4" s="43"/>
      <c r="AH4" s="43"/>
      <c r="AI4" s="43"/>
      <c r="AJ4" s="43"/>
      <c r="AK4" s="40"/>
      <c r="AL4" s="40"/>
      <c r="AM4" s="40"/>
      <c r="AN4" s="380"/>
      <c r="AO4" s="380"/>
      <c r="AP4" s="40"/>
      <c r="AQ4" s="40"/>
      <c r="AR4" s="40"/>
      <c r="AS4" s="40"/>
      <c r="AT4" s="40"/>
      <c r="AU4" s="380"/>
      <c r="AV4" s="380"/>
      <c r="AW4" s="40"/>
      <c r="AX4" s="40"/>
      <c r="AY4" s="40"/>
      <c r="AZ4" s="40"/>
      <c r="BA4" s="40"/>
      <c r="BC4" s="48"/>
      <c r="BD4" s="40"/>
      <c r="BE4" s="40"/>
      <c r="BF4" s="40"/>
      <c r="BG4" s="40"/>
      <c r="BH4" s="40"/>
    </row>
    <row r="5" spans="1:60" ht="19.5" customHeight="1" x14ac:dyDescent="0.25">
      <c r="A5" s="43"/>
      <c r="E5" s="262" t="s">
        <v>178</v>
      </c>
      <c r="F5" s="263"/>
      <c r="G5" s="463">
        <f>Parametros!$B$6</f>
        <v>0</v>
      </c>
      <c r="H5" s="463"/>
      <c r="I5" s="463"/>
      <c r="J5" s="463"/>
      <c r="K5" s="463"/>
      <c r="L5" s="261"/>
      <c r="M5" s="261"/>
      <c r="N5" s="261"/>
      <c r="O5" s="261"/>
      <c r="P5" s="261"/>
      <c r="Q5" s="261"/>
      <c r="R5" s="231"/>
      <c r="S5" s="231"/>
      <c r="V5" s="40"/>
      <c r="W5" s="40"/>
      <c r="X5" s="40"/>
      <c r="Z5" s="40"/>
      <c r="AA5" s="40"/>
      <c r="AB5" s="40"/>
      <c r="AC5" s="40"/>
      <c r="AE5" s="40"/>
      <c r="AF5" s="40"/>
      <c r="AG5" s="40"/>
      <c r="AI5" s="40"/>
      <c r="AJ5" s="40"/>
      <c r="AK5" s="40"/>
      <c r="AL5" s="40"/>
      <c r="AM5" s="40"/>
      <c r="AN5" s="380"/>
      <c r="AO5" s="88"/>
      <c r="AP5" s="57"/>
      <c r="AQ5" s="40"/>
      <c r="AR5" s="40"/>
      <c r="AS5" s="40"/>
      <c r="AT5" s="40"/>
      <c r="AU5" s="380"/>
      <c r="AV5" s="380"/>
      <c r="AW5" s="40"/>
      <c r="AX5" s="40"/>
      <c r="AY5" s="40"/>
      <c r="AZ5" s="40"/>
      <c r="BA5" s="40"/>
      <c r="BC5" s="48"/>
      <c r="BD5" s="40"/>
      <c r="BE5" s="40"/>
      <c r="BF5" s="40"/>
      <c r="BG5" s="40"/>
    </row>
    <row r="6" spans="1:60" ht="15" customHeight="1" x14ac:dyDescent="0.25">
      <c r="A6" s="43"/>
      <c r="E6" s="262" t="s">
        <v>339</v>
      </c>
      <c r="F6" s="263"/>
      <c r="G6" s="463">
        <f>Parametros!$B$8</f>
        <v>0</v>
      </c>
      <c r="H6" s="463"/>
      <c r="I6" s="463"/>
      <c r="J6" s="463"/>
      <c r="K6" s="463"/>
      <c r="L6" s="261"/>
      <c r="M6" s="261"/>
      <c r="N6" s="261"/>
      <c r="O6" s="261"/>
      <c r="P6" s="261"/>
      <c r="Q6" s="261"/>
      <c r="R6" s="230"/>
      <c r="V6" s="43"/>
      <c r="W6" s="53"/>
      <c r="X6" s="43"/>
      <c r="Y6" s="53"/>
      <c r="Z6" s="43"/>
      <c r="AA6" s="43"/>
      <c r="AB6" s="53"/>
      <c r="AC6" s="43"/>
      <c r="AE6" s="43"/>
      <c r="AF6" s="273"/>
      <c r="AG6" s="43"/>
      <c r="AI6" s="43"/>
      <c r="AJ6" s="273"/>
      <c r="AK6" s="274"/>
      <c r="AL6" s="43"/>
      <c r="AM6" s="43"/>
      <c r="AN6" s="381"/>
      <c r="AO6" s="381"/>
      <c r="AP6" s="57"/>
      <c r="AQ6" s="43"/>
      <c r="AR6" s="43"/>
      <c r="AS6" s="43"/>
      <c r="AT6" s="43"/>
      <c r="AU6" s="381"/>
      <c r="AV6" s="381"/>
      <c r="AW6" s="43"/>
      <c r="AX6" s="43"/>
      <c r="AY6" s="43"/>
      <c r="AZ6" s="43"/>
      <c r="BA6" s="43"/>
      <c r="BC6" s="43"/>
      <c r="BD6" s="43"/>
      <c r="BE6" s="43"/>
      <c r="BF6" s="43"/>
      <c r="BG6" s="43"/>
    </row>
    <row r="7" spans="1:60" ht="15" customHeight="1" x14ac:dyDescent="0.25">
      <c r="A7" s="43"/>
      <c r="E7" s="262" t="s">
        <v>340</v>
      </c>
      <c r="F7" s="263"/>
      <c r="G7" s="463">
        <f>Parametros!$B$10</f>
        <v>0</v>
      </c>
      <c r="H7" s="463"/>
      <c r="I7" s="463"/>
      <c r="J7" s="463"/>
      <c r="K7" s="463"/>
      <c r="L7" s="261"/>
      <c r="M7" s="261"/>
      <c r="N7" s="261"/>
      <c r="O7" s="261"/>
      <c r="P7" s="261"/>
      <c r="Q7" s="261"/>
      <c r="V7" s="43"/>
      <c r="W7" s="53"/>
      <c r="X7" s="43"/>
      <c r="Y7" s="53"/>
      <c r="Z7" s="43"/>
      <c r="AA7" s="43"/>
      <c r="AB7" s="53"/>
      <c r="AC7" s="43"/>
      <c r="AD7" s="43"/>
      <c r="AE7" s="43"/>
      <c r="AF7" s="43"/>
      <c r="AG7" s="43"/>
      <c r="AH7" s="43"/>
      <c r="AI7" s="43"/>
      <c r="AJ7" s="43"/>
      <c r="AK7" s="43"/>
      <c r="AM7" s="43"/>
      <c r="AN7" s="381"/>
      <c r="AO7" s="382"/>
      <c r="AP7" s="57"/>
      <c r="AQ7" s="43"/>
      <c r="AR7" s="43"/>
      <c r="AS7" s="43"/>
      <c r="AT7" s="43"/>
      <c r="AU7" s="381"/>
      <c r="AV7" s="381"/>
      <c r="AW7" s="43"/>
      <c r="AX7" s="43"/>
      <c r="AY7" s="43"/>
      <c r="AZ7" s="43"/>
      <c r="BA7" s="43"/>
      <c r="BC7" s="43"/>
      <c r="BD7" s="43"/>
      <c r="BE7" s="43"/>
      <c r="BF7" s="43"/>
      <c r="BG7" s="43"/>
    </row>
    <row r="8" spans="1:60" ht="14.25" customHeight="1" x14ac:dyDescent="0.25">
      <c r="A8" s="43"/>
      <c r="E8" s="262" t="s">
        <v>21</v>
      </c>
      <c r="F8" s="263"/>
      <c r="G8" s="463">
        <f>Parametros!$B$12</f>
        <v>0</v>
      </c>
      <c r="H8" s="463"/>
      <c r="I8" s="463"/>
      <c r="J8" s="463"/>
      <c r="K8" s="463"/>
      <c r="L8" s="428"/>
      <c r="M8" s="428"/>
      <c r="N8" s="428"/>
      <c r="O8" s="428"/>
      <c r="P8" s="428"/>
      <c r="Q8" s="428"/>
      <c r="R8" s="268">
        <f>'A2'!AE13</f>
        <v>0</v>
      </c>
      <c r="AC8" s="40"/>
      <c r="AE8" s="40"/>
      <c r="AF8" s="40"/>
      <c r="AG8" s="40"/>
      <c r="AI8" s="40"/>
      <c r="AJ8" s="40"/>
      <c r="AK8" s="42"/>
      <c r="AL8" s="42"/>
      <c r="AM8" s="42"/>
      <c r="AN8" s="387"/>
      <c r="AO8" s="387"/>
      <c r="AP8" s="42"/>
      <c r="AQ8" s="42"/>
      <c r="AR8" s="42"/>
      <c r="AS8" s="42"/>
      <c r="AT8" s="42"/>
      <c r="BG8" s="43"/>
    </row>
    <row r="9" spans="1:60" ht="17.399999999999999" x14ac:dyDescent="0.25">
      <c r="A9" s="43"/>
      <c r="E9" s="262" t="s">
        <v>179</v>
      </c>
      <c r="F9" s="264"/>
      <c r="G9" s="464">
        <f>Parametros!$B$14</f>
        <v>0</v>
      </c>
      <c r="H9" s="463"/>
      <c r="I9" s="463"/>
      <c r="J9" s="463"/>
      <c r="K9" s="463"/>
      <c r="L9" s="428"/>
      <c r="M9" s="428"/>
      <c r="N9" s="428"/>
      <c r="O9" s="428"/>
      <c r="P9" s="428"/>
      <c r="Q9" s="428"/>
      <c r="R9" s="230"/>
      <c r="S9" s="230"/>
      <c r="AC9" s="43"/>
      <c r="AE9" s="43"/>
      <c r="AF9" s="273"/>
      <c r="AG9" s="43"/>
      <c r="AI9" s="43"/>
      <c r="AJ9" s="273"/>
      <c r="AK9" s="42"/>
      <c r="AL9" s="42"/>
      <c r="AM9" s="42"/>
      <c r="AN9" s="530"/>
      <c r="AO9" s="530"/>
      <c r="AP9" s="530"/>
      <c r="AQ9" s="530"/>
      <c r="AR9" s="530"/>
      <c r="AS9" s="530"/>
      <c r="AT9" s="530"/>
      <c r="AU9" s="530"/>
      <c r="AV9" s="530"/>
      <c r="AW9" s="530"/>
      <c r="AX9" s="530"/>
      <c r="AY9" s="530"/>
      <c r="AZ9" s="530"/>
      <c r="BA9" s="530"/>
      <c r="BC9" s="54"/>
      <c r="BD9" s="54"/>
      <c r="BE9" s="54"/>
      <c r="BF9" s="54"/>
      <c r="BG9" s="43"/>
      <c r="BH9" s="53"/>
    </row>
    <row r="10" spans="1:60" s="431" customFormat="1" ht="21" customHeight="1" x14ac:dyDescent="0.25">
      <c r="A10" s="42"/>
      <c r="B10" s="42"/>
      <c r="C10" s="42"/>
      <c r="D10" s="42"/>
      <c r="E10" s="429"/>
      <c r="F10" s="198"/>
      <c r="G10" s="42"/>
      <c r="H10" s="42"/>
      <c r="I10" s="42"/>
      <c r="J10" s="430"/>
      <c r="K10" s="42"/>
      <c r="L10" s="430"/>
      <c r="M10" s="474"/>
      <c r="N10" s="475"/>
      <c r="O10" s="387"/>
      <c r="P10" s="387"/>
      <c r="Q10" s="387"/>
      <c r="R10" s="387"/>
      <c r="S10" s="387"/>
      <c r="T10" s="387"/>
      <c r="U10" s="42"/>
      <c r="V10" s="387"/>
      <c r="W10" s="387"/>
      <c r="X10" s="387"/>
      <c r="Y10" s="387"/>
      <c r="Z10" s="387"/>
      <c r="AA10" s="387"/>
      <c r="AB10" s="42"/>
      <c r="AC10" s="42"/>
      <c r="AD10" s="42"/>
      <c r="AE10" s="42"/>
      <c r="AF10" s="42"/>
      <c r="AG10" s="42"/>
      <c r="AH10" s="42"/>
      <c r="AI10" s="42"/>
      <c r="AJ10" s="42"/>
      <c r="AK10" s="424"/>
      <c r="AL10" s="424"/>
      <c r="AM10" s="42"/>
      <c r="AN10" s="387"/>
      <c r="AO10" s="231"/>
      <c r="AP10" s="42"/>
      <c r="AQ10" s="42"/>
      <c r="AR10" s="42"/>
      <c r="AS10" s="42"/>
      <c r="AT10" s="425"/>
      <c r="AU10" s="426"/>
      <c r="AV10" s="427"/>
      <c r="AW10" s="42"/>
      <c r="AX10" s="42"/>
      <c r="AY10" s="42"/>
      <c r="AZ10" s="42"/>
      <c r="BA10" s="42"/>
      <c r="BB10" s="387"/>
      <c r="BC10" s="42"/>
      <c r="BD10" s="42"/>
      <c r="BE10" s="42"/>
      <c r="BF10" s="42"/>
      <c r="BG10" s="42"/>
    </row>
    <row r="11" spans="1:60" x14ac:dyDescent="0.25">
      <c r="A11" s="205">
        <f>SUM($A$15:$A$10000)</f>
        <v>0</v>
      </c>
      <c r="B11" s="132"/>
      <c r="C11" s="132"/>
      <c r="D11" s="132"/>
      <c r="E11" s="178"/>
      <c r="F11" s="200">
        <f>SUM($F$15:$F$10000)</f>
        <v>0</v>
      </c>
      <c r="G11" s="5"/>
      <c r="H11" s="5"/>
      <c r="I11" s="5"/>
      <c r="J11" s="1"/>
      <c r="K11" s="205">
        <f>SUM($K$15:$K$10000)</f>
        <v>0</v>
      </c>
      <c r="L11" s="205">
        <f>SUM($L$15:$L$10000)</f>
        <v>0</v>
      </c>
      <c r="M11" s="205">
        <f>SUM($M$15:$M$10000)</f>
        <v>0</v>
      </c>
      <c r="N11" s="205">
        <f>SUM($N$15:$N$10000)</f>
        <v>0</v>
      </c>
      <c r="O11" s="6"/>
      <c r="P11" s="6"/>
      <c r="Q11" s="6"/>
      <c r="R11" s="6"/>
      <c r="S11" s="6"/>
      <c r="T11" s="6"/>
      <c r="U11" s="6"/>
      <c r="V11" s="183"/>
      <c r="W11" s="183"/>
      <c r="X11" s="6"/>
      <c r="Y11" s="6"/>
      <c r="Z11" s="260"/>
      <c r="AA11" s="183"/>
      <c r="AB11" s="183"/>
      <c r="AC11" s="206"/>
      <c r="AD11" s="183"/>
      <c r="AE11" s="183"/>
      <c r="AF11" s="183"/>
      <c r="AG11" s="2"/>
      <c r="AH11" s="2"/>
      <c r="AI11" s="2"/>
      <c r="AJ11" s="4"/>
      <c r="AK11" s="232"/>
      <c r="AL11" s="6"/>
      <c r="AM11" s="7"/>
      <c r="AN11" s="383"/>
      <c r="AO11" s="383"/>
      <c r="AP11" s="377"/>
      <c r="AQ11" s="7"/>
      <c r="AR11" s="7"/>
      <c r="AS11" s="7"/>
      <c r="AT11" s="7"/>
      <c r="AU11" s="383"/>
      <c r="AV11" s="383"/>
      <c r="AW11" s="378"/>
      <c r="AX11" s="43"/>
      <c r="AY11" s="43"/>
      <c r="AZ11" s="43"/>
      <c r="BA11" s="6"/>
      <c r="BB11" s="183"/>
      <c r="BC11" s="53"/>
      <c r="BD11" s="183"/>
      <c r="BE11" s="40"/>
      <c r="BF11" s="183"/>
      <c r="BG11" s="43"/>
    </row>
    <row r="12" spans="1:60" ht="48.75" customHeight="1" x14ac:dyDescent="0.25">
      <c r="A12" s="185"/>
      <c r="B12" s="531" t="s">
        <v>101</v>
      </c>
      <c r="C12" s="476" t="s">
        <v>71</v>
      </c>
      <c r="D12" s="496" t="s">
        <v>180</v>
      </c>
      <c r="E12" s="485" t="s">
        <v>181</v>
      </c>
      <c r="F12" s="499" t="s">
        <v>182</v>
      </c>
      <c r="G12" s="505" t="s">
        <v>183</v>
      </c>
      <c r="H12" s="506"/>
      <c r="I12" s="506"/>
      <c r="J12" s="507"/>
      <c r="K12" s="537" t="s">
        <v>275</v>
      </c>
      <c r="L12" s="538"/>
      <c r="M12" s="470" t="s">
        <v>422</v>
      </c>
      <c r="N12" s="471"/>
      <c r="O12" s="467" t="s">
        <v>190</v>
      </c>
      <c r="P12" s="468"/>
      <c r="Q12" s="469"/>
      <c r="R12" s="460" t="s">
        <v>192</v>
      </c>
      <c r="S12" s="479" t="s">
        <v>193</v>
      </c>
      <c r="T12" s="513" t="s">
        <v>194</v>
      </c>
      <c r="U12" s="516" t="s">
        <v>270</v>
      </c>
      <c r="V12" s="490" t="s">
        <v>196</v>
      </c>
      <c r="W12" s="491"/>
      <c r="X12" s="492" t="s">
        <v>48</v>
      </c>
      <c r="Y12" s="493"/>
      <c r="Z12" s="508" t="s">
        <v>273</v>
      </c>
      <c r="AA12" s="550" t="s">
        <v>33</v>
      </c>
      <c r="AB12" s="551"/>
      <c r="AC12" s="540" t="s">
        <v>34</v>
      </c>
      <c r="AD12" s="554"/>
      <c r="AE12" s="540" t="s">
        <v>254</v>
      </c>
      <c r="AF12" s="541"/>
      <c r="AG12" s="556" t="s">
        <v>200</v>
      </c>
      <c r="AH12" s="557"/>
      <c r="AI12" s="557"/>
      <c r="AJ12" s="558"/>
      <c r="AK12" s="562" t="s">
        <v>202</v>
      </c>
      <c r="AL12" s="563"/>
      <c r="AM12" s="522" t="s">
        <v>123</v>
      </c>
      <c r="AN12" s="566" t="s">
        <v>205</v>
      </c>
      <c r="AO12" s="567"/>
      <c r="AP12" s="567"/>
      <c r="AQ12" s="567"/>
      <c r="AR12" s="567"/>
      <c r="AS12" s="567"/>
      <c r="AT12" s="567"/>
      <c r="AU12" s="567"/>
      <c r="AV12" s="567"/>
      <c r="AW12" s="567"/>
      <c r="AX12" s="567"/>
      <c r="AY12" s="567"/>
      <c r="AZ12" s="567"/>
      <c r="BA12" s="568"/>
      <c r="BB12" s="482" t="s">
        <v>213</v>
      </c>
      <c r="BC12" s="547" t="s">
        <v>215</v>
      </c>
      <c r="BD12" s="525" t="s">
        <v>214</v>
      </c>
      <c r="BE12" s="544" t="s">
        <v>216</v>
      </c>
      <c r="BF12" s="534" t="s">
        <v>217</v>
      </c>
      <c r="BG12" s="519" t="s">
        <v>218</v>
      </c>
    </row>
    <row r="13" spans="1:60" ht="48.75" customHeight="1" x14ac:dyDescent="0.25">
      <c r="A13" s="186"/>
      <c r="B13" s="532"/>
      <c r="C13" s="477" t="s">
        <v>71</v>
      </c>
      <c r="D13" s="497"/>
      <c r="E13" s="486"/>
      <c r="F13" s="500"/>
      <c r="G13" s="502" t="s">
        <v>268</v>
      </c>
      <c r="H13" s="503"/>
      <c r="I13" s="504"/>
      <c r="J13" s="184" t="s">
        <v>269</v>
      </c>
      <c r="K13" s="539" t="s">
        <v>274</v>
      </c>
      <c r="L13" s="507"/>
      <c r="M13" s="472"/>
      <c r="N13" s="473"/>
      <c r="O13" s="494" t="s">
        <v>191</v>
      </c>
      <c r="P13" s="465" t="s">
        <v>353</v>
      </c>
      <c r="Q13" s="465" t="s">
        <v>354</v>
      </c>
      <c r="R13" s="461"/>
      <c r="S13" s="480"/>
      <c r="T13" s="514"/>
      <c r="U13" s="517"/>
      <c r="V13" s="528" t="s">
        <v>195</v>
      </c>
      <c r="W13" s="511" t="s">
        <v>197</v>
      </c>
      <c r="X13" s="511" t="s">
        <v>198</v>
      </c>
      <c r="Y13" s="511" t="s">
        <v>199</v>
      </c>
      <c r="Z13" s="509"/>
      <c r="AA13" s="552"/>
      <c r="AB13" s="553"/>
      <c r="AC13" s="542"/>
      <c r="AD13" s="555"/>
      <c r="AE13" s="542"/>
      <c r="AF13" s="543"/>
      <c r="AG13" s="559"/>
      <c r="AH13" s="560"/>
      <c r="AI13" s="560"/>
      <c r="AJ13" s="561"/>
      <c r="AK13" s="564"/>
      <c r="AL13" s="565"/>
      <c r="AM13" s="523"/>
      <c r="AN13" s="566" t="s">
        <v>206</v>
      </c>
      <c r="AO13" s="567"/>
      <c r="AP13" s="567"/>
      <c r="AQ13" s="567"/>
      <c r="AR13" s="567"/>
      <c r="AS13" s="567"/>
      <c r="AT13" s="568"/>
      <c r="AU13" s="569" t="s">
        <v>207</v>
      </c>
      <c r="AV13" s="468"/>
      <c r="AW13" s="468"/>
      <c r="AX13" s="468"/>
      <c r="AY13" s="468"/>
      <c r="AZ13" s="468"/>
      <c r="BA13" s="570"/>
      <c r="BB13" s="483"/>
      <c r="BC13" s="548"/>
      <c r="BD13" s="526"/>
      <c r="BE13" s="545"/>
      <c r="BF13" s="535"/>
      <c r="BG13" s="520"/>
    </row>
    <row r="14" spans="1:60" ht="86.25" customHeight="1" x14ac:dyDescent="0.25">
      <c r="A14" s="187" t="s">
        <v>128</v>
      </c>
      <c r="B14" s="533"/>
      <c r="C14" s="478"/>
      <c r="D14" s="498"/>
      <c r="E14" s="487" t="s">
        <v>8</v>
      </c>
      <c r="F14" s="501"/>
      <c r="G14" s="188" t="s">
        <v>184</v>
      </c>
      <c r="H14" s="227" t="s">
        <v>185</v>
      </c>
      <c r="I14" s="227" t="s">
        <v>186</v>
      </c>
      <c r="J14" s="227" t="s">
        <v>187</v>
      </c>
      <c r="K14" s="188" t="s">
        <v>188</v>
      </c>
      <c r="L14" s="188" t="s">
        <v>189</v>
      </c>
      <c r="M14" s="188" t="s">
        <v>423</v>
      </c>
      <c r="N14" s="188" t="s">
        <v>424</v>
      </c>
      <c r="O14" s="495"/>
      <c r="P14" s="466"/>
      <c r="Q14" s="466"/>
      <c r="R14" s="462" t="s">
        <v>35</v>
      </c>
      <c r="S14" s="481"/>
      <c r="T14" s="515"/>
      <c r="U14" s="518"/>
      <c r="V14" s="529"/>
      <c r="W14" s="512"/>
      <c r="X14" s="512"/>
      <c r="Y14" s="512"/>
      <c r="Z14" s="510"/>
      <c r="AA14" s="189" t="s">
        <v>36</v>
      </c>
      <c r="AB14" s="189" t="s">
        <v>37</v>
      </c>
      <c r="AC14" s="163" t="s">
        <v>36</v>
      </c>
      <c r="AD14" s="163" t="s">
        <v>37</v>
      </c>
      <c r="AE14" s="163" t="s">
        <v>36</v>
      </c>
      <c r="AF14" s="163" t="s">
        <v>37</v>
      </c>
      <c r="AG14" s="233" t="s">
        <v>38</v>
      </c>
      <c r="AH14" s="488" t="s">
        <v>201</v>
      </c>
      <c r="AI14" s="489"/>
      <c r="AJ14" s="233" t="s">
        <v>203</v>
      </c>
      <c r="AK14" s="163" t="s">
        <v>69</v>
      </c>
      <c r="AL14" s="163" t="s">
        <v>204</v>
      </c>
      <c r="AM14" s="524"/>
      <c r="AN14" s="373" t="s">
        <v>374</v>
      </c>
      <c r="AO14" s="374" t="s">
        <v>375</v>
      </c>
      <c r="AP14" s="226" t="s">
        <v>208</v>
      </c>
      <c r="AQ14" s="348" t="s">
        <v>210</v>
      </c>
      <c r="AR14" s="224" t="s">
        <v>209</v>
      </c>
      <c r="AS14" s="224" t="s">
        <v>211</v>
      </c>
      <c r="AT14" s="306" t="s">
        <v>212</v>
      </c>
      <c r="AU14" s="373" t="s">
        <v>376</v>
      </c>
      <c r="AV14" s="374" t="s">
        <v>377</v>
      </c>
      <c r="AW14" s="225" t="s">
        <v>401</v>
      </c>
      <c r="AX14" s="222" t="s">
        <v>210</v>
      </c>
      <c r="AY14" s="223" t="s">
        <v>209</v>
      </c>
      <c r="AZ14" s="375" t="s">
        <v>211</v>
      </c>
      <c r="BA14" s="376" t="s">
        <v>212</v>
      </c>
      <c r="BB14" s="484"/>
      <c r="BC14" s="549"/>
      <c r="BD14" s="527"/>
      <c r="BE14" s="546"/>
      <c r="BF14" s="536"/>
      <c r="BG14" s="521"/>
    </row>
    <row r="15" spans="1:60" customFormat="1" ht="15" customHeight="1" x14ac:dyDescent="0.25"/>
    <row r="16" spans="1:60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6.5" customHeight="1" x14ac:dyDescent="0.25"/>
    <row r="699" customFormat="1" ht="15" customHeigh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selectLockedCells="1" selectUnlockedCells="1"/>
  <mergeCells count="54">
    <mergeCell ref="AN9:AO9"/>
    <mergeCell ref="AP9:AQ9"/>
    <mergeCell ref="AR9:AS9"/>
    <mergeCell ref="AT9:AU9"/>
    <mergeCell ref="AV9:AW9"/>
    <mergeCell ref="AX9:AY9"/>
    <mergeCell ref="AZ9:BA9"/>
    <mergeCell ref="B12:B14"/>
    <mergeCell ref="BF12:BF14"/>
    <mergeCell ref="K12:L12"/>
    <mergeCell ref="K13:L13"/>
    <mergeCell ref="AE12:AF13"/>
    <mergeCell ref="BE12:BE14"/>
    <mergeCell ref="BC12:BC14"/>
    <mergeCell ref="AA12:AB13"/>
    <mergeCell ref="AC12:AD13"/>
    <mergeCell ref="AG12:AJ13"/>
    <mergeCell ref="AK12:AL13"/>
    <mergeCell ref="AN13:AT13"/>
    <mergeCell ref="AU13:BA13"/>
    <mergeCell ref="AN12:BA12"/>
    <mergeCell ref="T12:T14"/>
    <mergeCell ref="U12:U14"/>
    <mergeCell ref="BG12:BG14"/>
    <mergeCell ref="AM12:AM14"/>
    <mergeCell ref="BD12:BD14"/>
    <mergeCell ref="V13:V14"/>
    <mergeCell ref="W13:W14"/>
    <mergeCell ref="C12:C14"/>
    <mergeCell ref="S12:S14"/>
    <mergeCell ref="BB12:BB14"/>
    <mergeCell ref="E12:E14"/>
    <mergeCell ref="AH14:AI14"/>
    <mergeCell ref="V12:W12"/>
    <mergeCell ref="X12:Y12"/>
    <mergeCell ref="O13:O14"/>
    <mergeCell ref="D12:D14"/>
    <mergeCell ref="F12:F14"/>
    <mergeCell ref="G13:I13"/>
    <mergeCell ref="G12:J12"/>
    <mergeCell ref="P13:P14"/>
    <mergeCell ref="Z12:Z14"/>
    <mergeCell ref="X13:X14"/>
    <mergeCell ref="Y13:Y14"/>
    <mergeCell ref="R12:R14"/>
    <mergeCell ref="G5:K5"/>
    <mergeCell ref="G6:K6"/>
    <mergeCell ref="G7:K7"/>
    <mergeCell ref="G8:K8"/>
    <mergeCell ref="G9:K9"/>
    <mergeCell ref="Q13:Q14"/>
    <mergeCell ref="O12:Q12"/>
    <mergeCell ref="M12:N13"/>
    <mergeCell ref="M10:N10"/>
  </mergeCells>
  <phoneticPr fontId="34" type="noConversion"/>
  <conditionalFormatting sqref="F11 M10 K11:N11">
    <cfRule type="cellIs" dxfId="107" priority="701505" operator="equal">
      <formula>0</formula>
    </cfRule>
  </conditionalFormatting>
  <conditionalFormatting sqref="A11">
    <cfRule type="cellIs" dxfId="106" priority="8690" operator="equal">
      <formula>0</formula>
    </cfRule>
  </conditionalFormatting>
  <conditionalFormatting sqref="L5:Q9">
    <cfRule type="cellIs" dxfId="105" priority="2707" operator="equal">
      <formula>0</formula>
    </cfRule>
  </conditionalFormatting>
  <conditionalFormatting sqref="F9">
    <cfRule type="cellIs" dxfId="104" priority="2560" operator="equal">
      <formula>0</formula>
    </cfRule>
  </conditionalFormatting>
  <conditionalFormatting sqref="F5:F8">
    <cfRule type="cellIs" dxfId="103" priority="2561" operator="equal">
      <formula>0</formula>
    </cfRule>
  </conditionalFormatting>
  <conditionalFormatting sqref="AN9 AP9 AR9 AT9 AV9 AX9 AZ9">
    <cfRule type="cellIs" dxfId="102" priority="348" operator="equal">
      <formula>0</formula>
    </cfRule>
  </conditionalFormatting>
  <conditionalFormatting sqref="G9:K9">
    <cfRule type="cellIs" dxfId="101" priority="47" operator="equal">
      <formula>0</formula>
    </cfRule>
  </conditionalFormatting>
  <conditionalFormatting sqref="G5:K8">
    <cfRule type="cellIs" dxfId="100" priority="48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190500</xdr:colOff>
                    <xdr:row>6</xdr:row>
                    <xdr:rowOff>121920</xdr:rowOff>
                  </from>
                  <to>
                    <xdr:col>9</xdr:col>
                    <xdr:colOff>998220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403860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83820</xdr:colOff>
                    <xdr:row>9</xdr:row>
                    <xdr:rowOff>38100</xdr:rowOff>
                  </from>
                  <to>
                    <xdr:col>8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106680</xdr:colOff>
                    <xdr:row>9</xdr:row>
                    <xdr:rowOff>30480</xdr:rowOff>
                  </from>
                  <to>
                    <xdr:col>7</xdr:col>
                    <xdr:colOff>38100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22860</xdr:rowOff>
                  </from>
                  <to>
                    <xdr:col>9</xdr:col>
                    <xdr:colOff>1059180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99060</xdr:colOff>
                    <xdr:row>9</xdr:row>
                    <xdr:rowOff>7620</xdr:rowOff>
                  </from>
                  <to>
                    <xdr:col>9</xdr:col>
                    <xdr:colOff>137160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14</xdr:col>
                    <xdr:colOff>213360</xdr:colOff>
                    <xdr:row>1</xdr:row>
                    <xdr:rowOff>106680</xdr:rowOff>
                  </from>
                  <to>
                    <xdr:col>15</xdr:col>
                    <xdr:colOff>335280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14</xdr:col>
                    <xdr:colOff>198120</xdr:colOff>
                    <xdr:row>3</xdr:row>
                    <xdr:rowOff>182880</xdr:rowOff>
                  </from>
                  <to>
                    <xdr:col>15</xdr:col>
                    <xdr:colOff>342900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14</xdr:col>
                    <xdr:colOff>213360</xdr:colOff>
                    <xdr:row>7</xdr:row>
                    <xdr:rowOff>137160</xdr:rowOff>
                  </from>
                  <to>
                    <xdr:col>15</xdr:col>
                    <xdr:colOff>373380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18</xdr:col>
                    <xdr:colOff>365760</xdr:colOff>
                    <xdr:row>5</xdr:row>
                    <xdr:rowOff>175260</xdr:rowOff>
                  </from>
                  <to>
                    <xdr:col>23</xdr:col>
                    <xdr:colOff>38100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411480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18</xdr:col>
                    <xdr:colOff>365760</xdr:colOff>
                    <xdr:row>8</xdr:row>
                    <xdr:rowOff>175260</xdr:rowOff>
                  </from>
                  <to>
                    <xdr:col>23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18</xdr:col>
                    <xdr:colOff>350520</xdr:colOff>
                    <xdr:row>3</xdr:row>
                    <xdr:rowOff>76200</xdr:rowOff>
                  </from>
                  <to>
                    <xdr:col>20</xdr:col>
                    <xdr:colOff>30480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18</xdr:col>
                    <xdr:colOff>350520</xdr:colOff>
                    <xdr:row>1</xdr:row>
                    <xdr:rowOff>60960</xdr:rowOff>
                  </from>
                  <to>
                    <xdr:col>20</xdr:col>
                    <xdr:colOff>30480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37</xdr:col>
                    <xdr:colOff>38100</xdr:colOff>
                    <xdr:row>4</xdr:row>
                    <xdr:rowOff>228600</xdr:rowOff>
                  </from>
                  <to>
                    <xdr:col>38</xdr:col>
                    <xdr:colOff>7620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37</xdr:col>
                    <xdr:colOff>22860</xdr:colOff>
                    <xdr:row>7</xdr:row>
                    <xdr:rowOff>106680</xdr:rowOff>
                  </from>
                  <to>
                    <xdr:col>37</xdr:col>
                    <xdr:colOff>861060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37</xdr:col>
                    <xdr:colOff>38100</xdr:colOff>
                    <xdr:row>2</xdr:row>
                    <xdr:rowOff>236220</xdr:rowOff>
                  </from>
                  <to>
                    <xdr:col>38</xdr:col>
                    <xdr:colOff>22860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70" zoomScaleNormal="7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6" sqref="C6:G6"/>
    </sheetView>
  </sheetViews>
  <sheetFormatPr defaultColWidth="8" defaultRowHeight="10.199999999999999" x14ac:dyDescent="0.2"/>
  <cols>
    <col min="1" max="1" width="0.88671875" style="235" customWidth="1"/>
    <col min="2" max="2" width="14.109375" style="14" customWidth="1"/>
    <col min="3" max="3" width="9.109375" style="14" customWidth="1"/>
    <col min="4" max="4" width="11.44140625" style="8" customWidth="1"/>
    <col min="5" max="5" width="7.88671875" style="8" customWidth="1"/>
    <col min="6" max="6" width="6.44140625" style="8" customWidth="1"/>
    <col min="7" max="7" width="12.6640625" style="8" customWidth="1"/>
    <col min="8" max="8" width="8.6640625" style="8" customWidth="1"/>
    <col min="9" max="9" width="8.109375" style="8" customWidth="1"/>
    <col min="10" max="11" width="11.6640625" style="8" customWidth="1"/>
    <col min="12" max="12" width="11.44140625" style="8" customWidth="1"/>
    <col min="13" max="13" width="11.88671875" style="8" customWidth="1"/>
    <col min="14" max="14" width="11" style="8" customWidth="1"/>
    <col min="15" max="15" width="10.88671875" style="8" customWidth="1"/>
    <col min="16" max="16" width="11.109375" style="8" customWidth="1"/>
    <col min="17" max="17" width="11.5546875" style="8" hidden="1" customWidth="1"/>
    <col min="18" max="18" width="11.33203125" style="8" hidden="1" customWidth="1"/>
    <col min="19" max="19" width="13.109375" style="8" customWidth="1"/>
    <col min="20" max="20" width="11.6640625" style="30" customWidth="1"/>
    <col min="21" max="21" width="12.88671875" style="30" hidden="1" customWidth="1"/>
    <col min="22" max="22" width="11" style="30" hidden="1" customWidth="1"/>
    <col min="23" max="23" width="10.88671875" style="30" customWidth="1"/>
    <col min="24" max="24" width="11.5546875" style="30" customWidth="1"/>
    <col min="25" max="25" width="10.88671875" style="30" customWidth="1"/>
    <col min="26" max="26" width="11.109375" style="30" customWidth="1"/>
    <col min="27" max="27" width="8.88671875" style="30" customWidth="1"/>
    <col min="28" max="28" width="8.109375" style="30" customWidth="1"/>
    <col min="29" max="29" width="0.109375" style="30" customWidth="1"/>
    <col min="30" max="30" width="10.88671875" style="30" customWidth="1"/>
    <col min="31" max="31" width="9.88671875" style="14" customWidth="1"/>
    <col min="32" max="32" width="9" style="14" customWidth="1"/>
    <col min="33" max="33" width="8.88671875" style="14" customWidth="1"/>
    <col min="34" max="34" width="11.5546875" style="8" customWidth="1"/>
    <col min="35" max="36" width="11.44140625" style="8" customWidth="1"/>
    <col min="37" max="37" width="23.5546875" style="14" customWidth="1"/>
    <col min="38" max="38" width="17.88671875" style="14" customWidth="1"/>
    <col min="39" max="39" width="6.88671875" style="14" customWidth="1"/>
    <col min="40" max="40" width="7.5546875" style="14" customWidth="1"/>
    <col min="41" max="41" width="6.88671875" style="14" customWidth="1"/>
    <col min="42" max="42" width="6.109375" style="14" customWidth="1"/>
    <col min="43" max="43" width="7" style="14" customWidth="1"/>
    <col min="44" max="44" width="7.5546875" style="14" customWidth="1"/>
    <col min="45" max="45" width="6.109375" style="14" customWidth="1"/>
    <col min="46" max="47" width="6.88671875" style="14" customWidth="1"/>
    <col min="48" max="48" width="8.88671875" style="14" customWidth="1"/>
    <col min="49" max="51" width="6.88671875" style="8" customWidth="1"/>
    <col min="52" max="52" width="8.88671875" style="8" customWidth="1"/>
    <col min="53" max="53" width="8.5546875" style="8" customWidth="1"/>
    <col min="54" max="90" width="6.88671875" style="8" customWidth="1"/>
    <col min="91" max="91" width="26.5546875" style="8" customWidth="1"/>
    <col min="92" max="93" width="8" style="8" customWidth="1"/>
    <col min="94" max="94" width="20.88671875" style="8" customWidth="1"/>
    <col min="95" max="96" width="8" style="8" customWidth="1"/>
    <col min="97" max="97" width="23.88671875" style="8" customWidth="1"/>
    <col min="98" max="99" width="8" style="8" customWidth="1"/>
    <col min="100" max="100" width="22" style="8" customWidth="1"/>
    <col min="101" max="101" width="8" style="8" customWidth="1"/>
    <col min="102" max="102" width="8.109375" style="15" bestFit="1" customWidth="1"/>
    <col min="103" max="103" width="6.88671875" style="16" customWidth="1"/>
    <col min="104" max="16384" width="8" style="8"/>
  </cols>
  <sheetData>
    <row r="1" spans="1:38" ht="22.2" x14ac:dyDescent="0.35">
      <c r="A1" s="235">
        <v>1</v>
      </c>
      <c r="B1" s="10" t="s">
        <v>98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35"/>
    </row>
    <row r="2" spans="1:38" ht="22.8" thickBot="1" x14ac:dyDescent="0.4">
      <c r="A2" s="235">
        <v>1</v>
      </c>
      <c r="B2" s="181" t="s">
        <v>302</v>
      </c>
      <c r="H2" s="17" t="s">
        <v>220</v>
      </c>
      <c r="I2" s="17"/>
      <c r="J2" s="19"/>
      <c r="K2" s="20"/>
      <c r="L2" s="21"/>
      <c r="M2" s="22"/>
      <c r="N2" s="23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4"/>
      <c r="AC2" s="36" t="s">
        <v>125</v>
      </c>
      <c r="AD2" s="36"/>
      <c r="AE2" s="18"/>
      <c r="AF2" s="18"/>
      <c r="AG2" s="18"/>
      <c r="AH2" s="19"/>
      <c r="AI2" s="19"/>
      <c r="AJ2" s="19"/>
      <c r="AK2" s="19"/>
    </row>
    <row r="3" spans="1:38" ht="14.25" customHeight="1" thickTop="1" x14ac:dyDescent="0.2">
      <c r="A3" s="235">
        <v>1</v>
      </c>
      <c r="J3" s="404" t="s">
        <v>260</v>
      </c>
      <c r="K3" s="404" t="s">
        <v>261</v>
      </c>
    </row>
    <row r="4" spans="1:38" ht="22.5" customHeight="1" x14ac:dyDescent="0.25">
      <c r="A4" s="235">
        <v>1</v>
      </c>
      <c r="B4" s="37" t="s">
        <v>219</v>
      </c>
      <c r="C4" s="594">
        <v>0</v>
      </c>
      <c r="D4" s="594"/>
      <c r="E4" s="594"/>
      <c r="F4" s="594"/>
      <c r="G4" s="595"/>
      <c r="H4" s="589" t="s">
        <v>433</v>
      </c>
      <c r="I4" s="590"/>
      <c r="J4" s="220"/>
      <c r="K4" s="220"/>
      <c r="M4" s="589" t="s">
        <v>3</v>
      </c>
      <c r="N4" s="590"/>
      <c r="O4" s="25">
        <v>0.8</v>
      </c>
      <c r="S4" s="601" t="s">
        <v>227</v>
      </c>
      <c r="T4" s="602"/>
      <c r="X4" s="599" t="s">
        <v>233</v>
      </c>
      <c r="Y4" s="600"/>
      <c r="AB4" s="8"/>
      <c r="AD4" s="211" t="s">
        <v>167</v>
      </c>
      <c r="AE4" s="212"/>
      <c r="AF4" s="213"/>
      <c r="AG4" s="211"/>
      <c r="AH4" s="214"/>
      <c r="AI4" s="215"/>
      <c r="AJ4" s="14"/>
    </row>
    <row r="5" spans="1:38" ht="42.75" customHeight="1" x14ac:dyDescent="0.2">
      <c r="A5" s="235">
        <v>1</v>
      </c>
      <c r="B5" s="37" t="s">
        <v>339</v>
      </c>
      <c r="C5" s="594">
        <v>0</v>
      </c>
      <c r="D5" s="594"/>
      <c r="E5" s="594"/>
      <c r="F5" s="594"/>
      <c r="G5" s="595"/>
      <c r="H5" s="589" t="s">
        <v>221</v>
      </c>
      <c r="I5" s="590"/>
      <c r="J5" s="28">
        <v>120</v>
      </c>
      <c r="K5" s="28">
        <v>120</v>
      </c>
      <c r="M5" s="589" t="s">
        <v>222</v>
      </c>
      <c r="N5" s="590"/>
      <c r="O5" s="32">
        <v>0.01</v>
      </c>
      <c r="S5" s="234" t="s">
        <v>228</v>
      </c>
      <c r="T5" s="410">
        <v>0</v>
      </c>
      <c r="X5" s="45" t="s">
        <v>29</v>
      </c>
      <c r="Y5" s="45" t="s">
        <v>234</v>
      </c>
      <c r="AB5" s="8"/>
      <c r="AD5" s="411"/>
      <c r="AE5" s="210"/>
      <c r="AF5" s="210"/>
      <c r="AG5" s="210"/>
      <c r="AH5" s="216" t="s">
        <v>235</v>
      </c>
      <c r="AI5" s="237" t="s">
        <v>236</v>
      </c>
      <c r="AJ5" s="14"/>
    </row>
    <row r="6" spans="1:38" ht="42" customHeight="1" x14ac:dyDescent="0.2">
      <c r="A6" s="235">
        <v>1</v>
      </c>
      <c r="B6" s="37" t="s">
        <v>340</v>
      </c>
      <c r="C6" s="594">
        <v>0</v>
      </c>
      <c r="D6" s="594"/>
      <c r="E6" s="594"/>
      <c r="F6" s="594"/>
      <c r="G6" s="595"/>
      <c r="H6" s="596" t="s">
        <v>429</v>
      </c>
      <c r="I6" s="597"/>
      <c r="J6" s="25">
        <v>4</v>
      </c>
      <c r="K6" s="25">
        <v>4</v>
      </c>
      <c r="M6" s="589" t="s">
        <v>223</v>
      </c>
      <c r="N6" s="590"/>
      <c r="O6" s="33">
        <v>0.75</v>
      </c>
      <c r="S6" s="234" t="s">
        <v>229</v>
      </c>
      <c r="T6" s="410">
        <v>0</v>
      </c>
      <c r="X6" s="405">
        <v>150</v>
      </c>
      <c r="Y6" s="31">
        <v>4.4999999999999997E-3</v>
      </c>
      <c r="AB6" s="8"/>
      <c r="AD6" s="412" t="s">
        <v>261</v>
      </c>
      <c r="AE6" s="207" t="s">
        <v>61</v>
      </c>
      <c r="AF6" s="588" t="s">
        <v>57</v>
      </c>
      <c r="AG6" s="588"/>
      <c r="AH6" s="208">
        <v>384</v>
      </c>
      <c r="AI6" s="209">
        <v>7.9999999999999984E-3</v>
      </c>
      <c r="AJ6" s="14"/>
    </row>
    <row r="7" spans="1:38" ht="24.9" customHeight="1" x14ac:dyDescent="0.2">
      <c r="A7" s="235">
        <v>1</v>
      </c>
      <c r="B7" s="37" t="s">
        <v>21</v>
      </c>
      <c r="C7" s="463">
        <v>0</v>
      </c>
      <c r="D7" s="463"/>
      <c r="E7" s="463"/>
      <c r="F7" s="463"/>
      <c r="G7" s="595"/>
      <c r="H7" s="596" t="s">
        <v>351</v>
      </c>
      <c r="I7" s="597"/>
      <c r="J7" s="25">
        <v>1</v>
      </c>
      <c r="K7" s="25">
        <v>1</v>
      </c>
      <c r="M7" s="589" t="s">
        <v>224</v>
      </c>
      <c r="N7" s="590"/>
      <c r="O7" s="25">
        <v>1.5</v>
      </c>
      <c r="S7" s="601" t="s">
        <v>230</v>
      </c>
      <c r="T7" s="602"/>
      <c r="X7" s="405">
        <v>200</v>
      </c>
      <c r="Y7" s="31">
        <v>4.0000000000000001E-3</v>
      </c>
      <c r="AB7" s="8"/>
      <c r="AD7" s="413" t="s">
        <v>260</v>
      </c>
      <c r="AE7" s="406" t="s">
        <v>61</v>
      </c>
      <c r="AF7" s="587" t="s">
        <v>57</v>
      </c>
      <c r="AG7" s="587"/>
      <c r="AH7" s="407">
        <v>384</v>
      </c>
      <c r="AI7" s="408">
        <v>7.9999999999999984E-3</v>
      </c>
      <c r="AJ7" s="14"/>
    </row>
    <row r="8" spans="1:38" ht="24.9" customHeight="1" x14ac:dyDescent="0.2">
      <c r="A8" s="235">
        <v>1</v>
      </c>
      <c r="B8" s="37" t="s">
        <v>179</v>
      </c>
      <c r="C8" s="598">
        <v>0</v>
      </c>
      <c r="D8" s="594"/>
      <c r="E8" s="594"/>
      <c r="F8" s="594"/>
      <c r="G8" s="595"/>
      <c r="H8" s="589" t="s">
        <v>11</v>
      </c>
      <c r="I8" s="590"/>
      <c r="J8" s="25">
        <v>1.2</v>
      </c>
      <c r="K8" s="25" t="s">
        <v>430</v>
      </c>
      <c r="M8" s="589" t="s">
        <v>225</v>
      </c>
      <c r="N8" s="590"/>
      <c r="O8" s="27">
        <v>1</v>
      </c>
      <c r="S8" s="26" t="s">
        <v>231</v>
      </c>
      <c r="T8" s="25">
        <v>0.9</v>
      </c>
      <c r="X8" s="405">
        <v>250</v>
      </c>
      <c r="Y8" s="31">
        <v>3.5000000000000001E-3</v>
      </c>
      <c r="AB8" s="8"/>
      <c r="AD8" s="413" t="s">
        <v>260</v>
      </c>
      <c r="AE8" s="406" t="s">
        <v>431</v>
      </c>
      <c r="AF8" s="587" t="s">
        <v>432</v>
      </c>
      <c r="AG8" s="587"/>
      <c r="AH8" s="407"/>
      <c r="AI8" s="409">
        <v>10</v>
      </c>
      <c r="AJ8" s="14"/>
    </row>
    <row r="9" spans="1:38" ht="23.25" customHeight="1" x14ac:dyDescent="0.2">
      <c r="A9" s="235">
        <v>1</v>
      </c>
      <c r="H9" s="589" t="s">
        <v>12</v>
      </c>
      <c r="I9" s="590"/>
      <c r="J9" s="25">
        <v>1.5</v>
      </c>
      <c r="K9" s="25" t="s">
        <v>430</v>
      </c>
      <c r="M9" s="589" t="s">
        <v>226</v>
      </c>
      <c r="N9" s="590"/>
      <c r="O9" s="29">
        <v>150</v>
      </c>
      <c r="S9" s="26" t="s">
        <v>232</v>
      </c>
      <c r="T9" s="25">
        <v>0.65</v>
      </c>
      <c r="AD9" s="584" t="s">
        <v>170</v>
      </c>
      <c r="AE9" s="585"/>
      <c r="AF9" s="585"/>
      <c r="AG9" s="585"/>
      <c r="AH9" s="585"/>
      <c r="AI9" s="586"/>
    </row>
    <row r="10" spans="1:38" ht="4.5" customHeight="1" x14ac:dyDescent="0.25">
      <c r="A10" s="235">
        <v>1</v>
      </c>
      <c r="B10" s="47"/>
      <c r="C10" s="47"/>
      <c r="M10" s="12"/>
      <c r="S10" s="13"/>
      <c r="T10" s="34"/>
      <c r="U10" s="34"/>
      <c r="V10" s="34"/>
      <c r="W10" s="14"/>
      <c r="X10" s="8"/>
      <c r="Y10" s="34"/>
      <c r="Z10" s="34"/>
      <c r="AA10" s="34"/>
      <c r="AB10" s="34"/>
      <c r="AC10" s="217"/>
      <c r="AD10" s="34"/>
      <c r="AE10" s="11"/>
      <c r="AF10" s="11"/>
      <c r="AG10" s="11"/>
      <c r="AH10" s="11"/>
      <c r="AI10" s="11"/>
      <c r="AJ10" s="11"/>
      <c r="AK10" s="11"/>
    </row>
    <row r="11" spans="1:38" s="420" customFormat="1" ht="37.5" customHeight="1" x14ac:dyDescent="0.2">
      <c r="A11" s="418">
        <v>1</v>
      </c>
      <c r="B11" s="571" t="s">
        <v>181</v>
      </c>
      <c r="C11" s="581" t="s">
        <v>238</v>
      </c>
      <c r="D11" s="574" t="s">
        <v>239</v>
      </c>
      <c r="E11" s="575"/>
      <c r="F11" s="575"/>
      <c r="G11" s="576"/>
      <c r="H11" s="574" t="s">
        <v>245</v>
      </c>
      <c r="I11" s="576"/>
      <c r="J11" s="574" t="s">
        <v>247</v>
      </c>
      <c r="K11" s="575"/>
      <c r="L11" s="576"/>
      <c r="M11" s="574" t="s">
        <v>249</v>
      </c>
      <c r="N11" s="576"/>
      <c r="O11" s="574" t="s">
        <v>252</v>
      </c>
      <c r="P11" s="576"/>
      <c r="Q11" s="574" t="s">
        <v>253</v>
      </c>
      <c r="R11" s="576"/>
      <c r="S11" s="574" t="s">
        <v>15</v>
      </c>
      <c r="T11" s="576"/>
      <c r="U11" s="574" t="s">
        <v>114</v>
      </c>
      <c r="V11" s="576"/>
      <c r="W11" s="574" t="s">
        <v>256</v>
      </c>
      <c r="X11" s="576"/>
      <c r="Y11" s="571" t="s">
        <v>258</v>
      </c>
      <c r="Z11" s="571" t="s">
        <v>52</v>
      </c>
      <c r="AA11" s="574" t="s">
        <v>259</v>
      </c>
      <c r="AB11" s="575"/>
      <c r="AC11" s="575"/>
      <c r="AD11" s="575"/>
      <c r="AE11" s="575"/>
      <c r="AF11" s="575"/>
      <c r="AG11" s="575"/>
      <c r="AH11" s="576"/>
      <c r="AI11" s="571" t="s">
        <v>265</v>
      </c>
      <c r="AJ11" s="571" t="s">
        <v>266</v>
      </c>
      <c r="AK11" s="591" t="s">
        <v>267</v>
      </c>
    </row>
    <row r="12" spans="1:38" s="420" customFormat="1" ht="32.25" customHeight="1" x14ac:dyDescent="0.2">
      <c r="A12" s="418">
        <v>1</v>
      </c>
      <c r="B12" s="573"/>
      <c r="C12" s="582"/>
      <c r="D12" s="574" t="s">
        <v>240</v>
      </c>
      <c r="E12" s="575"/>
      <c r="F12" s="576"/>
      <c r="G12" s="571" t="s">
        <v>244</v>
      </c>
      <c r="H12" s="577" t="s">
        <v>246</v>
      </c>
      <c r="I12" s="578"/>
      <c r="J12" s="571" t="s">
        <v>248</v>
      </c>
      <c r="K12" s="571" t="s">
        <v>425</v>
      </c>
      <c r="L12" s="571" t="s">
        <v>426</v>
      </c>
      <c r="M12" s="571" t="s">
        <v>250</v>
      </c>
      <c r="N12" s="571" t="s">
        <v>251</v>
      </c>
      <c r="O12" s="571" t="s">
        <v>250</v>
      </c>
      <c r="P12" s="571" t="s">
        <v>251</v>
      </c>
      <c r="Q12" s="571" t="s">
        <v>250</v>
      </c>
      <c r="R12" s="571" t="s">
        <v>251</v>
      </c>
      <c r="S12" s="571" t="s">
        <v>421</v>
      </c>
      <c r="T12" s="571" t="s">
        <v>255</v>
      </c>
      <c r="U12" s="571" t="s">
        <v>127</v>
      </c>
      <c r="V12" s="571" t="s">
        <v>126</v>
      </c>
      <c r="W12" s="571" t="s">
        <v>53</v>
      </c>
      <c r="X12" s="571" t="s">
        <v>257</v>
      </c>
      <c r="Y12" s="573"/>
      <c r="Z12" s="573"/>
      <c r="AA12" s="574" t="s">
        <v>416</v>
      </c>
      <c r="AB12" s="575"/>
      <c r="AC12" s="575"/>
      <c r="AD12" s="575"/>
      <c r="AE12" s="576"/>
      <c r="AF12" s="574" t="s">
        <v>417</v>
      </c>
      <c r="AG12" s="575"/>
      <c r="AH12" s="576"/>
      <c r="AI12" s="573"/>
      <c r="AJ12" s="573"/>
      <c r="AK12" s="592"/>
      <c r="AL12" s="421"/>
    </row>
    <row r="13" spans="1:38" s="420" customFormat="1" ht="48" customHeight="1" x14ac:dyDescent="0.2">
      <c r="A13" s="418">
        <v>1</v>
      </c>
      <c r="B13" s="573"/>
      <c r="C13" s="583"/>
      <c r="D13" s="422" t="s">
        <v>241</v>
      </c>
      <c r="E13" s="415" t="s">
        <v>242</v>
      </c>
      <c r="F13" s="415" t="s">
        <v>243</v>
      </c>
      <c r="G13" s="572"/>
      <c r="H13" s="579"/>
      <c r="I13" s="580"/>
      <c r="J13" s="572"/>
      <c r="K13" s="572"/>
      <c r="L13" s="572"/>
      <c r="M13" s="572"/>
      <c r="N13" s="572"/>
      <c r="O13" s="572"/>
      <c r="P13" s="572"/>
      <c r="Q13" s="572"/>
      <c r="R13" s="572"/>
      <c r="S13" s="572"/>
      <c r="T13" s="572"/>
      <c r="U13" s="572"/>
      <c r="V13" s="572"/>
      <c r="W13" s="572"/>
      <c r="X13" s="572"/>
      <c r="Y13" s="572"/>
      <c r="Z13" s="572"/>
      <c r="AA13" s="422" t="s">
        <v>419</v>
      </c>
      <c r="AB13" s="422" t="s">
        <v>262</v>
      </c>
      <c r="AC13" s="423" t="s">
        <v>428</v>
      </c>
      <c r="AD13" s="423" t="s">
        <v>39</v>
      </c>
      <c r="AE13" s="423" t="s">
        <v>418</v>
      </c>
      <c r="AF13" s="423" t="s">
        <v>420</v>
      </c>
      <c r="AG13" s="422" t="s">
        <v>263</v>
      </c>
      <c r="AH13" s="423" t="s">
        <v>264</v>
      </c>
      <c r="AI13" s="573"/>
      <c r="AJ13" s="573"/>
      <c r="AK13" s="592"/>
    </row>
    <row r="14" spans="1:38" s="420" customFormat="1" ht="33" customHeight="1" x14ac:dyDescent="0.2">
      <c r="A14" s="418">
        <v>1</v>
      </c>
      <c r="B14" s="572"/>
      <c r="C14" s="419" t="s">
        <v>9</v>
      </c>
      <c r="D14" s="419" t="s">
        <v>24</v>
      </c>
      <c r="E14" s="419" t="s">
        <v>24</v>
      </c>
      <c r="F14" s="419" t="s">
        <v>24</v>
      </c>
      <c r="G14" s="419" t="s">
        <v>24</v>
      </c>
      <c r="H14" s="419" t="s">
        <v>62</v>
      </c>
      <c r="I14" s="419" t="s">
        <v>63</v>
      </c>
      <c r="J14" s="419" t="s">
        <v>16</v>
      </c>
      <c r="K14" s="419" t="s">
        <v>16</v>
      </c>
      <c r="L14" s="419" t="s">
        <v>16</v>
      </c>
      <c r="M14" s="419" t="s">
        <v>9</v>
      </c>
      <c r="N14" s="419" t="s">
        <v>9</v>
      </c>
      <c r="O14" s="419" t="s">
        <v>9</v>
      </c>
      <c r="P14" s="419" t="s">
        <v>9</v>
      </c>
      <c r="Q14" s="419" t="s">
        <v>9</v>
      </c>
      <c r="R14" s="419" t="s">
        <v>9</v>
      </c>
      <c r="S14" s="419" t="s">
        <v>9</v>
      </c>
      <c r="T14" s="419" t="s">
        <v>9</v>
      </c>
      <c r="U14" s="419" t="s">
        <v>9</v>
      </c>
      <c r="V14" s="419" t="s">
        <v>9</v>
      </c>
      <c r="W14" s="419" t="s">
        <v>17</v>
      </c>
      <c r="X14" s="419" t="s">
        <v>17</v>
      </c>
      <c r="Y14" s="419" t="s">
        <v>10</v>
      </c>
      <c r="Z14" s="419" t="s">
        <v>7</v>
      </c>
      <c r="AA14" s="419" t="s">
        <v>16</v>
      </c>
      <c r="AB14" s="419" t="s">
        <v>18</v>
      </c>
      <c r="AC14" s="419" t="s">
        <v>19</v>
      </c>
      <c r="AD14" s="419" t="s">
        <v>20</v>
      </c>
      <c r="AE14" s="419" t="s">
        <v>20</v>
      </c>
      <c r="AF14" s="419" t="s">
        <v>16</v>
      </c>
      <c r="AG14" s="419" t="s">
        <v>18</v>
      </c>
      <c r="AH14" s="419" t="s">
        <v>19</v>
      </c>
      <c r="AI14" s="572"/>
      <c r="AJ14" s="572"/>
      <c r="AK14" s="593"/>
    </row>
    <row r="15" spans="1:38" customFormat="1" ht="15" customHeight="1" x14ac:dyDescent="0.25"/>
    <row r="16" spans="1:38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5" customHeight="1" x14ac:dyDescent="0.25"/>
    <row r="699" customFormat="1" ht="15" customHeight="1" x14ac:dyDescent="0.25"/>
    <row r="700" customFormat="1" ht="15" customHeight="1" x14ac:dyDescent="0.25"/>
    <row r="701" customFormat="1" ht="15" customHeight="1" x14ac:dyDescent="0.25"/>
    <row r="702" customFormat="1" ht="15" customHeight="1" x14ac:dyDescent="0.25"/>
    <row r="703" customFormat="1" ht="15" customHeight="1" x14ac:dyDescent="0.25"/>
    <row r="704" customFormat="1" ht="15" customHeight="1" x14ac:dyDescent="0.25"/>
    <row r="705" customFormat="1" ht="15" customHeight="1" x14ac:dyDescent="0.25"/>
    <row r="706" customFormat="1" ht="15" customHeight="1" x14ac:dyDescent="0.25"/>
    <row r="707" customFormat="1" ht="15" customHeight="1" x14ac:dyDescent="0.25"/>
    <row r="708" customFormat="1" ht="15" customHeight="1" x14ac:dyDescent="0.25"/>
    <row r="709" customFormat="1" ht="15" customHeight="1" x14ac:dyDescent="0.25"/>
    <row r="710" customFormat="1" ht="15" customHeight="1" x14ac:dyDescent="0.25"/>
    <row r="711" customFormat="1" ht="15" customHeight="1" x14ac:dyDescent="0.25"/>
    <row r="712" customFormat="1" ht="15" customHeight="1" x14ac:dyDescent="0.25"/>
    <row r="713" customFormat="1" ht="15" customHeight="1" x14ac:dyDescent="0.25"/>
    <row r="714" customFormat="1" ht="15" customHeight="1" x14ac:dyDescent="0.25"/>
    <row r="715" customFormat="1" ht="15" customHeight="1" x14ac:dyDescent="0.25"/>
    <row r="716" customFormat="1" ht="15" customHeight="1" x14ac:dyDescent="0.25"/>
    <row r="717" customFormat="1" ht="15" customHeight="1" x14ac:dyDescent="0.25"/>
    <row r="718" customFormat="1" ht="15" customHeight="1" x14ac:dyDescent="0.25"/>
    <row r="719" customFormat="1" ht="15" customHeight="1" x14ac:dyDescent="0.25"/>
    <row r="720" customFormat="1" ht="15" customHeight="1" x14ac:dyDescent="0.25"/>
    <row r="721" customFormat="1" ht="15" customHeight="1" x14ac:dyDescent="0.25"/>
    <row r="722" customFormat="1" ht="15" customHeight="1" x14ac:dyDescent="0.25"/>
    <row r="723" customFormat="1" ht="15" customHeight="1" x14ac:dyDescent="0.25"/>
    <row r="724" customFormat="1" ht="15" customHeight="1" x14ac:dyDescent="0.25"/>
    <row r="725" customFormat="1" ht="15" customHeight="1" x14ac:dyDescent="0.25"/>
    <row r="726" customFormat="1" ht="15" customHeight="1" x14ac:dyDescent="0.25"/>
    <row r="727" customFormat="1" ht="15" customHeight="1" x14ac:dyDescent="0.25"/>
    <row r="728" customFormat="1" ht="15" customHeight="1" x14ac:dyDescent="0.25"/>
    <row r="729" customFormat="1" ht="15" customHeight="1" x14ac:dyDescent="0.25"/>
    <row r="730" customFormat="1" ht="15" customHeight="1" x14ac:dyDescent="0.25"/>
    <row r="731" customFormat="1" ht="15" customHeight="1" x14ac:dyDescent="0.25"/>
    <row r="732" customFormat="1" ht="15" customHeight="1" x14ac:dyDescent="0.25"/>
    <row r="733" customFormat="1" ht="15" customHeight="1" x14ac:dyDescent="0.25"/>
    <row r="734" customFormat="1" ht="15" customHeight="1" x14ac:dyDescent="0.25"/>
    <row r="735" customFormat="1" ht="15" customHeight="1" x14ac:dyDescent="0.25"/>
    <row r="736" customFormat="1" ht="15" customHeight="1" x14ac:dyDescent="0.25"/>
    <row r="737" customFormat="1" ht="15" customHeight="1" x14ac:dyDescent="0.25"/>
    <row r="738" customFormat="1" ht="15" customHeight="1" x14ac:dyDescent="0.25"/>
    <row r="739" customFormat="1" ht="15" customHeight="1" x14ac:dyDescent="0.25"/>
    <row r="740" customFormat="1" ht="15" customHeight="1" x14ac:dyDescent="0.25"/>
    <row r="741" customFormat="1" ht="15" customHeight="1" x14ac:dyDescent="0.25"/>
    <row r="742" customFormat="1" ht="15" customHeight="1" x14ac:dyDescent="0.25"/>
    <row r="743" customFormat="1" ht="15" customHeight="1" x14ac:dyDescent="0.25"/>
    <row r="744" customFormat="1" ht="15" customHeight="1" x14ac:dyDescent="0.25"/>
    <row r="745" customFormat="1" ht="15" customHeight="1" x14ac:dyDescent="0.25"/>
    <row r="746" customFormat="1" ht="15" customHeight="1" x14ac:dyDescent="0.25"/>
    <row r="747" customFormat="1" ht="15" customHeight="1" x14ac:dyDescent="0.25"/>
    <row r="748" customFormat="1" ht="15" customHeight="1" x14ac:dyDescent="0.25"/>
    <row r="749" customFormat="1" ht="15" customHeight="1" x14ac:dyDescent="0.25"/>
    <row r="750" customFormat="1" ht="15" customHeight="1" x14ac:dyDescent="0.25"/>
    <row r="751" customFormat="1" ht="15" customHeight="1" x14ac:dyDescent="0.25"/>
    <row r="752" customFormat="1" ht="15" customHeight="1" x14ac:dyDescent="0.25"/>
    <row r="753" customFormat="1" ht="15" customHeight="1" x14ac:dyDescent="0.25"/>
    <row r="754" customFormat="1" ht="15" customHeight="1" x14ac:dyDescent="0.25"/>
    <row r="755" customFormat="1" ht="15" customHeight="1" x14ac:dyDescent="0.25"/>
    <row r="756" customFormat="1" ht="15" customHeight="1" x14ac:dyDescent="0.25"/>
    <row r="757" customFormat="1" ht="15" customHeight="1" x14ac:dyDescent="0.25"/>
    <row r="758" customFormat="1" ht="15" customHeight="1" x14ac:dyDescent="0.25"/>
    <row r="759" customFormat="1" ht="15" customHeight="1" x14ac:dyDescent="0.25"/>
    <row r="760" customFormat="1" ht="15" customHeight="1" x14ac:dyDescent="0.25"/>
    <row r="761" customFormat="1" ht="15" customHeight="1" x14ac:dyDescent="0.25"/>
    <row r="762" customFormat="1" ht="15" customHeight="1" x14ac:dyDescent="0.25"/>
    <row r="763" customFormat="1" ht="15" customHeight="1" x14ac:dyDescent="0.25"/>
    <row r="764" customFormat="1" ht="15" customHeight="1" x14ac:dyDescent="0.25"/>
    <row r="765" customFormat="1" ht="15" customHeight="1" x14ac:dyDescent="0.25"/>
    <row r="766" customFormat="1" ht="15" customHeight="1" x14ac:dyDescent="0.25"/>
    <row r="767" customFormat="1" ht="15" customHeight="1" x14ac:dyDescent="0.25"/>
    <row r="768" customFormat="1" ht="15" customHeight="1" x14ac:dyDescent="0.25"/>
    <row r="769" customFormat="1" ht="15" customHeight="1" x14ac:dyDescent="0.25"/>
    <row r="770" customFormat="1" ht="15" customHeight="1" x14ac:dyDescent="0.25"/>
    <row r="771" customFormat="1" ht="15" customHeight="1" x14ac:dyDescent="0.25"/>
    <row r="772" customFormat="1" ht="15" customHeight="1" x14ac:dyDescent="0.25"/>
    <row r="773" customFormat="1" ht="15" customHeight="1" x14ac:dyDescent="0.25"/>
    <row r="774" customFormat="1" ht="15" customHeight="1" x14ac:dyDescent="0.25"/>
    <row r="775" customFormat="1" ht="15" customHeight="1" x14ac:dyDescent="0.25"/>
    <row r="776" customFormat="1" ht="15" customHeight="1" x14ac:dyDescent="0.25"/>
    <row r="777" customFormat="1" ht="15" customHeight="1" x14ac:dyDescent="0.25"/>
    <row r="778" customFormat="1" ht="15" customHeight="1" x14ac:dyDescent="0.25"/>
    <row r="779" customFormat="1" ht="15" customHeight="1" x14ac:dyDescent="0.25"/>
    <row r="780" customFormat="1" ht="15" customHeight="1" x14ac:dyDescent="0.25"/>
    <row r="781" customFormat="1" ht="15" customHeight="1" x14ac:dyDescent="0.25"/>
    <row r="782" customFormat="1" ht="15" customHeight="1" x14ac:dyDescent="0.25"/>
    <row r="783" customFormat="1" ht="15" customHeight="1" x14ac:dyDescent="0.25"/>
    <row r="784" customFormat="1" ht="15" customHeight="1" x14ac:dyDescent="0.25"/>
    <row r="785" customFormat="1" ht="15" customHeight="1" x14ac:dyDescent="0.25"/>
    <row r="786" customFormat="1" ht="15" customHeight="1" x14ac:dyDescent="0.25"/>
    <row r="787" customFormat="1" ht="15" customHeight="1" x14ac:dyDescent="0.25"/>
    <row r="788" customFormat="1" ht="15" customHeight="1" x14ac:dyDescent="0.25"/>
    <row r="789" customFormat="1" ht="15" customHeight="1" x14ac:dyDescent="0.25"/>
    <row r="790" customFormat="1" ht="15" customHeight="1" x14ac:dyDescent="0.25"/>
    <row r="791" customFormat="1" ht="15" customHeight="1" x14ac:dyDescent="0.25"/>
    <row r="792" customFormat="1" ht="15" customHeight="1" x14ac:dyDescent="0.25"/>
    <row r="793" customFormat="1" ht="15" customHeight="1" x14ac:dyDescent="0.25"/>
    <row r="794" customFormat="1" ht="15" customHeight="1" x14ac:dyDescent="0.25"/>
    <row r="795" customFormat="1" ht="15" customHeight="1" x14ac:dyDescent="0.25"/>
    <row r="796" customFormat="1" ht="15" customHeight="1" x14ac:dyDescent="0.25"/>
    <row r="797" customFormat="1" ht="15" customHeight="1" x14ac:dyDescent="0.25"/>
    <row r="798" customFormat="1" ht="15" customHeight="1" x14ac:dyDescent="0.25"/>
    <row r="799" customFormat="1" ht="15" customHeight="1" x14ac:dyDescent="0.25"/>
    <row r="800" customFormat="1" ht="15" customHeight="1" x14ac:dyDescent="0.25"/>
    <row r="801" customFormat="1" ht="15" customHeight="1" x14ac:dyDescent="0.25"/>
    <row r="802" customFormat="1" ht="15" customHeight="1" x14ac:dyDescent="0.25"/>
    <row r="803" customFormat="1" ht="15" customHeight="1" x14ac:dyDescent="0.25"/>
    <row r="804" customFormat="1" ht="15" customHeight="1" x14ac:dyDescent="0.25"/>
    <row r="805" customFormat="1" ht="15" customHeight="1" x14ac:dyDescent="0.25"/>
    <row r="806" customFormat="1" ht="15" customHeight="1" x14ac:dyDescent="0.25"/>
    <row r="807" customFormat="1" ht="15" customHeight="1" x14ac:dyDescent="0.25"/>
    <row r="808" customFormat="1" ht="15" customHeight="1" x14ac:dyDescent="0.25"/>
    <row r="809" customFormat="1" ht="15" customHeight="1" x14ac:dyDescent="0.25"/>
    <row r="810" customFormat="1" ht="15" customHeight="1" x14ac:dyDescent="0.25"/>
    <row r="811" customFormat="1" ht="15" customHeight="1" x14ac:dyDescent="0.25"/>
    <row r="812" customFormat="1" ht="15" customHeight="1" x14ac:dyDescent="0.25"/>
    <row r="813" customFormat="1" ht="15" customHeight="1" x14ac:dyDescent="0.25"/>
    <row r="814" customFormat="1" ht="15" customHeight="1" x14ac:dyDescent="0.25"/>
    <row r="815" customFormat="1" ht="15" customHeight="1" x14ac:dyDescent="0.25"/>
    <row r="816" customFormat="1" ht="15" customHeight="1" x14ac:dyDescent="0.25"/>
    <row r="817" customFormat="1" ht="15" customHeight="1" x14ac:dyDescent="0.25"/>
    <row r="818" customFormat="1" ht="15" customHeight="1" x14ac:dyDescent="0.25"/>
    <row r="819" customFormat="1" ht="15" customHeight="1" x14ac:dyDescent="0.25"/>
    <row r="820" customFormat="1" ht="15" customHeight="1" x14ac:dyDescent="0.25"/>
    <row r="821" customFormat="1" ht="15" customHeight="1" x14ac:dyDescent="0.25"/>
    <row r="822" customFormat="1" ht="15" customHeight="1" x14ac:dyDescent="0.25"/>
    <row r="823" customFormat="1" ht="15" customHeight="1" x14ac:dyDescent="0.25"/>
    <row r="824" customFormat="1" ht="15" customHeight="1" x14ac:dyDescent="0.25"/>
    <row r="825" customFormat="1" ht="15" customHeight="1" x14ac:dyDescent="0.25"/>
    <row r="826" customFormat="1" ht="15" customHeight="1" x14ac:dyDescent="0.25"/>
    <row r="827" customFormat="1" ht="15" customHeight="1" x14ac:dyDescent="0.25"/>
    <row r="828" customFormat="1" ht="15" customHeight="1" x14ac:dyDescent="0.25"/>
    <row r="829" customFormat="1" ht="15" customHeight="1" x14ac:dyDescent="0.25"/>
    <row r="830" customFormat="1" ht="15" customHeight="1" x14ac:dyDescent="0.25"/>
    <row r="831" customFormat="1" ht="15" customHeight="1" x14ac:dyDescent="0.25"/>
    <row r="832" customFormat="1" ht="15" customHeight="1" x14ac:dyDescent="0.25"/>
    <row r="833" customFormat="1" ht="15" customHeight="1" x14ac:dyDescent="0.25"/>
    <row r="834" customFormat="1" ht="15" customHeight="1" x14ac:dyDescent="0.25"/>
    <row r="835" customFormat="1" ht="15" customHeight="1" x14ac:dyDescent="0.25"/>
    <row r="836" customFormat="1" ht="15" customHeight="1" x14ac:dyDescent="0.25"/>
    <row r="837" customFormat="1" ht="15" customHeight="1" x14ac:dyDescent="0.25"/>
    <row r="838" customFormat="1" ht="15" customHeight="1" x14ac:dyDescent="0.25"/>
    <row r="839" customFormat="1" ht="15" customHeight="1" x14ac:dyDescent="0.25"/>
    <row r="840" customFormat="1" ht="15" customHeight="1" x14ac:dyDescent="0.25"/>
    <row r="841" customFormat="1" ht="15" customHeight="1" x14ac:dyDescent="0.25"/>
    <row r="842" customFormat="1" ht="15" customHeight="1" x14ac:dyDescent="0.25"/>
    <row r="843" customFormat="1" ht="15" customHeight="1" x14ac:dyDescent="0.25"/>
    <row r="844" customFormat="1" ht="15" customHeight="1" x14ac:dyDescent="0.25"/>
    <row r="845" customFormat="1" ht="15" customHeight="1" x14ac:dyDescent="0.25"/>
    <row r="846" customFormat="1" ht="15" customHeight="1" x14ac:dyDescent="0.25"/>
    <row r="847" customFormat="1" ht="15" customHeight="1" x14ac:dyDescent="0.25"/>
    <row r="848" customFormat="1" ht="15" customHeight="1" x14ac:dyDescent="0.25"/>
    <row r="849" customFormat="1" ht="15" customHeight="1" x14ac:dyDescent="0.25"/>
    <row r="850" customFormat="1" ht="15" customHeight="1" x14ac:dyDescent="0.25"/>
    <row r="851" customFormat="1" ht="15" customHeight="1" x14ac:dyDescent="0.25"/>
    <row r="852" customFormat="1" ht="15" customHeight="1" x14ac:dyDescent="0.25"/>
    <row r="853" customFormat="1" ht="15" customHeight="1" x14ac:dyDescent="0.25"/>
    <row r="854" customFormat="1" ht="15" customHeight="1" x14ac:dyDescent="0.25"/>
    <row r="855" customFormat="1" ht="15" customHeight="1" x14ac:dyDescent="0.25"/>
    <row r="856" customFormat="1" ht="15" customHeight="1" x14ac:dyDescent="0.25"/>
    <row r="857" customFormat="1" ht="15" customHeight="1" x14ac:dyDescent="0.25"/>
    <row r="858" customFormat="1" ht="15" customHeight="1" x14ac:dyDescent="0.25"/>
    <row r="859" customFormat="1" ht="15" customHeight="1" x14ac:dyDescent="0.25"/>
    <row r="860" customFormat="1" ht="15" customHeight="1" x14ac:dyDescent="0.25"/>
    <row r="861" customFormat="1" ht="15" customHeight="1" x14ac:dyDescent="0.25"/>
    <row r="862" customFormat="1" ht="15" customHeight="1" x14ac:dyDescent="0.25"/>
    <row r="863" customFormat="1" ht="15" customHeight="1" x14ac:dyDescent="0.25"/>
    <row r="864" customFormat="1" ht="15" customHeight="1" x14ac:dyDescent="0.25"/>
    <row r="865" customFormat="1" ht="15" customHeight="1" x14ac:dyDescent="0.25"/>
    <row r="866" customFormat="1" ht="15" customHeight="1" x14ac:dyDescent="0.25"/>
    <row r="867" customFormat="1" ht="15" customHeight="1" x14ac:dyDescent="0.25"/>
    <row r="868" customFormat="1" ht="15" customHeight="1" x14ac:dyDescent="0.25"/>
    <row r="869" customFormat="1" ht="15" customHeight="1" x14ac:dyDescent="0.25"/>
    <row r="870" customFormat="1" ht="15" customHeight="1" x14ac:dyDescent="0.25"/>
    <row r="871" customFormat="1" ht="15" customHeight="1" x14ac:dyDescent="0.25"/>
    <row r="872" customFormat="1" ht="15" customHeight="1" x14ac:dyDescent="0.25"/>
    <row r="873" customFormat="1" ht="15" customHeight="1" x14ac:dyDescent="0.25"/>
    <row r="874" customFormat="1" ht="15" customHeight="1" x14ac:dyDescent="0.25"/>
    <row r="875" customFormat="1" ht="15" customHeight="1" x14ac:dyDescent="0.25"/>
    <row r="876" customFormat="1" ht="15" customHeight="1" x14ac:dyDescent="0.25"/>
    <row r="877" customFormat="1" ht="15" customHeight="1" x14ac:dyDescent="0.25"/>
    <row r="878" customFormat="1" ht="15" customHeight="1" x14ac:dyDescent="0.25"/>
    <row r="879" customFormat="1" ht="15" customHeight="1" x14ac:dyDescent="0.25"/>
    <row r="880" customFormat="1" ht="15" customHeight="1" x14ac:dyDescent="0.25"/>
    <row r="881" customFormat="1" ht="15" customHeight="1" x14ac:dyDescent="0.25"/>
    <row r="882" customFormat="1" ht="15" customHeight="1" x14ac:dyDescent="0.25"/>
    <row r="883" customFormat="1" ht="15" customHeight="1" x14ac:dyDescent="0.25"/>
    <row r="884" customFormat="1" ht="15" customHeight="1" x14ac:dyDescent="0.25"/>
    <row r="885" customFormat="1" ht="15" customHeight="1" x14ac:dyDescent="0.25"/>
    <row r="886" customFormat="1" ht="15" customHeight="1" x14ac:dyDescent="0.25"/>
    <row r="887" customFormat="1" ht="15" customHeight="1" x14ac:dyDescent="0.25"/>
    <row r="888" customFormat="1" ht="15" customHeight="1" x14ac:dyDescent="0.25"/>
    <row r="889" customFormat="1" ht="15" customHeight="1" x14ac:dyDescent="0.25"/>
    <row r="890" customFormat="1" ht="15" customHeight="1" x14ac:dyDescent="0.25"/>
    <row r="891" customFormat="1" ht="15" customHeight="1" x14ac:dyDescent="0.25"/>
    <row r="892" customFormat="1" ht="15" customHeight="1" x14ac:dyDescent="0.25"/>
    <row r="893" customFormat="1" ht="15" customHeight="1" x14ac:dyDescent="0.25"/>
    <row r="894" customFormat="1" ht="15" customHeight="1" x14ac:dyDescent="0.25"/>
    <row r="895" customFormat="1" ht="15" customHeight="1" x14ac:dyDescent="0.25"/>
    <row r="896" customFormat="1" ht="15" customHeight="1" x14ac:dyDescent="0.25"/>
    <row r="897" customFormat="1" ht="15" customHeight="1" x14ac:dyDescent="0.25"/>
    <row r="898" customFormat="1" ht="15" customHeight="1" x14ac:dyDescent="0.25"/>
    <row r="899" customFormat="1" ht="15" customHeight="1" x14ac:dyDescent="0.25"/>
    <row r="900" customFormat="1" ht="15" customHeight="1" x14ac:dyDescent="0.25"/>
    <row r="901" customFormat="1" ht="15" customHeight="1" x14ac:dyDescent="0.25"/>
    <row r="902" customFormat="1" ht="15" customHeight="1" x14ac:dyDescent="0.25"/>
    <row r="903" customFormat="1" ht="15" customHeight="1" x14ac:dyDescent="0.25"/>
    <row r="904" customFormat="1" ht="15" customHeight="1" x14ac:dyDescent="0.25"/>
    <row r="905" customFormat="1" ht="15" customHeight="1" x14ac:dyDescent="0.25"/>
    <row r="906" customFormat="1" ht="15" customHeight="1" x14ac:dyDescent="0.25"/>
    <row r="907" customFormat="1" ht="15" customHeight="1" x14ac:dyDescent="0.25"/>
    <row r="908" customFormat="1" ht="15" customHeight="1" x14ac:dyDescent="0.25"/>
    <row r="909" customFormat="1" ht="15" customHeight="1" x14ac:dyDescent="0.25"/>
    <row r="910" customFormat="1" ht="15" customHeight="1" x14ac:dyDescent="0.25"/>
    <row r="911" customFormat="1" ht="15" customHeight="1" x14ac:dyDescent="0.25"/>
    <row r="912" customFormat="1" ht="15" customHeight="1" x14ac:dyDescent="0.25"/>
    <row r="913" customFormat="1" ht="15" customHeight="1" x14ac:dyDescent="0.25"/>
    <row r="914" customFormat="1" ht="15" customHeight="1" x14ac:dyDescent="0.25"/>
    <row r="915" customFormat="1" ht="15" customHeight="1" x14ac:dyDescent="0.25"/>
    <row r="916" customFormat="1" ht="15" customHeight="1" x14ac:dyDescent="0.25"/>
    <row r="917" customFormat="1" ht="15" customHeight="1" x14ac:dyDescent="0.25"/>
    <row r="918" customFormat="1" ht="15" customHeight="1" x14ac:dyDescent="0.25"/>
    <row r="919" customFormat="1" ht="15" customHeight="1" x14ac:dyDescent="0.25"/>
    <row r="920" customFormat="1" ht="15" customHeight="1" x14ac:dyDescent="0.25"/>
    <row r="921" customFormat="1" ht="15" customHeight="1" x14ac:dyDescent="0.25"/>
    <row r="922" customFormat="1" ht="15" customHeight="1" x14ac:dyDescent="0.25"/>
    <row r="923" customFormat="1" ht="15" customHeight="1" x14ac:dyDescent="0.25"/>
    <row r="924" customFormat="1" ht="15" customHeight="1" x14ac:dyDescent="0.25"/>
    <row r="925" customFormat="1" ht="15" customHeight="1" x14ac:dyDescent="0.25"/>
    <row r="926" customFormat="1" ht="15" customHeight="1" x14ac:dyDescent="0.25"/>
    <row r="927" customFormat="1" ht="15" customHeight="1" x14ac:dyDescent="0.25"/>
    <row r="928" customFormat="1" ht="15" customHeight="1" x14ac:dyDescent="0.25"/>
    <row r="929" customFormat="1" ht="15" customHeight="1" x14ac:dyDescent="0.25"/>
    <row r="930" customFormat="1" ht="6.75" customHeight="1" x14ac:dyDescent="0.25"/>
    <row r="931" customFormat="1" ht="15" customHeight="1" x14ac:dyDescent="0.25"/>
    <row r="932" customFormat="1" ht="13.2" x14ac:dyDescent="0.25"/>
    <row r="933" customFormat="1" ht="13.2" x14ac:dyDescent="0.25"/>
    <row r="934" customFormat="1" ht="13.2" x14ac:dyDescent="0.25"/>
    <row r="935" customFormat="1" ht="13.2" x14ac:dyDescent="0.25"/>
    <row r="936" customFormat="1" ht="13.2" x14ac:dyDescent="0.25"/>
    <row r="937" customFormat="1" ht="13.2" x14ac:dyDescent="0.25"/>
    <row r="938" customFormat="1" ht="13.2" x14ac:dyDescent="0.25"/>
    <row r="939" customFormat="1" ht="13.2" x14ac:dyDescent="0.25"/>
    <row r="940" customFormat="1" ht="13.2" x14ac:dyDescent="0.25"/>
    <row r="941" customFormat="1" ht="13.2" x14ac:dyDescent="0.25"/>
    <row r="942" customFormat="1" ht="13.2" x14ac:dyDescent="0.25"/>
    <row r="943" customFormat="1" ht="13.2" x14ac:dyDescent="0.25"/>
    <row r="944" customFormat="1" ht="13.2" x14ac:dyDescent="0.25"/>
    <row r="945" customFormat="1" ht="13.2" x14ac:dyDescent="0.25"/>
    <row r="946" customFormat="1" ht="13.2" x14ac:dyDescent="0.25"/>
    <row r="947" customFormat="1" ht="13.2" x14ac:dyDescent="0.25"/>
    <row r="948" customFormat="1" ht="13.2" x14ac:dyDescent="0.25"/>
    <row r="949" customFormat="1" ht="13.2" x14ac:dyDescent="0.25"/>
    <row r="950" customFormat="1" ht="13.2" x14ac:dyDescent="0.25"/>
    <row r="951" customFormat="1" ht="13.2" x14ac:dyDescent="0.25"/>
    <row r="952" customFormat="1" ht="13.2" x14ac:dyDescent="0.25"/>
    <row r="953" customFormat="1" ht="13.2" x14ac:dyDescent="0.25"/>
    <row r="954" customFormat="1" ht="13.2" x14ac:dyDescent="0.25"/>
    <row r="955" customFormat="1" ht="13.2" x14ac:dyDescent="0.25"/>
    <row r="956" customFormat="1" ht="13.2" x14ac:dyDescent="0.25"/>
    <row r="957" customFormat="1" ht="13.2" x14ac:dyDescent="0.25"/>
    <row r="958" customFormat="1" ht="13.2" x14ac:dyDescent="0.25"/>
    <row r="959" customFormat="1" ht="13.2" x14ac:dyDescent="0.25"/>
    <row r="960" customFormat="1" ht="13.2" x14ac:dyDescent="0.25"/>
    <row r="961" customFormat="1" ht="13.2" x14ac:dyDescent="0.25"/>
    <row r="962" customFormat="1" ht="13.2" x14ac:dyDescent="0.25"/>
    <row r="963" customFormat="1" ht="13.2" x14ac:dyDescent="0.25"/>
    <row r="964" customFormat="1" ht="13.2" x14ac:dyDescent="0.25"/>
    <row r="965" customFormat="1" ht="13.2" x14ac:dyDescent="0.25"/>
    <row r="966" customFormat="1" ht="13.2" x14ac:dyDescent="0.25"/>
    <row r="967" customFormat="1" ht="13.2" x14ac:dyDescent="0.25"/>
    <row r="968" customFormat="1" ht="13.2" x14ac:dyDescent="0.25"/>
    <row r="969" customFormat="1" ht="13.2" x14ac:dyDescent="0.25"/>
    <row r="970" customFormat="1" ht="13.2" x14ac:dyDescent="0.25"/>
    <row r="971" customFormat="1" ht="13.2" x14ac:dyDescent="0.25"/>
    <row r="972" customFormat="1" ht="13.2" x14ac:dyDescent="0.25"/>
    <row r="973" customFormat="1" ht="13.2" x14ac:dyDescent="0.25"/>
    <row r="974" customFormat="1" ht="13.2" x14ac:dyDescent="0.25"/>
    <row r="975" customFormat="1" ht="13.2" x14ac:dyDescent="0.25"/>
    <row r="976" customFormat="1" ht="13.2" x14ac:dyDescent="0.25"/>
    <row r="977" customFormat="1" ht="13.2" x14ac:dyDescent="0.25"/>
    <row r="978" customFormat="1" ht="13.2" x14ac:dyDescent="0.25"/>
    <row r="979" customFormat="1" ht="13.2" x14ac:dyDescent="0.25"/>
    <row r="980" customFormat="1" ht="13.2" x14ac:dyDescent="0.25"/>
    <row r="981" customFormat="1" ht="13.2" x14ac:dyDescent="0.25"/>
    <row r="982" customFormat="1" ht="13.2" x14ac:dyDescent="0.25"/>
    <row r="983" customFormat="1" ht="13.2" x14ac:dyDescent="0.25"/>
    <row r="984" customFormat="1" ht="13.2" x14ac:dyDescent="0.25"/>
    <row r="985" customFormat="1" ht="13.2" x14ac:dyDescent="0.25"/>
    <row r="986" customFormat="1" ht="13.2" x14ac:dyDescent="0.25"/>
    <row r="987" customFormat="1" ht="13.2" x14ac:dyDescent="0.25"/>
    <row r="988" customFormat="1" ht="13.2" x14ac:dyDescent="0.25"/>
    <row r="989" customFormat="1" ht="13.2" x14ac:dyDescent="0.25"/>
    <row r="990" customFormat="1" ht="13.2" x14ac:dyDescent="0.25"/>
    <row r="991" customFormat="1" ht="13.2" x14ac:dyDescent="0.25"/>
    <row r="992" customFormat="1" ht="13.2" x14ac:dyDescent="0.25"/>
    <row r="993" customFormat="1" ht="13.2" x14ac:dyDescent="0.25"/>
    <row r="994" customFormat="1" ht="13.2" x14ac:dyDescent="0.25"/>
    <row r="995" customFormat="1" ht="13.2" x14ac:dyDescent="0.25"/>
    <row r="996" customFormat="1" ht="13.2" x14ac:dyDescent="0.25"/>
    <row r="997" customFormat="1" ht="13.2" x14ac:dyDescent="0.25"/>
    <row r="998" customFormat="1" ht="13.2" x14ac:dyDescent="0.25"/>
    <row r="999" customFormat="1" ht="13.2" x14ac:dyDescent="0.25"/>
    <row r="1000" customFormat="1" ht="13.2" x14ac:dyDescent="0.25"/>
    <row r="1001" customFormat="1" ht="13.2" x14ac:dyDescent="0.25"/>
    <row r="1002" customFormat="1" ht="13.2" x14ac:dyDescent="0.25"/>
    <row r="1003" customFormat="1" ht="13.2" x14ac:dyDescent="0.25"/>
    <row r="1004" customFormat="1" ht="13.2" x14ac:dyDescent="0.25"/>
    <row r="1005" customFormat="1" ht="13.2" x14ac:dyDescent="0.25"/>
    <row r="1006" customFormat="1" ht="13.2" x14ac:dyDescent="0.25"/>
    <row r="1007" customFormat="1" ht="13.2" x14ac:dyDescent="0.25"/>
    <row r="1008" customFormat="1" ht="13.2" x14ac:dyDescent="0.25"/>
    <row r="1009" customFormat="1" ht="13.2" x14ac:dyDescent="0.25"/>
    <row r="1010" customFormat="1" ht="13.2" x14ac:dyDescent="0.25"/>
    <row r="1011" customFormat="1" ht="13.2" x14ac:dyDescent="0.25"/>
    <row r="1012" customFormat="1" ht="13.2" x14ac:dyDescent="0.25"/>
    <row r="1013" customFormat="1" ht="13.2" x14ac:dyDescent="0.25"/>
    <row r="1014" customFormat="1" ht="13.2" x14ac:dyDescent="0.25"/>
    <row r="1015" customFormat="1" ht="13.2" x14ac:dyDescent="0.25"/>
    <row r="1016" customFormat="1" ht="13.2" x14ac:dyDescent="0.25"/>
    <row r="1017" customFormat="1" ht="13.2" x14ac:dyDescent="0.25"/>
    <row r="1018" customFormat="1" ht="13.2" x14ac:dyDescent="0.25"/>
    <row r="1019" customFormat="1" ht="13.2" x14ac:dyDescent="0.25"/>
    <row r="1020" customFormat="1" ht="13.2" x14ac:dyDescent="0.25"/>
    <row r="1021" customFormat="1" ht="13.2" x14ac:dyDescent="0.25"/>
    <row r="1022" customFormat="1" ht="13.2" x14ac:dyDescent="0.25"/>
    <row r="1023" customFormat="1" ht="13.2" x14ac:dyDescent="0.25"/>
    <row r="1024" customFormat="1" ht="13.2" x14ac:dyDescent="0.25"/>
    <row r="1025" customFormat="1" ht="13.2" x14ac:dyDescent="0.25"/>
    <row r="1026" customFormat="1" ht="13.2" x14ac:dyDescent="0.25"/>
    <row r="1027" customFormat="1" ht="13.2" x14ac:dyDescent="0.25"/>
    <row r="1028" customFormat="1" ht="13.2" x14ac:dyDescent="0.25"/>
    <row r="1029" customFormat="1" ht="13.2" x14ac:dyDescent="0.25"/>
    <row r="1030" customFormat="1" ht="13.2" x14ac:dyDescent="0.25"/>
    <row r="1031" customFormat="1" ht="13.2" x14ac:dyDescent="0.25"/>
    <row r="1032" customFormat="1" ht="13.2" x14ac:dyDescent="0.25"/>
    <row r="1033" customFormat="1" ht="13.2" x14ac:dyDescent="0.25"/>
    <row r="1034" customFormat="1" ht="13.2" x14ac:dyDescent="0.25"/>
    <row r="1035" customFormat="1" ht="13.2" x14ac:dyDescent="0.25"/>
    <row r="1036" customFormat="1" ht="13.2" x14ac:dyDescent="0.25"/>
    <row r="1037" customFormat="1" ht="13.2" x14ac:dyDescent="0.25"/>
    <row r="1038" customFormat="1" ht="13.2" x14ac:dyDescent="0.25"/>
    <row r="1039" customFormat="1" ht="13.2" x14ac:dyDescent="0.25"/>
    <row r="1040" customFormat="1" ht="13.2" x14ac:dyDescent="0.25"/>
    <row r="1041" customFormat="1" ht="13.2" x14ac:dyDescent="0.25"/>
    <row r="1042" customFormat="1" ht="13.2" x14ac:dyDescent="0.25"/>
    <row r="1043" customFormat="1" ht="13.2" x14ac:dyDescent="0.25"/>
    <row r="1044" customFormat="1" ht="13.2" x14ac:dyDescent="0.25"/>
    <row r="1045" customFormat="1" ht="13.2" x14ac:dyDescent="0.25"/>
    <row r="1046" customFormat="1" ht="13.2" x14ac:dyDescent="0.25"/>
    <row r="1047" customFormat="1" ht="13.2" x14ac:dyDescent="0.25"/>
    <row r="1048" customFormat="1" ht="13.2" x14ac:dyDescent="0.25"/>
    <row r="1049" customFormat="1" ht="13.2" x14ac:dyDescent="0.25"/>
    <row r="1050" customFormat="1" ht="13.2" x14ac:dyDescent="0.25"/>
    <row r="1051" customFormat="1" ht="13.2" x14ac:dyDescent="0.25"/>
    <row r="1052" customFormat="1" ht="13.2" x14ac:dyDescent="0.25"/>
    <row r="1053" customFormat="1" ht="13.2" x14ac:dyDescent="0.25"/>
    <row r="1054" customFormat="1" ht="13.2" x14ac:dyDescent="0.25"/>
    <row r="1055" customFormat="1" ht="13.2" x14ac:dyDescent="0.25"/>
    <row r="1056" customFormat="1" ht="13.2" x14ac:dyDescent="0.25"/>
    <row r="1057" customFormat="1" ht="13.2" x14ac:dyDescent="0.25"/>
    <row r="1058" customFormat="1" ht="13.2" x14ac:dyDescent="0.25"/>
    <row r="1059" customFormat="1" ht="13.2" x14ac:dyDescent="0.25"/>
    <row r="1060" customFormat="1" ht="13.2" x14ac:dyDescent="0.25"/>
    <row r="1061" customFormat="1" ht="13.2" x14ac:dyDescent="0.25"/>
    <row r="1062" customFormat="1" ht="13.2" x14ac:dyDescent="0.25"/>
    <row r="1063" customFormat="1" ht="13.2" x14ac:dyDescent="0.25"/>
    <row r="1064" customFormat="1" ht="13.2" x14ac:dyDescent="0.25"/>
    <row r="1065" customFormat="1" ht="13.2" x14ac:dyDescent="0.25"/>
    <row r="1066" customFormat="1" ht="13.2" x14ac:dyDescent="0.25"/>
    <row r="1067" customFormat="1" ht="13.2" x14ac:dyDescent="0.25"/>
    <row r="1068" customFormat="1" ht="13.2" x14ac:dyDescent="0.25"/>
    <row r="1069" customFormat="1" ht="13.2" x14ac:dyDescent="0.25"/>
    <row r="1070" customFormat="1" ht="13.2" x14ac:dyDescent="0.25"/>
    <row r="1071" customFormat="1" ht="13.2" x14ac:dyDescent="0.25"/>
    <row r="1072" customFormat="1" ht="13.2" x14ac:dyDescent="0.25"/>
    <row r="1073" customFormat="1" ht="13.2" x14ac:dyDescent="0.25"/>
    <row r="1074" customFormat="1" ht="13.2" x14ac:dyDescent="0.25"/>
    <row r="1075" customFormat="1" ht="13.2" x14ac:dyDescent="0.25"/>
    <row r="1076" customFormat="1" ht="13.2" x14ac:dyDescent="0.25"/>
    <row r="1077" customFormat="1" ht="13.2" x14ac:dyDescent="0.25"/>
    <row r="1078" customFormat="1" ht="13.2" x14ac:dyDescent="0.25"/>
    <row r="1079" customFormat="1" ht="13.2" x14ac:dyDescent="0.25"/>
    <row r="1080" customFormat="1" ht="13.2" x14ac:dyDescent="0.25"/>
    <row r="1081" customFormat="1" ht="13.2" x14ac:dyDescent="0.25"/>
    <row r="1082" customFormat="1" ht="13.2" x14ac:dyDescent="0.25"/>
    <row r="1083" customFormat="1" ht="13.2" x14ac:dyDescent="0.25"/>
    <row r="1084" customFormat="1" ht="13.2" x14ac:dyDescent="0.25"/>
    <row r="1085" customFormat="1" ht="13.2" x14ac:dyDescent="0.25"/>
    <row r="1086" customFormat="1" ht="13.2" x14ac:dyDescent="0.25"/>
    <row r="1087" customFormat="1" ht="13.2" x14ac:dyDescent="0.25"/>
    <row r="1088" customFormat="1" ht="13.2" x14ac:dyDescent="0.25"/>
    <row r="1089" customFormat="1" ht="13.2" x14ac:dyDescent="0.25"/>
    <row r="1090" customFormat="1" ht="13.2" x14ac:dyDescent="0.25"/>
    <row r="1091" customFormat="1" ht="13.2" x14ac:dyDescent="0.25"/>
    <row r="1092" customFormat="1" ht="13.2" x14ac:dyDescent="0.25"/>
    <row r="1093" customFormat="1" ht="13.2" x14ac:dyDescent="0.25"/>
    <row r="1094" customFormat="1" ht="13.2" x14ac:dyDescent="0.25"/>
    <row r="1095" customFormat="1" ht="13.2" x14ac:dyDescent="0.25"/>
    <row r="1096" customFormat="1" ht="13.2" x14ac:dyDescent="0.25"/>
    <row r="1097" customFormat="1" ht="13.2" x14ac:dyDescent="0.25"/>
    <row r="1098" customFormat="1" ht="13.2" x14ac:dyDescent="0.25"/>
    <row r="1099" customFormat="1" ht="13.2" x14ac:dyDescent="0.25"/>
    <row r="1100" customFormat="1" ht="13.2" x14ac:dyDescent="0.25"/>
    <row r="1101" customFormat="1" ht="13.2" x14ac:dyDescent="0.25"/>
    <row r="1102" customFormat="1" ht="13.2" x14ac:dyDescent="0.25"/>
    <row r="1103" customFormat="1" ht="13.2" x14ac:dyDescent="0.25"/>
    <row r="1104" customFormat="1" ht="13.2" x14ac:dyDescent="0.25"/>
    <row r="1105" customFormat="1" ht="13.2" x14ac:dyDescent="0.25"/>
    <row r="1106" customFormat="1" ht="13.2" x14ac:dyDescent="0.25"/>
    <row r="1107" customFormat="1" ht="13.2" x14ac:dyDescent="0.25"/>
    <row r="1108" customFormat="1" ht="13.2" x14ac:dyDescent="0.25"/>
    <row r="1109" customFormat="1" ht="13.2" x14ac:dyDescent="0.25"/>
    <row r="1110" customFormat="1" ht="13.2" x14ac:dyDescent="0.25"/>
    <row r="1111" customFormat="1" ht="13.2" x14ac:dyDescent="0.25"/>
    <row r="1112" customFormat="1" ht="13.2" x14ac:dyDescent="0.25"/>
    <row r="1113" customFormat="1" ht="13.2" x14ac:dyDescent="0.25"/>
    <row r="1114" customFormat="1" ht="13.2" x14ac:dyDescent="0.25"/>
    <row r="1115" customFormat="1" ht="13.2" x14ac:dyDescent="0.25"/>
    <row r="1116" customFormat="1" ht="13.2" x14ac:dyDescent="0.25"/>
    <row r="1117" customFormat="1" ht="13.2" x14ac:dyDescent="0.25"/>
    <row r="1118" customFormat="1" ht="13.2" x14ac:dyDescent="0.25"/>
    <row r="1119" customFormat="1" ht="13.2" x14ac:dyDescent="0.25"/>
    <row r="1120" customFormat="1" ht="13.2" x14ac:dyDescent="0.25"/>
    <row r="1121" customFormat="1" ht="13.2" x14ac:dyDescent="0.25"/>
    <row r="1122" customFormat="1" ht="13.2" x14ac:dyDescent="0.25"/>
    <row r="1123" customFormat="1" ht="13.2" x14ac:dyDescent="0.25"/>
    <row r="1124" customFormat="1" ht="13.2" x14ac:dyDescent="0.25"/>
    <row r="1125" customFormat="1" ht="13.2" x14ac:dyDescent="0.25"/>
    <row r="1126" customFormat="1" ht="13.2" x14ac:dyDescent="0.25"/>
    <row r="1127" customFormat="1" ht="13.2" x14ac:dyDescent="0.25"/>
    <row r="1128" customFormat="1" ht="13.2" x14ac:dyDescent="0.25"/>
    <row r="1129" customFormat="1" ht="13.2" x14ac:dyDescent="0.25"/>
    <row r="1130" customFormat="1" ht="13.2" x14ac:dyDescent="0.25"/>
    <row r="1131" customFormat="1" ht="13.2" x14ac:dyDescent="0.25"/>
    <row r="1132" customFormat="1" ht="13.2" x14ac:dyDescent="0.25"/>
    <row r="1133" customFormat="1" ht="13.2" x14ac:dyDescent="0.25"/>
    <row r="1134" customFormat="1" ht="13.2" x14ac:dyDescent="0.25"/>
    <row r="1135" customFormat="1" ht="13.2" x14ac:dyDescent="0.25"/>
    <row r="1136" customFormat="1" ht="13.2" x14ac:dyDescent="0.25"/>
    <row r="1137" customFormat="1" ht="13.2" x14ac:dyDescent="0.25"/>
    <row r="1138" customFormat="1" ht="13.2" x14ac:dyDescent="0.25"/>
    <row r="1139" customFormat="1" ht="13.2" x14ac:dyDescent="0.25"/>
    <row r="1140" customFormat="1" ht="13.2" x14ac:dyDescent="0.25"/>
    <row r="1141" customFormat="1" ht="13.2" x14ac:dyDescent="0.25"/>
    <row r="1142" customFormat="1" ht="13.2" x14ac:dyDescent="0.25"/>
    <row r="1143" customFormat="1" ht="13.2" x14ac:dyDescent="0.25"/>
    <row r="1144" customFormat="1" ht="13.2" x14ac:dyDescent="0.25"/>
    <row r="1145" customFormat="1" ht="13.2" x14ac:dyDescent="0.25"/>
    <row r="1146" customFormat="1" ht="13.2" x14ac:dyDescent="0.25"/>
    <row r="1147" customFormat="1" ht="13.2" x14ac:dyDescent="0.25"/>
    <row r="1148" customFormat="1" ht="13.2" x14ac:dyDescent="0.25"/>
    <row r="1149" customFormat="1" ht="13.2" x14ac:dyDescent="0.25"/>
    <row r="1150" customFormat="1" ht="13.2" x14ac:dyDescent="0.25"/>
    <row r="1151" customFormat="1" ht="13.2" x14ac:dyDescent="0.25"/>
    <row r="1152" customFormat="1" ht="13.2" x14ac:dyDescent="0.25"/>
    <row r="1153" customFormat="1" ht="13.2" x14ac:dyDescent="0.25"/>
    <row r="1154" customFormat="1" ht="13.2" x14ac:dyDescent="0.25"/>
    <row r="1155" customFormat="1" ht="13.2" x14ac:dyDescent="0.25"/>
    <row r="1156" customFormat="1" ht="13.2" x14ac:dyDescent="0.25"/>
    <row r="1157" customFormat="1" ht="13.2" x14ac:dyDescent="0.25"/>
    <row r="1158" customFormat="1" ht="13.2" x14ac:dyDescent="0.25"/>
    <row r="1159" customFormat="1" ht="13.2" x14ac:dyDescent="0.25"/>
    <row r="1160" customFormat="1" ht="13.2" x14ac:dyDescent="0.25"/>
    <row r="1161" customFormat="1" ht="13.2" x14ac:dyDescent="0.25"/>
    <row r="1162" customFormat="1" ht="13.2" x14ac:dyDescent="0.25"/>
    <row r="1163" customFormat="1" ht="13.2" x14ac:dyDescent="0.25"/>
    <row r="1164" customFormat="1" ht="13.2" x14ac:dyDescent="0.25"/>
    <row r="1165" customFormat="1" ht="13.2" x14ac:dyDescent="0.25"/>
    <row r="1166" customFormat="1" ht="13.2" x14ac:dyDescent="0.25"/>
    <row r="1167" customFormat="1" ht="13.2" x14ac:dyDescent="0.25"/>
    <row r="1168" customFormat="1" ht="13.2" x14ac:dyDescent="0.25"/>
    <row r="1169" customFormat="1" ht="13.2" x14ac:dyDescent="0.25"/>
    <row r="1170" customFormat="1" ht="13.2" x14ac:dyDescent="0.25"/>
    <row r="1171" customFormat="1" ht="13.2" x14ac:dyDescent="0.25"/>
    <row r="1172" customFormat="1" ht="13.2" x14ac:dyDescent="0.25"/>
    <row r="1173" customFormat="1" ht="13.2" x14ac:dyDescent="0.25"/>
    <row r="1174" customFormat="1" ht="13.2" x14ac:dyDescent="0.25"/>
    <row r="1175" customFormat="1" ht="13.2" x14ac:dyDescent="0.25"/>
    <row r="1176" customFormat="1" ht="13.2" x14ac:dyDescent="0.25"/>
    <row r="1177" customFormat="1" ht="13.2" x14ac:dyDescent="0.25"/>
    <row r="1178" customFormat="1" ht="13.2" x14ac:dyDescent="0.25"/>
    <row r="1179" customFormat="1" ht="13.2" x14ac:dyDescent="0.25"/>
    <row r="1180" customFormat="1" ht="13.2" x14ac:dyDescent="0.25"/>
    <row r="1181" customFormat="1" ht="13.2" x14ac:dyDescent="0.25"/>
    <row r="1182" customFormat="1" ht="13.2" x14ac:dyDescent="0.25"/>
    <row r="1183" customFormat="1" ht="13.2" x14ac:dyDescent="0.25"/>
    <row r="1184" customFormat="1" ht="13.2" x14ac:dyDescent="0.25"/>
    <row r="1185" customFormat="1" ht="13.2" x14ac:dyDescent="0.25"/>
    <row r="1186" customFormat="1" ht="13.2" x14ac:dyDescent="0.25"/>
    <row r="1187" customFormat="1" ht="13.2" x14ac:dyDescent="0.25"/>
    <row r="1188" customFormat="1" ht="13.2" x14ac:dyDescent="0.25"/>
    <row r="1189" customFormat="1" ht="13.2" x14ac:dyDescent="0.25"/>
    <row r="1190" customFormat="1" ht="13.2" x14ac:dyDescent="0.25"/>
    <row r="1191" customFormat="1" ht="13.2" x14ac:dyDescent="0.25"/>
    <row r="1192" customFormat="1" ht="13.2" x14ac:dyDescent="0.25"/>
    <row r="1193" customFormat="1" ht="13.2" x14ac:dyDescent="0.25"/>
    <row r="1194" customFormat="1" ht="13.2" x14ac:dyDescent="0.25"/>
    <row r="1195" customFormat="1" ht="13.2" x14ac:dyDescent="0.25"/>
    <row r="1196" customFormat="1" ht="13.2" x14ac:dyDescent="0.25"/>
    <row r="1197" customFormat="1" ht="13.2" x14ac:dyDescent="0.25"/>
    <row r="1198" customFormat="1" ht="13.2" x14ac:dyDescent="0.25"/>
    <row r="1199" customFormat="1" ht="13.2" x14ac:dyDescent="0.25"/>
    <row r="1200" customFormat="1" ht="13.2" x14ac:dyDescent="0.25"/>
    <row r="1201" customFormat="1" ht="13.2" x14ac:dyDescent="0.25"/>
    <row r="1202" customFormat="1" ht="13.2" x14ac:dyDescent="0.25"/>
    <row r="1203" customFormat="1" ht="13.2" x14ac:dyDescent="0.25"/>
    <row r="1204" customFormat="1" ht="13.2" x14ac:dyDescent="0.25"/>
    <row r="1205" customFormat="1" ht="13.2" x14ac:dyDescent="0.25"/>
    <row r="1206" customFormat="1" ht="13.2" x14ac:dyDescent="0.25"/>
    <row r="1207" customFormat="1" ht="13.2" x14ac:dyDescent="0.25"/>
    <row r="1208" customFormat="1" ht="13.2" x14ac:dyDescent="0.25"/>
    <row r="1209" customFormat="1" ht="13.2" x14ac:dyDescent="0.25"/>
    <row r="1210" customFormat="1" ht="13.2" x14ac:dyDescent="0.25"/>
    <row r="1211" customFormat="1" ht="13.2" x14ac:dyDescent="0.25"/>
    <row r="1212" customFormat="1" ht="13.2" x14ac:dyDescent="0.25"/>
    <row r="1213" customFormat="1" ht="13.2" x14ac:dyDescent="0.25"/>
    <row r="1214" customFormat="1" ht="13.2" x14ac:dyDescent="0.25"/>
    <row r="1215" customFormat="1" ht="13.2" x14ac:dyDescent="0.25"/>
    <row r="1216" customFormat="1" ht="13.2" x14ac:dyDescent="0.25"/>
    <row r="1217" customFormat="1" ht="13.2" x14ac:dyDescent="0.25"/>
    <row r="1218" customFormat="1" ht="13.2" x14ac:dyDescent="0.25"/>
    <row r="1219" customFormat="1" ht="13.2" x14ac:dyDescent="0.25"/>
    <row r="1220" customFormat="1" ht="13.2" x14ac:dyDescent="0.25"/>
    <row r="1221" customFormat="1" ht="13.2" x14ac:dyDescent="0.25"/>
    <row r="1222" customFormat="1" ht="13.2" x14ac:dyDescent="0.25"/>
    <row r="1223" customFormat="1" ht="13.2" x14ac:dyDescent="0.25"/>
    <row r="1224" customFormat="1" ht="13.2" x14ac:dyDescent="0.25"/>
    <row r="1225" customFormat="1" ht="13.2" x14ac:dyDescent="0.25"/>
    <row r="1226" customFormat="1" ht="13.2" x14ac:dyDescent="0.25"/>
    <row r="1227" customFormat="1" ht="13.2" x14ac:dyDescent="0.25"/>
    <row r="1228" customFormat="1" ht="13.2" x14ac:dyDescent="0.25"/>
    <row r="1229" customFormat="1" ht="13.2" x14ac:dyDescent="0.25"/>
    <row r="1230" customFormat="1" ht="13.2" x14ac:dyDescent="0.25"/>
    <row r="1231" customFormat="1" ht="13.2" x14ac:dyDescent="0.25"/>
    <row r="1232" customFormat="1" ht="13.2" x14ac:dyDescent="0.25"/>
    <row r="1233" customFormat="1" ht="13.2" x14ac:dyDescent="0.25"/>
    <row r="1234" customFormat="1" ht="13.2" x14ac:dyDescent="0.25"/>
    <row r="1235" customFormat="1" ht="13.2" x14ac:dyDescent="0.25"/>
    <row r="1236" customFormat="1" ht="13.2" x14ac:dyDescent="0.25"/>
    <row r="1237" customFormat="1" ht="13.2" x14ac:dyDescent="0.25"/>
    <row r="1238" customFormat="1" ht="13.2" x14ac:dyDescent="0.25"/>
    <row r="1239" customFormat="1" ht="13.2" x14ac:dyDescent="0.25"/>
    <row r="1240" customFormat="1" ht="13.2" x14ac:dyDescent="0.25"/>
    <row r="1241" customFormat="1" ht="13.2" x14ac:dyDescent="0.25"/>
    <row r="1242" customFormat="1" ht="13.2" x14ac:dyDescent="0.25"/>
    <row r="1243" customFormat="1" ht="13.2" x14ac:dyDescent="0.25"/>
    <row r="1244" customFormat="1" ht="13.2" x14ac:dyDescent="0.25"/>
    <row r="1245" customFormat="1" ht="13.2" x14ac:dyDescent="0.25"/>
    <row r="1246" customFormat="1" ht="13.2" x14ac:dyDescent="0.25"/>
    <row r="1247" customFormat="1" ht="13.2" x14ac:dyDescent="0.25"/>
    <row r="1248" customFormat="1" ht="13.2" x14ac:dyDescent="0.25"/>
    <row r="1249" customFormat="1" ht="13.2" x14ac:dyDescent="0.25"/>
    <row r="1250" customFormat="1" ht="13.2" x14ac:dyDescent="0.25"/>
    <row r="1251" customFormat="1" ht="13.2" x14ac:dyDescent="0.25"/>
    <row r="1252" customFormat="1" ht="13.2" x14ac:dyDescent="0.25"/>
    <row r="1253" customFormat="1" ht="13.2" x14ac:dyDescent="0.25"/>
    <row r="1254" customFormat="1" ht="13.2" x14ac:dyDescent="0.25"/>
    <row r="1255" customFormat="1" ht="13.2" x14ac:dyDescent="0.25"/>
    <row r="1256" customFormat="1" ht="13.2" x14ac:dyDescent="0.25"/>
    <row r="1257" customFormat="1" ht="13.2" x14ac:dyDescent="0.25"/>
    <row r="1258" customFormat="1" ht="13.2" x14ac:dyDescent="0.25"/>
    <row r="1259" customFormat="1" ht="13.2" x14ac:dyDescent="0.25"/>
    <row r="1260" customFormat="1" ht="13.2" x14ac:dyDescent="0.25"/>
    <row r="1261" customFormat="1" ht="13.2" x14ac:dyDescent="0.25"/>
    <row r="1262" customFormat="1" ht="13.2" x14ac:dyDescent="0.25"/>
    <row r="1263" customFormat="1" ht="13.2" x14ac:dyDescent="0.25"/>
    <row r="1264" customFormat="1" ht="13.2" x14ac:dyDescent="0.25"/>
    <row r="1265" customFormat="1" ht="13.2" x14ac:dyDescent="0.25"/>
    <row r="1266" customFormat="1" ht="13.2" x14ac:dyDescent="0.25"/>
    <row r="1267" customFormat="1" ht="13.2" x14ac:dyDescent="0.25"/>
    <row r="1268" customFormat="1" ht="13.2" x14ac:dyDescent="0.25"/>
    <row r="1269" customFormat="1" ht="13.2" x14ac:dyDescent="0.25"/>
    <row r="1270" customFormat="1" ht="13.2" x14ac:dyDescent="0.25"/>
    <row r="1271" customFormat="1" ht="13.2" x14ac:dyDescent="0.25"/>
    <row r="1272" customFormat="1" ht="13.2" x14ac:dyDescent="0.25"/>
    <row r="1273" customFormat="1" ht="13.2" x14ac:dyDescent="0.25"/>
    <row r="1274" customFormat="1" ht="13.2" x14ac:dyDescent="0.25"/>
    <row r="1275" customFormat="1" ht="13.2" x14ac:dyDescent="0.25"/>
    <row r="1276" customFormat="1" ht="13.2" x14ac:dyDescent="0.25"/>
    <row r="1277" customFormat="1" ht="13.2" x14ac:dyDescent="0.25"/>
    <row r="1278" customFormat="1" ht="13.2" x14ac:dyDescent="0.25"/>
    <row r="1279" customFormat="1" ht="13.2" x14ac:dyDescent="0.25"/>
    <row r="1280" customFormat="1" ht="13.2" x14ac:dyDescent="0.25"/>
    <row r="1281" customFormat="1" ht="13.2" x14ac:dyDescent="0.25"/>
    <row r="1282" customFormat="1" ht="13.2" x14ac:dyDescent="0.25"/>
    <row r="1283" customFormat="1" ht="13.2" x14ac:dyDescent="0.25"/>
    <row r="1284" customFormat="1" ht="13.2" x14ac:dyDescent="0.25"/>
    <row r="1285" customFormat="1" ht="13.2" x14ac:dyDescent="0.25"/>
    <row r="1286" customFormat="1" ht="13.2" x14ac:dyDescent="0.25"/>
    <row r="1287" customFormat="1" ht="13.2" x14ac:dyDescent="0.25"/>
    <row r="1288" customFormat="1" ht="13.2" x14ac:dyDescent="0.25"/>
    <row r="1289" customFormat="1" ht="13.2" x14ac:dyDescent="0.25"/>
    <row r="1290" customFormat="1" ht="13.2" x14ac:dyDescent="0.25"/>
    <row r="1291" customFormat="1" ht="13.2" x14ac:dyDescent="0.25"/>
    <row r="1292" customFormat="1" ht="13.2" x14ac:dyDescent="0.25"/>
    <row r="1293" customFormat="1" ht="13.2" x14ac:dyDescent="0.25"/>
    <row r="1294" customFormat="1" ht="13.2" x14ac:dyDescent="0.25"/>
    <row r="1295" customFormat="1" ht="13.2" x14ac:dyDescent="0.25"/>
    <row r="1296" customFormat="1" ht="13.2" x14ac:dyDescent="0.25"/>
    <row r="1297" customFormat="1" ht="13.2" x14ac:dyDescent="0.25"/>
    <row r="1298" customFormat="1" ht="13.2" x14ac:dyDescent="0.25"/>
    <row r="1299" customFormat="1" ht="13.2" x14ac:dyDescent="0.25"/>
    <row r="1300" customFormat="1" ht="13.2" x14ac:dyDescent="0.25"/>
    <row r="1301" customFormat="1" ht="13.2" x14ac:dyDescent="0.25"/>
    <row r="1302" customFormat="1" ht="13.2" x14ac:dyDescent="0.25"/>
    <row r="1303" customFormat="1" ht="13.2" x14ac:dyDescent="0.25"/>
    <row r="1304" customFormat="1" ht="13.2" x14ac:dyDescent="0.25"/>
    <row r="1305" customFormat="1" ht="13.2" x14ac:dyDescent="0.25"/>
    <row r="1306" customFormat="1" ht="13.2" x14ac:dyDescent="0.25"/>
    <row r="1307" customFormat="1" ht="13.2" x14ac:dyDescent="0.25"/>
    <row r="1308" customFormat="1" ht="13.2" x14ac:dyDescent="0.25"/>
    <row r="1309" customFormat="1" ht="13.2" x14ac:dyDescent="0.25"/>
    <row r="1310" customFormat="1" ht="13.2" x14ac:dyDescent="0.25"/>
    <row r="1311" customFormat="1" ht="13.2" x14ac:dyDescent="0.25"/>
    <row r="1312" customFormat="1" ht="13.2" x14ac:dyDescent="0.25"/>
    <row r="1313" customFormat="1" ht="13.2" x14ac:dyDescent="0.25"/>
    <row r="1314" customFormat="1" ht="13.2" x14ac:dyDescent="0.25"/>
    <row r="1315" customFormat="1" ht="13.2" x14ac:dyDescent="0.25"/>
    <row r="1316" customFormat="1" ht="13.2" x14ac:dyDescent="0.25"/>
    <row r="1317" customFormat="1" ht="13.2" x14ac:dyDescent="0.25"/>
    <row r="1318" customFormat="1" ht="13.2" x14ac:dyDescent="0.25"/>
    <row r="1319" customFormat="1" ht="13.2" x14ac:dyDescent="0.25"/>
    <row r="1320" customFormat="1" ht="13.2" x14ac:dyDescent="0.25"/>
    <row r="1321" customFormat="1" ht="13.2" x14ac:dyDescent="0.25"/>
    <row r="1322" customFormat="1" ht="13.2" x14ac:dyDescent="0.25"/>
    <row r="1323" customFormat="1" ht="13.2" x14ac:dyDescent="0.25"/>
    <row r="1324" customFormat="1" ht="13.2" x14ac:dyDescent="0.25"/>
    <row r="1325" customFormat="1" ht="13.2" x14ac:dyDescent="0.25"/>
    <row r="1326" customFormat="1" ht="13.2" x14ac:dyDescent="0.25"/>
    <row r="1327" customFormat="1" ht="13.2" x14ac:dyDescent="0.25"/>
    <row r="1328" customFormat="1" ht="13.2" x14ac:dyDescent="0.25"/>
    <row r="1329" customFormat="1" ht="13.2" x14ac:dyDescent="0.25"/>
    <row r="1330" customFormat="1" ht="13.2" x14ac:dyDescent="0.25"/>
    <row r="1331" customFormat="1" ht="13.2" x14ac:dyDescent="0.25"/>
    <row r="1332" customFormat="1" ht="13.2" x14ac:dyDescent="0.25"/>
    <row r="1333" customFormat="1" ht="13.2" x14ac:dyDescent="0.25"/>
    <row r="1334" customFormat="1" ht="13.2" x14ac:dyDescent="0.25"/>
    <row r="1335" customFormat="1" ht="13.2" x14ac:dyDescent="0.25"/>
    <row r="1336" customFormat="1" ht="13.2" x14ac:dyDescent="0.25"/>
    <row r="1337" customFormat="1" ht="13.2" x14ac:dyDescent="0.25"/>
    <row r="1338" customFormat="1" ht="13.2" x14ac:dyDescent="0.25"/>
    <row r="1339" customFormat="1" ht="13.2" x14ac:dyDescent="0.25"/>
    <row r="1340" customFormat="1" ht="13.2" x14ac:dyDescent="0.25"/>
    <row r="1341" customFormat="1" ht="13.2" x14ac:dyDescent="0.25"/>
    <row r="1342" customFormat="1" ht="13.2" x14ac:dyDescent="0.25"/>
    <row r="1343" customFormat="1" ht="13.2" x14ac:dyDescent="0.25"/>
    <row r="1344" customFormat="1" ht="13.2" x14ac:dyDescent="0.25"/>
    <row r="1345" customFormat="1" ht="13.2" x14ac:dyDescent="0.25"/>
    <row r="1346" customFormat="1" ht="13.2" x14ac:dyDescent="0.25"/>
    <row r="1347" customFormat="1" ht="13.2" x14ac:dyDescent="0.25"/>
    <row r="1348" customFormat="1" ht="13.2" x14ac:dyDescent="0.25"/>
    <row r="1349" customFormat="1" ht="13.2" x14ac:dyDescent="0.25"/>
    <row r="1350" customFormat="1" ht="13.2" x14ac:dyDescent="0.25"/>
    <row r="1351" customFormat="1" ht="13.2" x14ac:dyDescent="0.25"/>
    <row r="1352" customFormat="1" ht="13.2" x14ac:dyDescent="0.25"/>
    <row r="1353" customFormat="1" ht="13.2" x14ac:dyDescent="0.25"/>
    <row r="1354" customFormat="1" ht="13.2" x14ac:dyDescent="0.25"/>
    <row r="1355" customFormat="1" ht="13.2" x14ac:dyDescent="0.25"/>
    <row r="1356" customFormat="1" ht="13.2" x14ac:dyDescent="0.25"/>
    <row r="1357" customFormat="1" ht="13.2" x14ac:dyDescent="0.25"/>
    <row r="1358" customFormat="1" ht="13.2" x14ac:dyDescent="0.25"/>
    <row r="1359" customFormat="1" ht="13.2" x14ac:dyDescent="0.25"/>
    <row r="1360" customFormat="1" ht="13.2" x14ac:dyDescent="0.25"/>
    <row r="1361" customFormat="1" ht="13.2" x14ac:dyDescent="0.25"/>
    <row r="1362" customFormat="1" ht="13.2" x14ac:dyDescent="0.25"/>
    <row r="1363" customFormat="1" ht="13.2" x14ac:dyDescent="0.25"/>
    <row r="1364" customFormat="1" ht="13.2" x14ac:dyDescent="0.25"/>
    <row r="1365" customFormat="1" ht="13.2" x14ac:dyDescent="0.25"/>
    <row r="1366" customFormat="1" ht="13.2" x14ac:dyDescent="0.25"/>
    <row r="1367" customFormat="1" ht="13.2" x14ac:dyDescent="0.25"/>
    <row r="1368" customFormat="1" ht="13.2" x14ac:dyDescent="0.25"/>
    <row r="1369" customFormat="1" ht="13.2" x14ac:dyDescent="0.25"/>
    <row r="1370" customFormat="1" ht="13.2" x14ac:dyDescent="0.25"/>
    <row r="1371" customFormat="1" ht="13.2" x14ac:dyDescent="0.25"/>
    <row r="1372" customFormat="1" ht="13.2" x14ac:dyDescent="0.25"/>
    <row r="1373" customFormat="1" ht="13.2" x14ac:dyDescent="0.25"/>
    <row r="1374" customFormat="1" ht="13.2" x14ac:dyDescent="0.25"/>
    <row r="1375" customFormat="1" ht="13.2" x14ac:dyDescent="0.25"/>
    <row r="1376" customFormat="1" ht="13.2" x14ac:dyDescent="0.25"/>
    <row r="1377" customFormat="1" ht="13.2" x14ac:dyDescent="0.25"/>
    <row r="1378" customFormat="1" ht="13.2" x14ac:dyDescent="0.25"/>
    <row r="1379" customFormat="1" ht="13.2" x14ac:dyDescent="0.25"/>
    <row r="1380" customFormat="1" ht="13.2" x14ac:dyDescent="0.25"/>
    <row r="1381" customFormat="1" ht="13.2" x14ac:dyDescent="0.25"/>
    <row r="1382" customFormat="1" ht="13.2" x14ac:dyDescent="0.25"/>
    <row r="1383" customFormat="1" ht="13.2" x14ac:dyDescent="0.25"/>
    <row r="1384" customFormat="1" ht="13.2" x14ac:dyDescent="0.25"/>
    <row r="1385" customFormat="1" ht="13.2" x14ac:dyDescent="0.25"/>
    <row r="1386" customFormat="1" ht="13.2" x14ac:dyDescent="0.25"/>
    <row r="1387" customFormat="1" ht="13.2" x14ac:dyDescent="0.25"/>
    <row r="1388" customFormat="1" ht="13.2" x14ac:dyDescent="0.25"/>
    <row r="1389" customFormat="1" ht="13.2" x14ac:dyDescent="0.25"/>
    <row r="1390" customFormat="1" ht="13.2" x14ac:dyDescent="0.25"/>
    <row r="1391" customFormat="1" ht="13.2" x14ac:dyDescent="0.25"/>
    <row r="1392" customFormat="1" ht="13.2" x14ac:dyDescent="0.25"/>
    <row r="1393" customFormat="1" ht="13.2" x14ac:dyDescent="0.25"/>
    <row r="1394" customFormat="1" ht="13.2" x14ac:dyDescent="0.25"/>
    <row r="1395" customFormat="1" ht="13.2" x14ac:dyDescent="0.25"/>
    <row r="1396" customFormat="1" ht="13.2" x14ac:dyDescent="0.25"/>
    <row r="1397" customFormat="1" ht="13.2" x14ac:dyDescent="0.25"/>
    <row r="1398" customFormat="1" ht="13.2" x14ac:dyDescent="0.25"/>
    <row r="1399" customFormat="1" ht="13.2" x14ac:dyDescent="0.25"/>
    <row r="1400" customFormat="1" ht="13.2" x14ac:dyDescent="0.25"/>
    <row r="1401" customFormat="1" ht="13.2" x14ac:dyDescent="0.25"/>
    <row r="1402" customFormat="1" ht="13.2" x14ac:dyDescent="0.25"/>
    <row r="1403" customFormat="1" ht="13.2" x14ac:dyDescent="0.25"/>
    <row r="1404" customFormat="1" ht="13.2" x14ac:dyDescent="0.25"/>
    <row r="1405" customFormat="1" ht="13.2" x14ac:dyDescent="0.25"/>
    <row r="1406" customFormat="1" ht="13.2" x14ac:dyDescent="0.25"/>
    <row r="1407" customFormat="1" ht="13.2" x14ac:dyDescent="0.25"/>
    <row r="1408" customFormat="1" ht="13.2" x14ac:dyDescent="0.25"/>
    <row r="1409" customFormat="1" ht="13.2" x14ac:dyDescent="0.25"/>
    <row r="1410" customFormat="1" ht="13.2" x14ac:dyDescent="0.25"/>
    <row r="1411" customFormat="1" ht="13.2" x14ac:dyDescent="0.25"/>
    <row r="1412" customFormat="1" ht="13.2" x14ac:dyDescent="0.25"/>
    <row r="1413" customFormat="1" ht="13.2" x14ac:dyDescent="0.25"/>
    <row r="1414" customFormat="1" ht="13.2" x14ac:dyDescent="0.25"/>
    <row r="1415" customFormat="1" ht="13.2" x14ac:dyDescent="0.25"/>
    <row r="1416" customFormat="1" ht="13.2" x14ac:dyDescent="0.25"/>
    <row r="1417" customFormat="1" ht="13.2" x14ac:dyDescent="0.25"/>
    <row r="1418" customFormat="1" ht="13.2" x14ac:dyDescent="0.25"/>
    <row r="1419" customFormat="1" ht="13.2" x14ac:dyDescent="0.25"/>
    <row r="1420" customFormat="1" ht="13.2" x14ac:dyDescent="0.25"/>
    <row r="1421" customFormat="1" ht="13.2" x14ac:dyDescent="0.25"/>
    <row r="1422" customFormat="1" ht="13.2" x14ac:dyDescent="0.25"/>
    <row r="1423" customFormat="1" ht="13.2" x14ac:dyDescent="0.25"/>
    <row r="1424" customFormat="1" ht="13.2" x14ac:dyDescent="0.25"/>
    <row r="1425" customFormat="1" ht="13.2" x14ac:dyDescent="0.25"/>
    <row r="1426" customFormat="1" ht="13.2" x14ac:dyDescent="0.25"/>
    <row r="1427" customFormat="1" ht="13.2" x14ac:dyDescent="0.25"/>
    <row r="1428" customFormat="1" ht="13.2" x14ac:dyDescent="0.25"/>
    <row r="1429" customFormat="1" ht="13.2" x14ac:dyDescent="0.25"/>
    <row r="1430" customFormat="1" ht="13.2" x14ac:dyDescent="0.25"/>
    <row r="1431" customFormat="1" ht="13.2" x14ac:dyDescent="0.25"/>
    <row r="1432" customFormat="1" ht="13.2" x14ac:dyDescent="0.25"/>
    <row r="1433" customFormat="1" ht="13.2" x14ac:dyDescent="0.25"/>
    <row r="1434" customFormat="1" ht="13.2" x14ac:dyDescent="0.25"/>
    <row r="1435" customFormat="1" ht="13.2" x14ac:dyDescent="0.25"/>
    <row r="1436" customFormat="1" ht="13.2" x14ac:dyDescent="0.25"/>
    <row r="1437" customFormat="1" ht="13.2" x14ac:dyDescent="0.25"/>
    <row r="1438" customFormat="1" ht="13.2" x14ac:dyDescent="0.25"/>
    <row r="1439" customFormat="1" ht="13.2" x14ac:dyDescent="0.25"/>
    <row r="1440" customFormat="1" ht="13.2" x14ac:dyDescent="0.25"/>
    <row r="1441" customFormat="1" ht="13.2" x14ac:dyDescent="0.25"/>
    <row r="1442" customFormat="1" ht="13.2" x14ac:dyDescent="0.25"/>
    <row r="1443" customFormat="1" ht="13.2" x14ac:dyDescent="0.25"/>
    <row r="1444" customFormat="1" ht="13.2" x14ac:dyDescent="0.25"/>
    <row r="1445" customFormat="1" ht="13.2" x14ac:dyDescent="0.25"/>
    <row r="1446" customFormat="1" ht="13.2" x14ac:dyDescent="0.25"/>
    <row r="1447" customFormat="1" ht="13.2" x14ac:dyDescent="0.25"/>
    <row r="1448" customFormat="1" ht="13.2" x14ac:dyDescent="0.25"/>
    <row r="1449" customFormat="1" ht="13.2" x14ac:dyDescent="0.25"/>
    <row r="1450" customFormat="1" ht="13.2" x14ac:dyDescent="0.25"/>
    <row r="1451" customFormat="1" ht="13.2" x14ac:dyDescent="0.25"/>
    <row r="1452" customFormat="1" ht="13.2" x14ac:dyDescent="0.25"/>
    <row r="1453" customFormat="1" ht="13.2" x14ac:dyDescent="0.25"/>
    <row r="1454" customFormat="1" ht="13.2" x14ac:dyDescent="0.25"/>
    <row r="1455" customFormat="1" ht="13.2" x14ac:dyDescent="0.25"/>
    <row r="1456" customFormat="1" ht="13.2" x14ac:dyDescent="0.25"/>
    <row r="1457" customFormat="1" ht="13.2" x14ac:dyDescent="0.25"/>
    <row r="1458" customFormat="1" ht="13.2" x14ac:dyDescent="0.25"/>
    <row r="1459" customFormat="1" ht="13.2" x14ac:dyDescent="0.25"/>
    <row r="1460" customFormat="1" ht="13.2" x14ac:dyDescent="0.25"/>
    <row r="1461" customFormat="1" ht="13.2" x14ac:dyDescent="0.25"/>
    <row r="1462" customFormat="1" ht="13.2" x14ac:dyDescent="0.25"/>
    <row r="1463" customFormat="1" ht="13.2" x14ac:dyDescent="0.25"/>
    <row r="1464" customFormat="1" ht="13.2" x14ac:dyDescent="0.25"/>
    <row r="1465" customFormat="1" ht="13.2" x14ac:dyDescent="0.25"/>
    <row r="1466" customFormat="1" ht="13.2" x14ac:dyDescent="0.25"/>
    <row r="1467" customFormat="1" ht="13.2" x14ac:dyDescent="0.25"/>
    <row r="1468" customFormat="1" ht="13.2" x14ac:dyDescent="0.25"/>
    <row r="1469" customFormat="1" ht="13.2" x14ac:dyDescent="0.25"/>
    <row r="1470" customFormat="1" ht="13.2" x14ac:dyDescent="0.25"/>
    <row r="1471" customFormat="1" ht="13.2" x14ac:dyDescent="0.25"/>
    <row r="1472" customFormat="1" ht="13.2" x14ac:dyDescent="0.25"/>
    <row r="1473" customFormat="1" ht="13.2" x14ac:dyDescent="0.25"/>
    <row r="1474" customFormat="1" ht="13.2" x14ac:dyDescent="0.25"/>
    <row r="1475" customFormat="1" ht="13.2" x14ac:dyDescent="0.25"/>
    <row r="1476" customFormat="1" ht="13.2" x14ac:dyDescent="0.25"/>
    <row r="1477" customFormat="1" ht="13.2" x14ac:dyDescent="0.25"/>
    <row r="1478" customFormat="1" ht="13.2" x14ac:dyDescent="0.25"/>
    <row r="1479" customFormat="1" ht="13.2" x14ac:dyDescent="0.25"/>
    <row r="1480" customFormat="1" ht="13.2" x14ac:dyDescent="0.25"/>
    <row r="1481" customFormat="1" ht="13.2" x14ac:dyDescent="0.25"/>
    <row r="1482" customFormat="1" ht="13.2" x14ac:dyDescent="0.25"/>
    <row r="1483" customFormat="1" ht="13.2" x14ac:dyDescent="0.25"/>
    <row r="1484" customFormat="1" ht="13.2" x14ac:dyDescent="0.25"/>
    <row r="1485" customFormat="1" ht="13.2" x14ac:dyDescent="0.25"/>
    <row r="1486" customFormat="1" ht="13.2" x14ac:dyDescent="0.25"/>
    <row r="1487" customFormat="1" ht="13.2" x14ac:dyDescent="0.25"/>
    <row r="1488" customFormat="1" ht="13.2" x14ac:dyDescent="0.25"/>
    <row r="1489" customFormat="1" ht="13.2" x14ac:dyDescent="0.25"/>
    <row r="1490" customFormat="1" ht="13.2" x14ac:dyDescent="0.25"/>
    <row r="1491" customFormat="1" ht="13.2" x14ac:dyDescent="0.25"/>
    <row r="1492" customFormat="1" ht="13.2" x14ac:dyDescent="0.25"/>
    <row r="1493" customFormat="1" ht="13.2" x14ac:dyDescent="0.25"/>
    <row r="1494" customFormat="1" ht="13.2" x14ac:dyDescent="0.25"/>
    <row r="1495" customFormat="1" ht="13.2" x14ac:dyDescent="0.25"/>
    <row r="1496" customFormat="1" ht="13.2" x14ac:dyDescent="0.25"/>
    <row r="1497" customFormat="1" ht="13.2" x14ac:dyDescent="0.25"/>
    <row r="1498" customFormat="1" ht="13.2" x14ac:dyDescent="0.25"/>
    <row r="1499" customFormat="1" ht="13.2" x14ac:dyDescent="0.25"/>
    <row r="1500" customFormat="1" ht="13.2" x14ac:dyDescent="0.25"/>
    <row r="1501" customFormat="1" ht="13.2" x14ac:dyDescent="0.25"/>
    <row r="1502" customFormat="1" ht="13.2" x14ac:dyDescent="0.25"/>
    <row r="1503" customFormat="1" ht="13.2" x14ac:dyDescent="0.25"/>
    <row r="1504" customFormat="1" ht="13.2" x14ac:dyDescent="0.25"/>
    <row r="1505" customFormat="1" ht="13.2" x14ac:dyDescent="0.25"/>
    <row r="1506" customFormat="1" ht="13.2" x14ac:dyDescent="0.25"/>
    <row r="1507" customFormat="1" ht="13.2" x14ac:dyDescent="0.25"/>
    <row r="1508" customFormat="1" ht="13.2" x14ac:dyDescent="0.25"/>
    <row r="1509" customFormat="1" ht="13.2" x14ac:dyDescent="0.25"/>
    <row r="1510" customFormat="1" ht="13.2" x14ac:dyDescent="0.25"/>
    <row r="1511" customFormat="1" ht="13.2" x14ac:dyDescent="0.25"/>
    <row r="1512" customFormat="1" ht="13.2" x14ac:dyDescent="0.25"/>
    <row r="1513" customFormat="1" ht="13.2" x14ac:dyDescent="0.25"/>
    <row r="1514" customFormat="1" ht="13.2" x14ac:dyDescent="0.25"/>
    <row r="1515" customFormat="1" ht="13.2" x14ac:dyDescent="0.25"/>
    <row r="1516" customFormat="1" ht="13.2" x14ac:dyDescent="0.25"/>
    <row r="1517" customFormat="1" ht="13.2" x14ac:dyDescent="0.25"/>
    <row r="1518" customFormat="1" ht="13.2" x14ac:dyDescent="0.25"/>
    <row r="1519" customFormat="1" ht="13.2" x14ac:dyDescent="0.25"/>
    <row r="1520" customFormat="1" ht="13.2" x14ac:dyDescent="0.25"/>
    <row r="1521" customFormat="1" ht="13.2" x14ac:dyDescent="0.25"/>
    <row r="1522" customFormat="1" ht="13.2" x14ac:dyDescent="0.25"/>
    <row r="1523" customFormat="1" ht="13.2" x14ac:dyDescent="0.25"/>
    <row r="1524" customFormat="1" ht="13.2" x14ac:dyDescent="0.25"/>
    <row r="1525" customFormat="1" ht="13.2" x14ac:dyDescent="0.25"/>
    <row r="1526" customFormat="1" ht="13.2" x14ac:dyDescent="0.25"/>
    <row r="1527" customFormat="1" ht="13.2" x14ac:dyDescent="0.25"/>
    <row r="1528" customFormat="1" ht="13.2" x14ac:dyDescent="0.25"/>
    <row r="1529" customFormat="1" ht="13.2" x14ac:dyDescent="0.25"/>
    <row r="1530" customFormat="1" ht="13.2" x14ac:dyDescent="0.25"/>
    <row r="1531" customFormat="1" ht="13.2" x14ac:dyDescent="0.25"/>
    <row r="1532" customFormat="1" ht="13.2" x14ac:dyDescent="0.25"/>
    <row r="1533" customFormat="1" ht="13.2" x14ac:dyDescent="0.25"/>
    <row r="1534" customFormat="1" ht="13.2" x14ac:dyDescent="0.25"/>
    <row r="1535" customFormat="1" ht="13.2" x14ac:dyDescent="0.25"/>
    <row r="1536" customFormat="1" ht="13.2" x14ac:dyDescent="0.25"/>
    <row r="1537" customFormat="1" ht="13.2" x14ac:dyDescent="0.25"/>
    <row r="1538" customFormat="1" ht="13.2" x14ac:dyDescent="0.25"/>
    <row r="1539" customFormat="1" ht="13.2" x14ac:dyDescent="0.25"/>
    <row r="1540" customFormat="1" ht="13.2" x14ac:dyDescent="0.25"/>
    <row r="1541" customFormat="1" ht="13.2" x14ac:dyDescent="0.25"/>
    <row r="1542" customFormat="1" ht="13.2" x14ac:dyDescent="0.25"/>
    <row r="1543" customFormat="1" ht="13.2" x14ac:dyDescent="0.25"/>
    <row r="1544" customFormat="1" ht="13.2" x14ac:dyDescent="0.25"/>
    <row r="1545" customFormat="1" ht="13.2" x14ac:dyDescent="0.25"/>
    <row r="1546" customFormat="1" ht="13.2" x14ac:dyDescent="0.25"/>
    <row r="1547" customFormat="1" ht="13.2" x14ac:dyDescent="0.25"/>
    <row r="1548" customFormat="1" ht="13.2" x14ac:dyDescent="0.25"/>
    <row r="1549" customFormat="1" ht="13.2" x14ac:dyDescent="0.25"/>
    <row r="1550" customFormat="1" ht="13.2" x14ac:dyDescent="0.25"/>
    <row r="1551" customFormat="1" ht="13.2" x14ac:dyDescent="0.25"/>
    <row r="1552" customFormat="1" ht="13.2" x14ac:dyDescent="0.25"/>
    <row r="1553" customFormat="1" ht="13.2" x14ac:dyDescent="0.25"/>
    <row r="1554" customFormat="1" ht="13.2" x14ac:dyDescent="0.25"/>
    <row r="1555" customFormat="1" ht="13.2" x14ac:dyDescent="0.25"/>
    <row r="1556" customFormat="1" ht="13.2" x14ac:dyDescent="0.25"/>
    <row r="1557" customFormat="1" ht="13.2" x14ac:dyDescent="0.25"/>
    <row r="1558" customFormat="1" ht="13.2" x14ac:dyDescent="0.25"/>
    <row r="1559" customFormat="1" ht="13.2" x14ac:dyDescent="0.25"/>
    <row r="1560" customFormat="1" ht="13.2" x14ac:dyDescent="0.25"/>
    <row r="1561" customFormat="1" ht="13.2" x14ac:dyDescent="0.25"/>
    <row r="1562" customFormat="1" ht="13.2" x14ac:dyDescent="0.25"/>
    <row r="1563" customFormat="1" ht="13.2" x14ac:dyDescent="0.25"/>
    <row r="1564" customFormat="1" ht="13.2" x14ac:dyDescent="0.25"/>
    <row r="1565" customFormat="1" ht="13.2" x14ac:dyDescent="0.25"/>
    <row r="1566" customFormat="1" ht="13.2" x14ac:dyDescent="0.25"/>
    <row r="1567" customFormat="1" ht="13.2" x14ac:dyDescent="0.25"/>
    <row r="1568" customFormat="1" ht="13.2" x14ac:dyDescent="0.25"/>
    <row r="1569" customFormat="1" ht="13.2" x14ac:dyDescent="0.25"/>
    <row r="1570" customFormat="1" ht="13.2" x14ac:dyDescent="0.25"/>
    <row r="1571" customFormat="1" ht="13.2" x14ac:dyDescent="0.25"/>
    <row r="1572" customFormat="1" ht="13.2" x14ac:dyDescent="0.25"/>
    <row r="1573" customFormat="1" ht="13.2" x14ac:dyDescent="0.25"/>
    <row r="1574" customFormat="1" ht="13.2" x14ac:dyDescent="0.25"/>
    <row r="1575" customFormat="1" ht="13.2" x14ac:dyDescent="0.25"/>
    <row r="1576" customFormat="1" ht="13.2" x14ac:dyDescent="0.25"/>
    <row r="1577" customFormat="1" ht="13.2" x14ac:dyDescent="0.25"/>
    <row r="1578" customFormat="1" ht="13.2" x14ac:dyDescent="0.25"/>
    <row r="1579" customFormat="1" ht="13.2" x14ac:dyDescent="0.25"/>
    <row r="1580" customFormat="1" ht="13.2" x14ac:dyDescent="0.25"/>
    <row r="1581" customFormat="1" ht="13.2" x14ac:dyDescent="0.25"/>
    <row r="1582" customFormat="1" ht="13.2" x14ac:dyDescent="0.25"/>
    <row r="1583" customFormat="1" ht="13.2" x14ac:dyDescent="0.25"/>
    <row r="1584" customFormat="1" ht="13.2" x14ac:dyDescent="0.25"/>
    <row r="1585" customFormat="1" ht="13.2" x14ac:dyDescent="0.25"/>
    <row r="1586" customFormat="1" ht="13.2" x14ac:dyDescent="0.25"/>
    <row r="1587" customFormat="1" ht="13.2" x14ac:dyDescent="0.25"/>
    <row r="1588" customFormat="1" ht="13.2" x14ac:dyDescent="0.25"/>
    <row r="1589" customFormat="1" ht="13.2" x14ac:dyDescent="0.25"/>
    <row r="1590" customFormat="1" ht="13.2" x14ac:dyDescent="0.25"/>
    <row r="1591" customFormat="1" ht="13.2" x14ac:dyDescent="0.25"/>
    <row r="1592" customFormat="1" ht="13.2" x14ac:dyDescent="0.25"/>
    <row r="1593" customFormat="1" ht="13.2" x14ac:dyDescent="0.25"/>
    <row r="1594" customFormat="1" ht="13.2" x14ac:dyDescent="0.25"/>
    <row r="1595" customFormat="1" ht="13.2" x14ac:dyDescent="0.25"/>
    <row r="1596" customFormat="1" ht="13.2" x14ac:dyDescent="0.25"/>
    <row r="1597" customFormat="1" ht="13.2" x14ac:dyDescent="0.25"/>
    <row r="1598" customFormat="1" ht="13.2" x14ac:dyDescent="0.25"/>
    <row r="1599" customFormat="1" ht="13.2" x14ac:dyDescent="0.25"/>
    <row r="1600" customFormat="1" ht="13.2" x14ac:dyDescent="0.25"/>
    <row r="1601" customFormat="1" ht="13.2" x14ac:dyDescent="0.25"/>
    <row r="1602" customFormat="1" ht="13.2" x14ac:dyDescent="0.25"/>
    <row r="1603" customFormat="1" ht="13.2" x14ac:dyDescent="0.25"/>
    <row r="1604" customFormat="1" ht="13.2" x14ac:dyDescent="0.25"/>
    <row r="1605" customFormat="1" ht="13.2" x14ac:dyDescent="0.25"/>
    <row r="1606" customFormat="1" ht="13.2" x14ac:dyDescent="0.25"/>
    <row r="1607" customFormat="1" ht="13.2" x14ac:dyDescent="0.25"/>
    <row r="1608" customFormat="1" ht="13.2" x14ac:dyDescent="0.25"/>
    <row r="1609" customFormat="1" ht="13.2" x14ac:dyDescent="0.25"/>
    <row r="1610" customFormat="1" ht="13.2" x14ac:dyDescent="0.25"/>
    <row r="1611" customFormat="1" ht="13.2" x14ac:dyDescent="0.25"/>
    <row r="1612" customFormat="1" ht="13.2" x14ac:dyDescent="0.25"/>
    <row r="1613" customFormat="1" ht="13.2" x14ac:dyDescent="0.25"/>
    <row r="1614" customFormat="1" ht="13.2" x14ac:dyDescent="0.25"/>
    <row r="1615" customFormat="1" ht="13.2" x14ac:dyDescent="0.25"/>
    <row r="1616" customFormat="1" ht="13.2" x14ac:dyDescent="0.25"/>
    <row r="1617" customFormat="1" ht="13.2" x14ac:dyDescent="0.25"/>
    <row r="1618" customFormat="1" ht="13.2" x14ac:dyDescent="0.25"/>
    <row r="1619" customFormat="1" ht="13.2" x14ac:dyDescent="0.25"/>
    <row r="1620" customFormat="1" ht="13.2" x14ac:dyDescent="0.25"/>
    <row r="1621" customFormat="1" ht="13.2" x14ac:dyDescent="0.25"/>
    <row r="1622" customFormat="1" ht="13.2" x14ac:dyDescent="0.25"/>
    <row r="1623" customFormat="1" ht="13.2" x14ac:dyDescent="0.25"/>
    <row r="1624" customFormat="1" ht="13.2" x14ac:dyDescent="0.25"/>
    <row r="1625" customFormat="1" ht="13.2" x14ac:dyDescent="0.25"/>
    <row r="1626" customFormat="1" ht="13.2" x14ac:dyDescent="0.25"/>
    <row r="1627" customFormat="1" ht="13.2" x14ac:dyDescent="0.25"/>
    <row r="1628" customFormat="1" ht="13.2" x14ac:dyDescent="0.25"/>
    <row r="1629" customFormat="1" ht="13.2" x14ac:dyDescent="0.25"/>
    <row r="1630" customFormat="1" ht="13.2" x14ac:dyDescent="0.25"/>
    <row r="1631" customFormat="1" ht="13.2" x14ac:dyDescent="0.25"/>
    <row r="1632" customFormat="1" ht="13.2" x14ac:dyDescent="0.25"/>
    <row r="1633" customFormat="1" ht="13.2" x14ac:dyDescent="0.25"/>
    <row r="1634" customFormat="1" ht="13.2" x14ac:dyDescent="0.25"/>
    <row r="1635" customFormat="1" ht="13.2" x14ac:dyDescent="0.25"/>
    <row r="1636" customFormat="1" ht="13.2" x14ac:dyDescent="0.25"/>
    <row r="1637" customFormat="1" ht="13.2" x14ac:dyDescent="0.25"/>
    <row r="1638" customFormat="1" ht="13.2" x14ac:dyDescent="0.25"/>
    <row r="1639" customFormat="1" ht="13.2" x14ac:dyDescent="0.25"/>
    <row r="1640" customFormat="1" ht="13.2" x14ac:dyDescent="0.25"/>
    <row r="1641" customFormat="1" ht="13.2" x14ac:dyDescent="0.25"/>
    <row r="1642" customFormat="1" ht="13.2" x14ac:dyDescent="0.25"/>
    <row r="1643" customFormat="1" ht="13.2" x14ac:dyDescent="0.25"/>
    <row r="1644" customFormat="1" ht="13.2" x14ac:dyDescent="0.25"/>
    <row r="1645" customFormat="1" ht="13.2" x14ac:dyDescent="0.25"/>
    <row r="1646" customFormat="1" ht="13.2" x14ac:dyDescent="0.25"/>
    <row r="1647" customFormat="1" ht="13.2" x14ac:dyDescent="0.25"/>
    <row r="1648" customFormat="1" ht="13.2" x14ac:dyDescent="0.25"/>
    <row r="1649" customFormat="1" ht="13.2" x14ac:dyDescent="0.25"/>
    <row r="1650" customFormat="1" ht="13.2" x14ac:dyDescent="0.25"/>
    <row r="1651" customFormat="1" ht="13.2" x14ac:dyDescent="0.25"/>
    <row r="1652" customFormat="1" ht="13.2" x14ac:dyDescent="0.25"/>
    <row r="1653" customFormat="1" ht="13.2" x14ac:dyDescent="0.25"/>
    <row r="1654" customFormat="1" ht="13.2" x14ac:dyDescent="0.25"/>
    <row r="1655" customFormat="1" ht="13.2" x14ac:dyDescent="0.25"/>
    <row r="1656" customFormat="1" ht="13.2" x14ac:dyDescent="0.25"/>
    <row r="1657" customFormat="1" ht="13.2" x14ac:dyDescent="0.25"/>
    <row r="1658" customFormat="1" ht="13.2" x14ac:dyDescent="0.25"/>
    <row r="1659" customFormat="1" ht="13.2" x14ac:dyDescent="0.25"/>
    <row r="1660" customFormat="1" ht="13.2" x14ac:dyDescent="0.25"/>
    <row r="1661" customFormat="1" ht="13.2" x14ac:dyDescent="0.25"/>
    <row r="1662" customFormat="1" ht="13.2" x14ac:dyDescent="0.25"/>
    <row r="1663" customFormat="1" ht="13.2" x14ac:dyDescent="0.25"/>
    <row r="1664" customFormat="1" ht="13.2" x14ac:dyDescent="0.25"/>
    <row r="1665" customFormat="1" ht="13.2" x14ac:dyDescent="0.25"/>
    <row r="1666" customFormat="1" ht="13.2" x14ac:dyDescent="0.25"/>
    <row r="1667" customFormat="1" ht="13.2" x14ac:dyDescent="0.25"/>
    <row r="1668" customFormat="1" ht="13.2" x14ac:dyDescent="0.25"/>
    <row r="1669" customFormat="1" ht="13.2" x14ac:dyDescent="0.25"/>
    <row r="1670" customFormat="1" ht="13.2" x14ac:dyDescent="0.25"/>
    <row r="1671" customFormat="1" ht="13.2" x14ac:dyDescent="0.25"/>
    <row r="1672" customFormat="1" ht="13.2" x14ac:dyDescent="0.25"/>
    <row r="1673" customFormat="1" ht="13.2" x14ac:dyDescent="0.25"/>
    <row r="1674" customFormat="1" ht="13.2" x14ac:dyDescent="0.25"/>
    <row r="1675" customFormat="1" ht="13.2" x14ac:dyDescent="0.25"/>
    <row r="1676" customFormat="1" ht="13.2" x14ac:dyDescent="0.25"/>
    <row r="1677" customFormat="1" ht="13.2" x14ac:dyDescent="0.25"/>
    <row r="1678" customFormat="1" ht="13.2" x14ac:dyDescent="0.25"/>
    <row r="1679" customFormat="1" ht="13.2" x14ac:dyDescent="0.25"/>
    <row r="1680" customFormat="1" ht="13.2" x14ac:dyDescent="0.25"/>
    <row r="1681" customFormat="1" ht="13.2" x14ac:dyDescent="0.25"/>
    <row r="1682" customFormat="1" ht="13.2" x14ac:dyDescent="0.25"/>
    <row r="1683" customFormat="1" ht="13.2" x14ac:dyDescent="0.25"/>
    <row r="1684" customFormat="1" ht="13.2" x14ac:dyDescent="0.25"/>
    <row r="1685" customFormat="1" ht="13.2" x14ac:dyDescent="0.25"/>
    <row r="1686" customFormat="1" ht="13.2" x14ac:dyDescent="0.25"/>
    <row r="1687" customFormat="1" ht="13.2" x14ac:dyDescent="0.25"/>
    <row r="1688" customFormat="1" ht="13.2" x14ac:dyDescent="0.25"/>
    <row r="1689" customFormat="1" ht="13.2" x14ac:dyDescent="0.25"/>
    <row r="1690" customFormat="1" ht="13.2" x14ac:dyDescent="0.25"/>
    <row r="1691" customFormat="1" ht="13.2" x14ac:dyDescent="0.25"/>
    <row r="1692" customFormat="1" ht="13.2" x14ac:dyDescent="0.25"/>
    <row r="1693" customFormat="1" ht="13.2" x14ac:dyDescent="0.25"/>
    <row r="1694" customFormat="1" ht="13.2" x14ac:dyDescent="0.25"/>
    <row r="1695" customFormat="1" ht="13.2" x14ac:dyDescent="0.25"/>
    <row r="1696" customFormat="1" ht="13.2" x14ac:dyDescent="0.25"/>
    <row r="1697" customFormat="1" ht="13.2" x14ac:dyDescent="0.25"/>
    <row r="1698" customFormat="1" ht="13.2" x14ac:dyDescent="0.25"/>
    <row r="1699" customFormat="1" ht="13.2" x14ac:dyDescent="0.25"/>
    <row r="1700" customFormat="1" ht="13.2" x14ac:dyDescent="0.25"/>
    <row r="1701" customFormat="1" ht="13.2" x14ac:dyDescent="0.25"/>
    <row r="1702" customFormat="1" ht="13.2" x14ac:dyDescent="0.25"/>
    <row r="1703" customFormat="1" ht="13.2" x14ac:dyDescent="0.25"/>
    <row r="1704" customFormat="1" ht="13.2" x14ac:dyDescent="0.25"/>
    <row r="1705" customFormat="1" ht="13.2" x14ac:dyDescent="0.25"/>
    <row r="1706" customFormat="1" ht="13.2" x14ac:dyDescent="0.25"/>
    <row r="1707" customFormat="1" ht="13.2" x14ac:dyDescent="0.25"/>
    <row r="1708" customFormat="1" ht="13.2" x14ac:dyDescent="0.25"/>
    <row r="1709" customFormat="1" ht="13.2" x14ac:dyDescent="0.25"/>
    <row r="1710" customFormat="1" ht="13.2" x14ac:dyDescent="0.25"/>
    <row r="1711" customFormat="1" ht="13.2" x14ac:dyDescent="0.25"/>
    <row r="1712" customFormat="1" ht="13.2" x14ac:dyDescent="0.25"/>
    <row r="1713" customFormat="1" ht="13.2" x14ac:dyDescent="0.25"/>
    <row r="1714" customFormat="1" ht="13.2" x14ac:dyDescent="0.25"/>
    <row r="1715" customFormat="1" ht="13.2" x14ac:dyDescent="0.25"/>
    <row r="1716" customFormat="1" ht="13.2" x14ac:dyDescent="0.25"/>
    <row r="1717" customFormat="1" ht="13.2" x14ac:dyDescent="0.25"/>
    <row r="1718" customFormat="1" ht="13.2" x14ac:dyDescent="0.25"/>
    <row r="1719" customFormat="1" ht="13.2" x14ac:dyDescent="0.25"/>
    <row r="1720" customFormat="1" ht="13.2" x14ac:dyDescent="0.25"/>
    <row r="1721" customFormat="1" ht="13.2" x14ac:dyDescent="0.25"/>
    <row r="1722" customFormat="1" ht="13.2" x14ac:dyDescent="0.25"/>
    <row r="1723" customFormat="1" ht="13.2" x14ac:dyDescent="0.25"/>
    <row r="1724" customFormat="1" ht="13.2" x14ac:dyDescent="0.25"/>
    <row r="1725" customFormat="1" ht="13.2" x14ac:dyDescent="0.25"/>
    <row r="1726" customFormat="1" ht="13.2" x14ac:dyDescent="0.25"/>
    <row r="1727" customFormat="1" ht="13.2" x14ac:dyDescent="0.25"/>
    <row r="1728" customFormat="1" ht="13.2" x14ac:dyDescent="0.25"/>
    <row r="1729" customFormat="1" ht="13.2" x14ac:dyDescent="0.25"/>
    <row r="1730" customFormat="1" ht="13.2" x14ac:dyDescent="0.25"/>
    <row r="1731" customFormat="1" ht="13.2" x14ac:dyDescent="0.25"/>
    <row r="1732" customFormat="1" ht="13.2" x14ac:dyDescent="0.25"/>
    <row r="1733" customFormat="1" ht="13.2" x14ac:dyDescent="0.25"/>
    <row r="1734" customFormat="1" ht="13.2" x14ac:dyDescent="0.25"/>
    <row r="1735" customFormat="1" ht="13.2" x14ac:dyDescent="0.25"/>
    <row r="1736" customFormat="1" ht="13.2" x14ac:dyDescent="0.25"/>
    <row r="1737" customFormat="1" ht="13.2" x14ac:dyDescent="0.25"/>
    <row r="1738" customFormat="1" ht="13.2" x14ac:dyDescent="0.25"/>
    <row r="1739" customFormat="1" ht="13.2" x14ac:dyDescent="0.25"/>
    <row r="1740" customFormat="1" ht="13.2" x14ac:dyDescent="0.25"/>
    <row r="1741" customFormat="1" ht="13.2" x14ac:dyDescent="0.25"/>
    <row r="1742" customFormat="1" ht="13.2" x14ac:dyDescent="0.25"/>
    <row r="1743" customFormat="1" ht="13.2" x14ac:dyDescent="0.25"/>
    <row r="1744" customFormat="1" ht="13.2" x14ac:dyDescent="0.25"/>
    <row r="1745" customFormat="1" ht="13.2" x14ac:dyDescent="0.25"/>
    <row r="1746" customFormat="1" ht="13.2" x14ac:dyDescent="0.25"/>
    <row r="1747" customFormat="1" ht="13.2" x14ac:dyDescent="0.25"/>
    <row r="1748" customFormat="1" ht="13.2" x14ac:dyDescent="0.25"/>
    <row r="1749" customFormat="1" ht="13.2" x14ac:dyDescent="0.25"/>
    <row r="1750" customFormat="1" ht="13.2" x14ac:dyDescent="0.25"/>
    <row r="1751" customFormat="1" ht="13.2" x14ac:dyDescent="0.25"/>
    <row r="1752" customFormat="1" ht="13.2" x14ac:dyDescent="0.25"/>
    <row r="1753" customFormat="1" ht="13.2" x14ac:dyDescent="0.25"/>
    <row r="1754" customFormat="1" ht="13.2" x14ac:dyDescent="0.25"/>
    <row r="1755" customFormat="1" ht="13.2" x14ac:dyDescent="0.25"/>
    <row r="1756" customFormat="1" ht="13.2" x14ac:dyDescent="0.25"/>
    <row r="1757" customFormat="1" ht="13.2" x14ac:dyDescent="0.25"/>
    <row r="1758" customFormat="1" ht="13.2" x14ac:dyDescent="0.25"/>
    <row r="1759" customFormat="1" ht="13.2" x14ac:dyDescent="0.25"/>
    <row r="1760" customFormat="1" ht="13.2" x14ac:dyDescent="0.25"/>
    <row r="1761" customFormat="1" ht="13.2" x14ac:dyDescent="0.25"/>
    <row r="1762" customFormat="1" ht="13.2" x14ac:dyDescent="0.25"/>
    <row r="1763" customFormat="1" ht="13.2" x14ac:dyDescent="0.25"/>
    <row r="1764" customFormat="1" ht="13.2" x14ac:dyDescent="0.25"/>
    <row r="1765" customFormat="1" ht="13.2" x14ac:dyDescent="0.25"/>
    <row r="1766" customFormat="1" ht="13.2" x14ac:dyDescent="0.25"/>
    <row r="1767" customFormat="1" ht="13.2" x14ac:dyDescent="0.25"/>
    <row r="1768" customFormat="1" ht="13.2" x14ac:dyDescent="0.25"/>
    <row r="1769" customFormat="1" ht="13.2" x14ac:dyDescent="0.25"/>
    <row r="1770" customFormat="1" ht="13.2" x14ac:dyDescent="0.25"/>
    <row r="1771" customFormat="1" ht="13.2" x14ac:dyDescent="0.25"/>
    <row r="1772" customFormat="1" ht="13.2" x14ac:dyDescent="0.25"/>
    <row r="1773" customFormat="1" ht="13.2" x14ac:dyDescent="0.25"/>
    <row r="1774" customFormat="1" ht="13.2" x14ac:dyDescent="0.25"/>
    <row r="1775" customFormat="1" ht="13.2" x14ac:dyDescent="0.25"/>
    <row r="1776" customFormat="1" ht="13.2" x14ac:dyDescent="0.25"/>
    <row r="1777" customFormat="1" ht="13.2" x14ac:dyDescent="0.25"/>
    <row r="1778" customFormat="1" ht="13.2" x14ac:dyDescent="0.25"/>
    <row r="1779" customFormat="1" ht="13.2" x14ac:dyDescent="0.25"/>
    <row r="1780" customFormat="1" ht="13.2" x14ac:dyDescent="0.25"/>
    <row r="1781" customFormat="1" ht="13.2" x14ac:dyDescent="0.25"/>
    <row r="1782" customFormat="1" ht="13.2" x14ac:dyDescent="0.25"/>
    <row r="1783" customFormat="1" ht="13.2" x14ac:dyDescent="0.25"/>
    <row r="1784" customFormat="1" ht="13.2" x14ac:dyDescent="0.25"/>
    <row r="1785" customFormat="1" ht="13.2" x14ac:dyDescent="0.25"/>
    <row r="1786" customFormat="1" ht="13.2" x14ac:dyDescent="0.25"/>
    <row r="1787" customFormat="1" ht="13.2" x14ac:dyDescent="0.25"/>
    <row r="1788" customFormat="1" ht="13.2" x14ac:dyDescent="0.25"/>
    <row r="1789" customFormat="1" ht="13.2" x14ac:dyDescent="0.25"/>
    <row r="1790" customFormat="1" ht="13.2" x14ac:dyDescent="0.25"/>
    <row r="1791" customFormat="1" ht="13.2" x14ac:dyDescent="0.25"/>
    <row r="1792" customFormat="1" ht="13.2" x14ac:dyDescent="0.25"/>
    <row r="1793" customFormat="1" ht="13.2" x14ac:dyDescent="0.25"/>
    <row r="1794" customFormat="1" ht="13.2" x14ac:dyDescent="0.25"/>
    <row r="1795" customFormat="1" ht="13.2" x14ac:dyDescent="0.25"/>
    <row r="1796" customFormat="1" ht="13.2" x14ac:dyDescent="0.25"/>
    <row r="1797" customFormat="1" ht="13.2" x14ac:dyDescent="0.25"/>
    <row r="1798" customFormat="1" ht="13.2" x14ac:dyDescent="0.25"/>
    <row r="1799" customFormat="1" ht="13.2" x14ac:dyDescent="0.25"/>
    <row r="1800" customFormat="1" ht="13.2" x14ac:dyDescent="0.25"/>
    <row r="1801" customFormat="1" ht="13.2" x14ac:dyDescent="0.25"/>
    <row r="1802" customFormat="1" ht="13.2" x14ac:dyDescent="0.25"/>
    <row r="1803" customFormat="1" ht="13.2" x14ac:dyDescent="0.25"/>
    <row r="1804" customFormat="1" ht="13.2" x14ac:dyDescent="0.25"/>
    <row r="1805" customFormat="1" ht="13.2" x14ac:dyDescent="0.25"/>
    <row r="1806" customFormat="1" ht="13.2" x14ac:dyDescent="0.25"/>
    <row r="1807" customFormat="1" ht="13.2" x14ac:dyDescent="0.25"/>
    <row r="1808" customFormat="1" ht="13.2" x14ac:dyDescent="0.25"/>
    <row r="1809" customFormat="1" ht="13.2" x14ac:dyDescent="0.25"/>
    <row r="1810" customFormat="1" ht="13.2" x14ac:dyDescent="0.25"/>
    <row r="1811" customFormat="1" ht="13.2" x14ac:dyDescent="0.25"/>
    <row r="1812" customFormat="1" ht="13.2" x14ac:dyDescent="0.25"/>
    <row r="1813" customFormat="1" ht="13.2" x14ac:dyDescent="0.25"/>
    <row r="1814" customFormat="1" ht="13.2" x14ac:dyDescent="0.25"/>
    <row r="1815" customFormat="1" ht="13.2" x14ac:dyDescent="0.25"/>
    <row r="1816" customFormat="1" ht="13.2" x14ac:dyDescent="0.25"/>
    <row r="1817" customFormat="1" ht="13.2" x14ac:dyDescent="0.25"/>
    <row r="1818" customFormat="1" ht="13.2" x14ac:dyDescent="0.25"/>
    <row r="1819" customFormat="1" ht="13.2" x14ac:dyDescent="0.25"/>
    <row r="1820" customFormat="1" ht="13.2" x14ac:dyDescent="0.25"/>
    <row r="1821" customFormat="1" ht="13.2" x14ac:dyDescent="0.25"/>
    <row r="1822" customFormat="1" ht="13.2" x14ac:dyDescent="0.25"/>
    <row r="1823" customFormat="1" ht="13.2" x14ac:dyDescent="0.25"/>
    <row r="1824" customFormat="1" ht="13.2" x14ac:dyDescent="0.25"/>
    <row r="1825" customFormat="1" ht="13.2" x14ac:dyDescent="0.25"/>
    <row r="1826" customFormat="1" ht="13.2" x14ac:dyDescent="0.25"/>
    <row r="1827" customFormat="1" ht="13.2" x14ac:dyDescent="0.25"/>
    <row r="1828" customFormat="1" ht="13.2" x14ac:dyDescent="0.25"/>
    <row r="1829" customFormat="1" ht="13.2" x14ac:dyDescent="0.25"/>
    <row r="1830" customFormat="1" ht="13.2" x14ac:dyDescent="0.25"/>
    <row r="1831" customFormat="1" ht="13.2" x14ac:dyDescent="0.25"/>
    <row r="1832" customFormat="1" ht="13.2" x14ac:dyDescent="0.25"/>
    <row r="1833" customFormat="1" ht="13.2" x14ac:dyDescent="0.25"/>
    <row r="1834" customFormat="1" ht="13.2" x14ac:dyDescent="0.25"/>
    <row r="1835" customFormat="1" ht="13.2" x14ac:dyDescent="0.25"/>
    <row r="1836" customFormat="1" ht="13.2" x14ac:dyDescent="0.25"/>
    <row r="1837" customFormat="1" ht="13.2" x14ac:dyDescent="0.25"/>
    <row r="1838" customFormat="1" ht="13.2" x14ac:dyDescent="0.25"/>
    <row r="1839" customFormat="1" ht="13.2" x14ac:dyDescent="0.25"/>
    <row r="1840" customFormat="1" ht="13.2" x14ac:dyDescent="0.25"/>
    <row r="1841" customFormat="1" ht="13.2" x14ac:dyDescent="0.25"/>
    <row r="1842" customFormat="1" ht="13.2" x14ac:dyDescent="0.25"/>
    <row r="1843" customFormat="1" ht="13.2" x14ac:dyDescent="0.25"/>
    <row r="1844" customFormat="1" ht="13.2" x14ac:dyDescent="0.25"/>
    <row r="1845" customFormat="1" ht="13.2" x14ac:dyDescent="0.25"/>
    <row r="1846" customFormat="1" ht="13.2" x14ac:dyDescent="0.25"/>
    <row r="1847" customFormat="1" ht="13.2" x14ac:dyDescent="0.25"/>
    <row r="1848" customFormat="1" ht="13.2" x14ac:dyDescent="0.25"/>
    <row r="1849" customFormat="1" ht="13.2" x14ac:dyDescent="0.25"/>
    <row r="1850" customFormat="1" ht="13.2" x14ac:dyDescent="0.25"/>
    <row r="1851" customFormat="1" ht="13.2" x14ac:dyDescent="0.25"/>
    <row r="1852" customFormat="1" ht="13.2" x14ac:dyDescent="0.25"/>
    <row r="1853" customFormat="1" ht="13.2" x14ac:dyDescent="0.25"/>
    <row r="1854" customFormat="1" ht="13.2" x14ac:dyDescent="0.25"/>
    <row r="1855" customFormat="1" ht="13.2" x14ac:dyDescent="0.25"/>
    <row r="1856" customFormat="1" ht="13.2" x14ac:dyDescent="0.25"/>
    <row r="1857" customFormat="1" ht="13.2" x14ac:dyDescent="0.25"/>
    <row r="1858" customFormat="1" ht="13.2" x14ac:dyDescent="0.25"/>
    <row r="1859" customFormat="1" ht="13.2" x14ac:dyDescent="0.25"/>
    <row r="1860" customFormat="1" ht="13.2" x14ac:dyDescent="0.25"/>
    <row r="1861" customFormat="1" ht="13.2" x14ac:dyDescent="0.25"/>
    <row r="1862" customFormat="1" ht="13.2" x14ac:dyDescent="0.25"/>
    <row r="1863" customFormat="1" ht="13.2" x14ac:dyDescent="0.25"/>
    <row r="1864" customFormat="1" ht="13.2" x14ac:dyDescent="0.25"/>
    <row r="1865" customFormat="1" ht="13.2" x14ac:dyDescent="0.25"/>
    <row r="1866" customFormat="1" ht="13.2" x14ac:dyDescent="0.25"/>
    <row r="1867" customFormat="1" ht="13.2" x14ac:dyDescent="0.25"/>
    <row r="1868" customFormat="1" ht="13.2" x14ac:dyDescent="0.25"/>
    <row r="1869" customFormat="1" ht="13.2" x14ac:dyDescent="0.25"/>
    <row r="1870" customFormat="1" ht="13.2" x14ac:dyDescent="0.25"/>
    <row r="1871" customFormat="1" ht="13.2" x14ac:dyDescent="0.25"/>
    <row r="1872" customFormat="1" ht="13.2" x14ac:dyDescent="0.25"/>
    <row r="1873" customFormat="1" ht="13.2" x14ac:dyDescent="0.25"/>
    <row r="1874" customFormat="1" ht="13.2" x14ac:dyDescent="0.25"/>
    <row r="1875" customFormat="1" ht="13.2" x14ac:dyDescent="0.25"/>
    <row r="1876" customFormat="1" ht="13.2" x14ac:dyDescent="0.25"/>
    <row r="1877" customFormat="1" ht="13.2" x14ac:dyDescent="0.25"/>
    <row r="1878" customFormat="1" ht="13.2" x14ac:dyDescent="0.25"/>
    <row r="1879" customFormat="1" ht="13.2" x14ac:dyDescent="0.25"/>
    <row r="1880" customFormat="1" ht="13.2" x14ac:dyDescent="0.25"/>
    <row r="1881" customFormat="1" ht="13.2" x14ac:dyDescent="0.25"/>
    <row r="1882" customFormat="1" ht="13.2" x14ac:dyDescent="0.25"/>
    <row r="1883" customFormat="1" ht="13.2" x14ac:dyDescent="0.25"/>
    <row r="1884" customFormat="1" ht="13.2" x14ac:dyDescent="0.25"/>
    <row r="1885" customFormat="1" ht="13.2" x14ac:dyDescent="0.25"/>
    <row r="1886" customFormat="1" ht="13.2" x14ac:dyDescent="0.25"/>
    <row r="1887" customFormat="1" ht="13.2" x14ac:dyDescent="0.25"/>
    <row r="1888" customFormat="1" ht="13.2" x14ac:dyDescent="0.25"/>
    <row r="1889" customFormat="1" ht="13.2" x14ac:dyDescent="0.25"/>
    <row r="1890" customFormat="1" ht="13.2" x14ac:dyDescent="0.25"/>
    <row r="1891" customFormat="1" ht="13.2" x14ac:dyDescent="0.25"/>
    <row r="1892" customFormat="1" ht="13.2" x14ac:dyDescent="0.25"/>
    <row r="1893" customFormat="1" ht="13.2" x14ac:dyDescent="0.25"/>
    <row r="1894" customFormat="1" ht="13.2" x14ac:dyDescent="0.25"/>
    <row r="1895" customFormat="1" ht="13.2" x14ac:dyDescent="0.25"/>
    <row r="1896" customFormat="1" ht="13.2" x14ac:dyDescent="0.25"/>
    <row r="1897" customFormat="1" ht="13.2" x14ac:dyDescent="0.25"/>
    <row r="1898" customFormat="1" ht="13.2" x14ac:dyDescent="0.25"/>
    <row r="1899" customFormat="1" ht="13.2" x14ac:dyDescent="0.25"/>
    <row r="1900" customFormat="1" ht="13.2" x14ac:dyDescent="0.25"/>
    <row r="1901" customFormat="1" ht="13.2" x14ac:dyDescent="0.25"/>
    <row r="1902" customFormat="1" ht="13.2" x14ac:dyDescent="0.25"/>
    <row r="1903" customFormat="1" ht="13.2" x14ac:dyDescent="0.25"/>
    <row r="1904" customFormat="1" ht="13.2" x14ac:dyDescent="0.25"/>
    <row r="1905" customFormat="1" ht="13.2" x14ac:dyDescent="0.25"/>
    <row r="1906" customFormat="1" ht="13.2" x14ac:dyDescent="0.25"/>
    <row r="1907" customFormat="1" ht="13.2" x14ac:dyDescent="0.25"/>
    <row r="1908" customFormat="1" ht="13.2" x14ac:dyDescent="0.25"/>
    <row r="1909" customFormat="1" ht="13.2" x14ac:dyDescent="0.25"/>
    <row r="1910" customFormat="1" ht="13.2" x14ac:dyDescent="0.25"/>
    <row r="1911" customFormat="1" ht="13.2" x14ac:dyDescent="0.25"/>
    <row r="1912" customFormat="1" ht="13.2" x14ac:dyDescent="0.25"/>
    <row r="1913" customFormat="1" ht="13.2" x14ac:dyDescent="0.25"/>
    <row r="1914" customFormat="1" ht="13.2" x14ac:dyDescent="0.25"/>
    <row r="1915" customFormat="1" ht="13.2" x14ac:dyDescent="0.25"/>
    <row r="1916" customFormat="1" ht="13.2" x14ac:dyDescent="0.25"/>
    <row r="1917" customFormat="1" ht="13.2" x14ac:dyDescent="0.25"/>
    <row r="1918" customFormat="1" ht="13.2" x14ac:dyDescent="0.25"/>
    <row r="1919" customFormat="1" ht="13.2" x14ac:dyDescent="0.25"/>
    <row r="1920" customFormat="1" ht="13.2" x14ac:dyDescent="0.25"/>
    <row r="1921" customFormat="1" ht="13.2" x14ac:dyDescent="0.25"/>
    <row r="1922" customFormat="1" ht="13.2" x14ac:dyDescent="0.25"/>
    <row r="1923" customFormat="1" ht="13.2" x14ac:dyDescent="0.25"/>
    <row r="1924" customFormat="1" ht="13.2" x14ac:dyDescent="0.25"/>
    <row r="1925" customFormat="1" ht="13.2" x14ac:dyDescent="0.25"/>
    <row r="1926" customFormat="1" ht="13.2" x14ac:dyDescent="0.25"/>
    <row r="1927" customFormat="1" ht="13.2" x14ac:dyDescent="0.25"/>
    <row r="1928" customFormat="1" ht="13.2" x14ac:dyDescent="0.25"/>
    <row r="1929" customFormat="1" ht="13.2" x14ac:dyDescent="0.25"/>
    <row r="1930" customFormat="1" ht="13.2" x14ac:dyDescent="0.25"/>
    <row r="1931" customFormat="1" ht="13.2" x14ac:dyDescent="0.25"/>
    <row r="1932" customFormat="1" ht="13.2" x14ac:dyDescent="0.25"/>
    <row r="1933" customFormat="1" ht="13.2" x14ac:dyDescent="0.25"/>
    <row r="1934" customFormat="1" ht="13.2" x14ac:dyDescent="0.25"/>
    <row r="1935" customFormat="1" ht="13.2" x14ac:dyDescent="0.25"/>
    <row r="1936" customFormat="1" ht="13.2" x14ac:dyDescent="0.25"/>
    <row r="1937" customFormat="1" ht="13.2" x14ac:dyDescent="0.25"/>
    <row r="1938" customFormat="1" ht="13.2" x14ac:dyDescent="0.25"/>
    <row r="1939" customFormat="1" ht="13.2" x14ac:dyDescent="0.25"/>
    <row r="1940" customFormat="1" ht="13.2" x14ac:dyDescent="0.25"/>
    <row r="1941" customFormat="1" ht="13.2" x14ac:dyDescent="0.25"/>
    <row r="1942" customFormat="1" ht="13.2" x14ac:dyDescent="0.25"/>
    <row r="1943" customFormat="1" ht="13.2" x14ac:dyDescent="0.25"/>
    <row r="1944" customFormat="1" ht="13.2" x14ac:dyDescent="0.25"/>
    <row r="1945" customFormat="1" ht="13.2" x14ac:dyDescent="0.25"/>
    <row r="1946" customFormat="1" ht="13.2" x14ac:dyDescent="0.25"/>
    <row r="1947" customFormat="1" ht="13.2" x14ac:dyDescent="0.25"/>
    <row r="1948" customFormat="1" ht="13.2" x14ac:dyDescent="0.25"/>
    <row r="1949" customFormat="1" ht="13.2" x14ac:dyDescent="0.25"/>
    <row r="1950" customFormat="1" ht="13.2" x14ac:dyDescent="0.25"/>
    <row r="1951" customFormat="1" ht="13.2" x14ac:dyDescent="0.25"/>
    <row r="1952" customFormat="1" ht="13.2" x14ac:dyDescent="0.25"/>
    <row r="1953" customFormat="1" ht="13.2" x14ac:dyDescent="0.25"/>
    <row r="1954" customFormat="1" ht="13.2" x14ac:dyDescent="0.25"/>
    <row r="1955" customFormat="1" ht="13.2" x14ac:dyDescent="0.25"/>
    <row r="1956" customFormat="1" ht="13.2" x14ac:dyDescent="0.25"/>
    <row r="1957" customFormat="1" ht="13.2" x14ac:dyDescent="0.25"/>
    <row r="1958" customFormat="1" ht="13.2" x14ac:dyDescent="0.25"/>
    <row r="1959" customFormat="1" ht="13.2" x14ac:dyDescent="0.25"/>
    <row r="1960" customFormat="1" ht="13.2" x14ac:dyDescent="0.25"/>
    <row r="1961" customFormat="1" ht="13.2" x14ac:dyDescent="0.25"/>
    <row r="1962" customFormat="1" ht="13.2" x14ac:dyDescent="0.25"/>
    <row r="1963" customFormat="1" ht="13.2" x14ac:dyDescent="0.25"/>
    <row r="1964" customFormat="1" ht="13.2" x14ac:dyDescent="0.25"/>
    <row r="1965" customFormat="1" ht="13.2" x14ac:dyDescent="0.25"/>
    <row r="1966" customFormat="1" ht="13.2" x14ac:dyDescent="0.25"/>
    <row r="1967" customFormat="1" ht="13.2" x14ac:dyDescent="0.25"/>
    <row r="1968" customFormat="1" ht="13.2" x14ac:dyDescent="0.25"/>
    <row r="1969" customFormat="1" ht="13.2" x14ac:dyDescent="0.25"/>
    <row r="1970" customFormat="1" ht="13.2" x14ac:dyDescent="0.25"/>
    <row r="1971" customFormat="1" ht="13.2" x14ac:dyDescent="0.25"/>
    <row r="1972" customFormat="1" ht="13.2" x14ac:dyDescent="0.25"/>
    <row r="1973" customFormat="1" ht="13.2" x14ac:dyDescent="0.25"/>
    <row r="1974" customFormat="1" ht="13.2" x14ac:dyDescent="0.25"/>
    <row r="1975" customFormat="1" ht="13.2" x14ac:dyDescent="0.25"/>
    <row r="1976" customFormat="1" ht="13.2" x14ac:dyDescent="0.25"/>
    <row r="1977" customFormat="1" ht="13.2" x14ac:dyDescent="0.25"/>
    <row r="1978" customFormat="1" ht="13.2" x14ac:dyDescent="0.25"/>
    <row r="1979" customFormat="1" ht="13.2" x14ac:dyDescent="0.25"/>
    <row r="1980" customFormat="1" ht="13.2" x14ac:dyDescent="0.25"/>
    <row r="1981" customFormat="1" ht="13.2" x14ac:dyDescent="0.25"/>
    <row r="1982" customFormat="1" ht="13.2" x14ac:dyDescent="0.25"/>
    <row r="1983" customFormat="1" ht="13.2" x14ac:dyDescent="0.25"/>
    <row r="1984" customFormat="1" ht="13.2" x14ac:dyDescent="0.25"/>
    <row r="1985" customFormat="1" ht="13.2" x14ac:dyDescent="0.25"/>
    <row r="1986" customFormat="1" ht="13.2" x14ac:dyDescent="0.25"/>
    <row r="1987" customFormat="1" ht="13.2" x14ac:dyDescent="0.25"/>
    <row r="1988" customFormat="1" ht="13.2" x14ac:dyDescent="0.25"/>
    <row r="1989" customFormat="1" ht="13.2" x14ac:dyDescent="0.25"/>
    <row r="1990" customFormat="1" ht="13.2" x14ac:dyDescent="0.25"/>
    <row r="1991" customFormat="1" ht="13.2" x14ac:dyDescent="0.25"/>
    <row r="1992" customFormat="1" ht="13.2" x14ac:dyDescent="0.25"/>
    <row r="1993" customFormat="1" ht="13.2" x14ac:dyDescent="0.25"/>
    <row r="1994" customFormat="1" ht="13.2" x14ac:dyDescent="0.25"/>
    <row r="1995" customFormat="1" ht="13.2" x14ac:dyDescent="0.25"/>
    <row r="1996" customFormat="1" ht="13.2" x14ac:dyDescent="0.25"/>
    <row r="1997" customFormat="1" ht="13.2" x14ac:dyDescent="0.25"/>
    <row r="1998" customFormat="1" ht="13.2" x14ac:dyDescent="0.25"/>
    <row r="1999" customFormat="1" ht="13.2" x14ac:dyDescent="0.25"/>
    <row r="2000" customFormat="1" ht="13.2" x14ac:dyDescent="0.25"/>
    <row r="2001" customFormat="1" ht="13.2" x14ac:dyDescent="0.25"/>
    <row r="2002" customFormat="1" ht="13.2" x14ac:dyDescent="0.25"/>
    <row r="2003" customFormat="1" ht="13.2" x14ac:dyDescent="0.25"/>
    <row r="2004" customFormat="1" ht="13.2" x14ac:dyDescent="0.25"/>
    <row r="2005" customFormat="1" ht="13.2" x14ac:dyDescent="0.25"/>
    <row r="2006" customFormat="1" ht="13.2" x14ac:dyDescent="0.25"/>
    <row r="2007" customFormat="1" ht="13.2" x14ac:dyDescent="0.25"/>
    <row r="2008" customFormat="1" ht="13.2" x14ac:dyDescent="0.25"/>
    <row r="2009" customFormat="1" ht="13.2" x14ac:dyDescent="0.25"/>
    <row r="2010" customFormat="1" ht="13.2" x14ac:dyDescent="0.25"/>
    <row r="2011" customFormat="1" ht="13.2" x14ac:dyDescent="0.25"/>
    <row r="2012" customFormat="1" ht="13.2" x14ac:dyDescent="0.25"/>
    <row r="2013" customFormat="1" ht="13.2" x14ac:dyDescent="0.25"/>
    <row r="2014" customFormat="1" ht="13.2" x14ac:dyDescent="0.25"/>
    <row r="2015" customFormat="1" ht="13.2" x14ac:dyDescent="0.25"/>
    <row r="2016" customFormat="1" ht="13.2" x14ac:dyDescent="0.25"/>
    <row r="2017" customFormat="1" ht="13.2" x14ac:dyDescent="0.25"/>
    <row r="2018" customFormat="1" ht="13.2" x14ac:dyDescent="0.25"/>
    <row r="2019" customFormat="1" ht="13.2" x14ac:dyDescent="0.25"/>
    <row r="2020" customFormat="1" ht="13.2" x14ac:dyDescent="0.25"/>
    <row r="2021" customFormat="1" ht="13.2" x14ac:dyDescent="0.25"/>
    <row r="2022" customFormat="1" ht="13.2" x14ac:dyDescent="0.25"/>
    <row r="2023" customFormat="1" ht="13.2" x14ac:dyDescent="0.25"/>
    <row r="2024" customFormat="1" ht="13.2" x14ac:dyDescent="0.25"/>
    <row r="2025" customFormat="1" ht="13.2" x14ac:dyDescent="0.25"/>
    <row r="2026" customFormat="1" ht="13.2" x14ac:dyDescent="0.25"/>
    <row r="2027" customFormat="1" ht="13.2" x14ac:dyDescent="0.25"/>
    <row r="2028" customFormat="1" ht="13.2" x14ac:dyDescent="0.25"/>
    <row r="2029" customFormat="1" ht="13.2" x14ac:dyDescent="0.25"/>
    <row r="2030" customFormat="1" ht="13.2" x14ac:dyDescent="0.25"/>
    <row r="2031" customFormat="1" ht="13.2" x14ac:dyDescent="0.25"/>
    <row r="2032" customFormat="1" ht="13.2" x14ac:dyDescent="0.25"/>
    <row r="2033" customFormat="1" ht="13.2" x14ac:dyDescent="0.25"/>
    <row r="2034" customFormat="1" ht="13.2" x14ac:dyDescent="0.25"/>
    <row r="2035" customFormat="1" ht="13.2" x14ac:dyDescent="0.25"/>
    <row r="2036" customFormat="1" ht="13.2" x14ac:dyDescent="0.25"/>
    <row r="2037" customFormat="1" ht="13.2" x14ac:dyDescent="0.25"/>
    <row r="2038" customFormat="1" ht="13.2" x14ac:dyDescent="0.25"/>
    <row r="2039" customFormat="1" ht="13.2" x14ac:dyDescent="0.25"/>
    <row r="2040" customFormat="1" ht="13.2" x14ac:dyDescent="0.25"/>
    <row r="2041" customFormat="1" ht="13.2" x14ac:dyDescent="0.25"/>
    <row r="2042" customFormat="1" ht="13.2" x14ac:dyDescent="0.25"/>
    <row r="2043" customFormat="1" ht="13.2" x14ac:dyDescent="0.25"/>
    <row r="2044" customFormat="1" ht="13.2" x14ac:dyDescent="0.25"/>
    <row r="2045" customFormat="1" ht="13.2" x14ac:dyDescent="0.25"/>
    <row r="2046" customFormat="1" ht="13.2" x14ac:dyDescent="0.25"/>
    <row r="2047" customFormat="1" ht="13.2" x14ac:dyDescent="0.25"/>
    <row r="2048" customFormat="1" ht="13.2" x14ac:dyDescent="0.25"/>
    <row r="2049" customFormat="1" ht="13.2" x14ac:dyDescent="0.25"/>
    <row r="2050" customFormat="1" ht="13.2" x14ac:dyDescent="0.25"/>
    <row r="2051" customFormat="1" ht="13.2" x14ac:dyDescent="0.25"/>
    <row r="2052" customFormat="1" ht="13.2" x14ac:dyDescent="0.25"/>
    <row r="2053" customFormat="1" ht="13.2" x14ac:dyDescent="0.25"/>
    <row r="2054" customFormat="1" ht="13.2" x14ac:dyDescent="0.25"/>
    <row r="2055" customFormat="1" ht="13.2" x14ac:dyDescent="0.25"/>
    <row r="2056" customFormat="1" ht="13.2" x14ac:dyDescent="0.25"/>
    <row r="2057" customFormat="1" ht="13.2" x14ac:dyDescent="0.25"/>
    <row r="2058" customFormat="1" ht="13.2" x14ac:dyDescent="0.25"/>
    <row r="2059" customFormat="1" ht="13.2" x14ac:dyDescent="0.25"/>
    <row r="2060" customFormat="1" ht="13.2" x14ac:dyDescent="0.25"/>
    <row r="2061" customFormat="1" ht="13.2" x14ac:dyDescent="0.25"/>
    <row r="2062" customFormat="1" ht="13.2" x14ac:dyDescent="0.25"/>
    <row r="2063" customFormat="1" ht="13.2" x14ac:dyDescent="0.25"/>
    <row r="2064" customFormat="1" ht="13.2" x14ac:dyDescent="0.25"/>
    <row r="2065" customFormat="1" ht="13.2" x14ac:dyDescent="0.25"/>
    <row r="2066" customFormat="1" ht="13.2" x14ac:dyDescent="0.25"/>
    <row r="2067" customFormat="1" ht="13.2" x14ac:dyDescent="0.25"/>
    <row r="2068" customFormat="1" ht="13.2" x14ac:dyDescent="0.25"/>
    <row r="2069" customFormat="1" ht="13.2" x14ac:dyDescent="0.25"/>
    <row r="2070" customFormat="1" ht="13.2" x14ac:dyDescent="0.25"/>
    <row r="2071" customFormat="1" ht="13.2" x14ac:dyDescent="0.25"/>
    <row r="2072" customFormat="1" ht="13.2" x14ac:dyDescent="0.25"/>
    <row r="2073" customFormat="1" ht="13.2" x14ac:dyDescent="0.25"/>
    <row r="2074" customFormat="1" ht="13.2" x14ac:dyDescent="0.25"/>
    <row r="2075" customFormat="1" ht="13.2" x14ac:dyDescent="0.25"/>
    <row r="2076" customFormat="1" ht="13.2" x14ac:dyDescent="0.25"/>
    <row r="2077" customFormat="1" ht="13.2" x14ac:dyDescent="0.25"/>
    <row r="2078" customFormat="1" ht="13.2" x14ac:dyDescent="0.25"/>
    <row r="2079" customFormat="1" ht="13.2" x14ac:dyDescent="0.25"/>
    <row r="2080" customFormat="1" ht="13.2" x14ac:dyDescent="0.25"/>
    <row r="2081" customFormat="1" ht="13.2" x14ac:dyDescent="0.25"/>
    <row r="2082" customFormat="1" ht="13.2" x14ac:dyDescent="0.25"/>
    <row r="2083" customFormat="1" ht="13.2" x14ac:dyDescent="0.25"/>
    <row r="2084" customFormat="1" ht="13.2" x14ac:dyDescent="0.25"/>
    <row r="2085" customFormat="1" ht="13.2" x14ac:dyDescent="0.25"/>
    <row r="2086" customFormat="1" ht="13.2" x14ac:dyDescent="0.25"/>
    <row r="2087" customFormat="1" ht="13.2" x14ac:dyDescent="0.25"/>
    <row r="2088" customFormat="1" ht="13.2" x14ac:dyDescent="0.25"/>
    <row r="2089" customFormat="1" ht="13.2" x14ac:dyDescent="0.25"/>
    <row r="2090" customFormat="1" ht="13.2" x14ac:dyDescent="0.25"/>
    <row r="2091" customFormat="1" ht="13.2" x14ac:dyDescent="0.25"/>
    <row r="2092" customFormat="1" ht="13.2" x14ac:dyDescent="0.25"/>
    <row r="2093" customFormat="1" ht="13.2" x14ac:dyDescent="0.25"/>
    <row r="2094" customFormat="1" ht="13.2" x14ac:dyDescent="0.25"/>
    <row r="2095" customFormat="1" ht="13.2" x14ac:dyDescent="0.25"/>
    <row r="2096" customFormat="1" ht="13.2" x14ac:dyDescent="0.25"/>
    <row r="2097" customFormat="1" ht="13.2" x14ac:dyDescent="0.25"/>
    <row r="2098" customFormat="1" ht="13.2" x14ac:dyDescent="0.25"/>
    <row r="2099" customFormat="1" ht="13.2" x14ac:dyDescent="0.25"/>
    <row r="2100" customFormat="1" ht="13.2" x14ac:dyDescent="0.25"/>
    <row r="2101" customFormat="1" ht="13.2" x14ac:dyDescent="0.25"/>
    <row r="2102" customFormat="1" ht="13.2" x14ac:dyDescent="0.25"/>
    <row r="2103" customFormat="1" ht="13.2" x14ac:dyDescent="0.25"/>
    <row r="2104" customFormat="1" ht="13.2" x14ac:dyDescent="0.25"/>
    <row r="2105" customFormat="1" ht="13.2" x14ac:dyDescent="0.25"/>
    <row r="2106" customFormat="1" ht="13.2" x14ac:dyDescent="0.25"/>
    <row r="2107" customFormat="1" ht="13.2" x14ac:dyDescent="0.25"/>
    <row r="2108" customFormat="1" ht="13.2" x14ac:dyDescent="0.25"/>
    <row r="2109" customFormat="1" ht="13.2" x14ac:dyDescent="0.25"/>
    <row r="2110" customFormat="1" ht="13.2" x14ac:dyDescent="0.25"/>
    <row r="2111" customFormat="1" ht="13.2" x14ac:dyDescent="0.25"/>
    <row r="2112" customFormat="1" ht="13.2" x14ac:dyDescent="0.25"/>
    <row r="2113" customFormat="1" ht="13.2" x14ac:dyDescent="0.25"/>
    <row r="2114" customFormat="1" ht="13.2" x14ac:dyDescent="0.25"/>
    <row r="2115" customFormat="1" ht="13.2" x14ac:dyDescent="0.25"/>
    <row r="2116" customFormat="1" ht="13.2" x14ac:dyDescent="0.25"/>
    <row r="2117" customFormat="1" ht="13.2" x14ac:dyDescent="0.25"/>
    <row r="2118" customFormat="1" ht="13.2" x14ac:dyDescent="0.25"/>
    <row r="2119" customFormat="1" ht="13.2" x14ac:dyDescent="0.25"/>
    <row r="2120" customFormat="1" ht="13.2" x14ac:dyDescent="0.25"/>
    <row r="2121" customFormat="1" ht="13.2" x14ac:dyDescent="0.25"/>
    <row r="2122" customFormat="1" ht="13.2" x14ac:dyDescent="0.25"/>
    <row r="2123" customFormat="1" ht="13.2" x14ac:dyDescent="0.25"/>
    <row r="2124" customFormat="1" ht="13.2" x14ac:dyDescent="0.25"/>
    <row r="2125" customFormat="1" ht="13.2" x14ac:dyDescent="0.25"/>
    <row r="2126" customFormat="1" ht="13.2" x14ac:dyDescent="0.25"/>
    <row r="2127" customFormat="1" ht="13.2" x14ac:dyDescent="0.25"/>
    <row r="2128" customFormat="1" ht="13.2" x14ac:dyDescent="0.25"/>
    <row r="2129" customFormat="1" ht="13.2" x14ac:dyDescent="0.25"/>
    <row r="2130" customFormat="1" ht="13.2" x14ac:dyDescent="0.25"/>
    <row r="2131" customFormat="1" ht="13.2" x14ac:dyDescent="0.25"/>
    <row r="2132" customFormat="1" ht="13.2" x14ac:dyDescent="0.25"/>
    <row r="2133" customFormat="1" ht="13.2" x14ac:dyDescent="0.25"/>
    <row r="2134" customFormat="1" ht="13.2" x14ac:dyDescent="0.25"/>
    <row r="2135" customFormat="1" ht="13.2" x14ac:dyDescent="0.25"/>
    <row r="2136" customFormat="1" ht="13.2" x14ac:dyDescent="0.25"/>
    <row r="2137" customFormat="1" ht="13.2" x14ac:dyDescent="0.25"/>
    <row r="2138" customFormat="1" ht="13.2" x14ac:dyDescent="0.25"/>
    <row r="2139" customFormat="1" ht="13.2" x14ac:dyDescent="0.25"/>
    <row r="2140" customFormat="1" ht="13.2" x14ac:dyDescent="0.25"/>
    <row r="2141" customFormat="1" ht="13.2" x14ac:dyDescent="0.25"/>
    <row r="2142" customFormat="1" ht="13.2" x14ac:dyDescent="0.25"/>
    <row r="2143" customFormat="1" ht="13.2" x14ac:dyDescent="0.25"/>
    <row r="2144" customFormat="1" ht="13.2" x14ac:dyDescent="0.25"/>
    <row r="2145" customFormat="1" ht="13.2" x14ac:dyDescent="0.25"/>
    <row r="2146" customFormat="1" ht="13.2" x14ac:dyDescent="0.25"/>
    <row r="2147" customFormat="1" ht="13.2" x14ac:dyDescent="0.25"/>
    <row r="2148" customFormat="1" ht="13.2" x14ac:dyDescent="0.25"/>
    <row r="2149" customFormat="1" ht="13.2" x14ac:dyDescent="0.25"/>
    <row r="2150" customFormat="1" ht="13.2" x14ac:dyDescent="0.25"/>
    <row r="2151" customFormat="1" ht="13.2" x14ac:dyDescent="0.25"/>
    <row r="2152" customFormat="1" ht="13.2" x14ac:dyDescent="0.25"/>
    <row r="2153" customFormat="1" ht="13.2" x14ac:dyDescent="0.25"/>
    <row r="2154" customFormat="1" ht="13.2" x14ac:dyDescent="0.25"/>
    <row r="2155" customFormat="1" ht="13.2" x14ac:dyDescent="0.25"/>
    <row r="2156" customFormat="1" ht="13.2" x14ac:dyDescent="0.25"/>
    <row r="2157" customFormat="1" ht="13.2" x14ac:dyDescent="0.25"/>
    <row r="2158" customFormat="1" ht="13.2" x14ac:dyDescent="0.25"/>
    <row r="2159" customFormat="1" ht="13.2" x14ac:dyDescent="0.25"/>
    <row r="2160" customFormat="1" ht="13.2" x14ac:dyDescent="0.25"/>
    <row r="2161" customFormat="1" ht="13.2" x14ac:dyDescent="0.25"/>
    <row r="2162" customFormat="1" ht="13.2" x14ac:dyDescent="0.25"/>
    <row r="2163" customFormat="1" ht="13.2" x14ac:dyDescent="0.25"/>
    <row r="2164" customFormat="1" ht="13.2" x14ac:dyDescent="0.25"/>
    <row r="2165" customFormat="1" ht="13.2" x14ac:dyDescent="0.25"/>
    <row r="2166" customFormat="1" ht="13.2" x14ac:dyDescent="0.25"/>
    <row r="2167" customFormat="1" ht="13.2" x14ac:dyDescent="0.25"/>
    <row r="2168" customFormat="1" ht="13.2" x14ac:dyDescent="0.25"/>
    <row r="2169" customFormat="1" ht="13.2" x14ac:dyDescent="0.25"/>
    <row r="2170" customFormat="1" ht="13.2" x14ac:dyDescent="0.25"/>
    <row r="2171" customFormat="1" ht="13.2" x14ac:dyDescent="0.25"/>
    <row r="2172" customFormat="1" ht="13.2" x14ac:dyDescent="0.25"/>
    <row r="2173" customFormat="1" ht="13.2" x14ac:dyDescent="0.25"/>
    <row r="2174" customFormat="1" ht="13.2" x14ac:dyDescent="0.25"/>
    <row r="2175" customFormat="1" ht="13.2" x14ac:dyDescent="0.25"/>
    <row r="2176" customFormat="1" ht="13.2" x14ac:dyDescent="0.25"/>
    <row r="2177" customFormat="1" ht="13.2" x14ac:dyDescent="0.25"/>
    <row r="2178" customFormat="1" ht="13.2" x14ac:dyDescent="0.25"/>
    <row r="2179" customFormat="1" ht="13.2" x14ac:dyDescent="0.25"/>
    <row r="2180" customFormat="1" ht="13.2" x14ac:dyDescent="0.25"/>
    <row r="2181" customFormat="1" ht="13.2" x14ac:dyDescent="0.25"/>
    <row r="2182" customFormat="1" ht="13.2" x14ac:dyDescent="0.25"/>
    <row r="2183" customFormat="1" ht="13.2" x14ac:dyDescent="0.25"/>
    <row r="2184" customFormat="1" ht="13.2" x14ac:dyDescent="0.25"/>
    <row r="2185" customFormat="1" ht="13.2" x14ac:dyDescent="0.25"/>
    <row r="2186" customFormat="1" ht="13.2" x14ac:dyDescent="0.25"/>
    <row r="2187" customFormat="1" ht="13.2" x14ac:dyDescent="0.25"/>
    <row r="2188" customFormat="1" ht="13.2" x14ac:dyDescent="0.25"/>
    <row r="2189" customFormat="1" ht="13.2" x14ac:dyDescent="0.25"/>
    <row r="2190" customFormat="1" ht="13.2" x14ac:dyDescent="0.25"/>
    <row r="2191" customFormat="1" ht="13.2" x14ac:dyDescent="0.25"/>
    <row r="2192" customFormat="1" ht="13.2" x14ac:dyDescent="0.25"/>
    <row r="2193" customFormat="1" ht="13.2" x14ac:dyDescent="0.25"/>
    <row r="2194" customFormat="1" ht="13.2" x14ac:dyDescent="0.25"/>
    <row r="2195" customFormat="1" ht="13.2" x14ac:dyDescent="0.25"/>
    <row r="2196" customFormat="1" ht="13.2" x14ac:dyDescent="0.25"/>
    <row r="2197" customFormat="1" ht="13.2" x14ac:dyDescent="0.25"/>
    <row r="2198" customFormat="1" ht="13.2" x14ac:dyDescent="0.25"/>
    <row r="2199" customFormat="1" ht="13.2" x14ac:dyDescent="0.25"/>
    <row r="2200" customFormat="1" ht="13.2" x14ac:dyDescent="0.25"/>
    <row r="2201" customFormat="1" ht="13.2" x14ac:dyDescent="0.25"/>
    <row r="2202" customFormat="1" ht="13.2" x14ac:dyDescent="0.25"/>
    <row r="2203" customFormat="1" ht="13.2" x14ac:dyDescent="0.25"/>
    <row r="2204" customFormat="1" ht="13.2" x14ac:dyDescent="0.25"/>
    <row r="2205" customFormat="1" ht="13.2" x14ac:dyDescent="0.25"/>
    <row r="2206" customFormat="1" ht="13.2" x14ac:dyDescent="0.25"/>
    <row r="2207" customFormat="1" ht="13.2" x14ac:dyDescent="0.25"/>
    <row r="2208" customFormat="1" ht="13.2" x14ac:dyDescent="0.25"/>
    <row r="2209" customFormat="1" ht="13.2" x14ac:dyDescent="0.25"/>
    <row r="2210" customFormat="1" ht="13.2" x14ac:dyDescent="0.25"/>
    <row r="2211" customFormat="1" ht="13.2" x14ac:dyDescent="0.25"/>
    <row r="2212" customFormat="1" ht="13.2" x14ac:dyDescent="0.25"/>
    <row r="2213" customFormat="1" ht="13.2" x14ac:dyDescent="0.25"/>
    <row r="2214" customFormat="1" ht="13.2" x14ac:dyDescent="0.25"/>
    <row r="2215" customFormat="1" ht="13.2" x14ac:dyDescent="0.25"/>
    <row r="2216" customFormat="1" ht="13.2" x14ac:dyDescent="0.25"/>
    <row r="2217" customFormat="1" ht="13.2" x14ac:dyDescent="0.25"/>
    <row r="2218" customFormat="1" ht="13.2" x14ac:dyDescent="0.25"/>
    <row r="2219" customFormat="1" ht="13.2" x14ac:dyDescent="0.25"/>
    <row r="2220" customFormat="1" ht="13.2" x14ac:dyDescent="0.25"/>
    <row r="2221" customFormat="1" ht="13.2" x14ac:dyDescent="0.25"/>
    <row r="2222" customFormat="1" ht="13.2" x14ac:dyDescent="0.25"/>
    <row r="2223" customFormat="1" ht="13.2" x14ac:dyDescent="0.25"/>
    <row r="2224" customFormat="1" ht="13.2" x14ac:dyDescent="0.25"/>
    <row r="2225" customFormat="1" ht="13.2" x14ac:dyDescent="0.25"/>
    <row r="2226" customFormat="1" ht="13.2" x14ac:dyDescent="0.25"/>
    <row r="2227" customFormat="1" ht="13.2" x14ac:dyDescent="0.25"/>
    <row r="2228" customFormat="1" ht="13.2" x14ac:dyDescent="0.25"/>
    <row r="2229" customFormat="1" ht="13.2" x14ac:dyDescent="0.25"/>
    <row r="2230" customFormat="1" ht="13.2" x14ac:dyDescent="0.25"/>
    <row r="2231" customFormat="1" ht="13.2" x14ac:dyDescent="0.25"/>
    <row r="2232" customFormat="1" ht="13.2" x14ac:dyDescent="0.25"/>
    <row r="2233" customFormat="1" ht="13.2" x14ac:dyDescent="0.25"/>
    <row r="2234" customFormat="1" ht="13.2" x14ac:dyDescent="0.25"/>
    <row r="2235" customFormat="1" ht="13.2" x14ac:dyDescent="0.25"/>
    <row r="2236" customFormat="1" ht="13.2" x14ac:dyDescent="0.25"/>
    <row r="2237" customFormat="1" ht="13.2" x14ac:dyDescent="0.25"/>
    <row r="2238" customFormat="1" ht="13.2" x14ac:dyDescent="0.25"/>
    <row r="2239" customFormat="1" ht="13.2" x14ac:dyDescent="0.25"/>
    <row r="2240" customFormat="1" ht="13.2" x14ac:dyDescent="0.25"/>
    <row r="2241" customFormat="1" ht="13.2" x14ac:dyDescent="0.25"/>
    <row r="2242" customFormat="1" ht="13.2" x14ac:dyDescent="0.25"/>
    <row r="2243" customFormat="1" ht="13.2" x14ac:dyDescent="0.25"/>
    <row r="2244" customFormat="1" ht="13.2" x14ac:dyDescent="0.25"/>
    <row r="2245" customFormat="1" ht="13.2" x14ac:dyDescent="0.25"/>
    <row r="2246" customFormat="1" ht="13.2" x14ac:dyDescent="0.25"/>
    <row r="2247" customFormat="1" ht="13.2" x14ac:dyDescent="0.25"/>
    <row r="2248" customFormat="1" ht="13.2" x14ac:dyDescent="0.25"/>
    <row r="2249" customFormat="1" ht="13.2" x14ac:dyDescent="0.25"/>
    <row r="2250" customFormat="1" ht="13.2" x14ac:dyDescent="0.25"/>
    <row r="2251" customFormat="1" ht="13.2" x14ac:dyDescent="0.25"/>
    <row r="2252" customFormat="1" ht="13.2" x14ac:dyDescent="0.25"/>
    <row r="2253" customFormat="1" ht="13.2" x14ac:dyDescent="0.25"/>
    <row r="2254" customFormat="1" ht="13.2" x14ac:dyDescent="0.25"/>
    <row r="2255" customFormat="1" ht="13.2" x14ac:dyDescent="0.25"/>
    <row r="2256" customFormat="1" ht="13.2" x14ac:dyDescent="0.25"/>
    <row r="2257" customFormat="1" ht="13.2" x14ac:dyDescent="0.25"/>
    <row r="2258" customFormat="1" ht="13.2" x14ac:dyDescent="0.25"/>
    <row r="2259" customFormat="1" ht="13.2" x14ac:dyDescent="0.25"/>
    <row r="2260" customFormat="1" ht="13.2" x14ac:dyDescent="0.25"/>
    <row r="2261" customFormat="1" ht="13.2" x14ac:dyDescent="0.25"/>
    <row r="2262" customFormat="1" ht="13.2" x14ac:dyDescent="0.25"/>
    <row r="2263" customFormat="1" ht="13.2" x14ac:dyDescent="0.25"/>
    <row r="2264" customFormat="1" ht="13.2" x14ac:dyDescent="0.25"/>
    <row r="2265" customFormat="1" ht="13.2" x14ac:dyDescent="0.25"/>
    <row r="2266" customFormat="1" ht="13.2" x14ac:dyDescent="0.25"/>
    <row r="2267" customFormat="1" ht="13.2" x14ac:dyDescent="0.25"/>
    <row r="2268" customFormat="1" ht="13.2" x14ac:dyDescent="0.25"/>
    <row r="2269" customFormat="1" ht="13.2" x14ac:dyDescent="0.25"/>
    <row r="2270" customFormat="1" ht="13.2" x14ac:dyDescent="0.25"/>
    <row r="2271" customFormat="1" ht="13.2" x14ac:dyDescent="0.25"/>
    <row r="2272" customFormat="1" ht="13.2" x14ac:dyDescent="0.25"/>
    <row r="2273" customFormat="1" ht="13.2" x14ac:dyDescent="0.25"/>
    <row r="2274" customFormat="1" ht="13.2" x14ac:dyDescent="0.25"/>
    <row r="2275" customFormat="1" ht="13.2" x14ac:dyDescent="0.25"/>
    <row r="2276" customFormat="1" ht="13.2" x14ac:dyDescent="0.25"/>
    <row r="2277" customFormat="1" ht="13.2" x14ac:dyDescent="0.25"/>
    <row r="2278" customFormat="1" ht="13.2" x14ac:dyDescent="0.25"/>
    <row r="2279" customFormat="1" ht="13.2" x14ac:dyDescent="0.25"/>
    <row r="2280" customFormat="1" ht="13.2" x14ac:dyDescent="0.25"/>
    <row r="2281" customFormat="1" ht="13.2" x14ac:dyDescent="0.25"/>
    <row r="2282" customFormat="1" ht="13.2" x14ac:dyDescent="0.25"/>
    <row r="2283" customFormat="1" ht="13.2" x14ac:dyDescent="0.25"/>
    <row r="2284" customFormat="1" ht="13.2" x14ac:dyDescent="0.25"/>
    <row r="2285" customFormat="1" ht="13.2" x14ac:dyDescent="0.25"/>
    <row r="2286" customFormat="1" ht="13.2" x14ac:dyDescent="0.25"/>
    <row r="2287" customFormat="1" ht="13.2" x14ac:dyDescent="0.25"/>
    <row r="2288" customFormat="1" ht="13.2" x14ac:dyDescent="0.25"/>
    <row r="2289" customFormat="1" ht="13.2" x14ac:dyDescent="0.25"/>
    <row r="2290" customFormat="1" ht="13.2" x14ac:dyDescent="0.25"/>
    <row r="2291" customFormat="1" ht="13.2" x14ac:dyDescent="0.25"/>
    <row r="2292" customFormat="1" ht="13.2" x14ac:dyDescent="0.25"/>
    <row r="2293" customFormat="1" ht="13.2" x14ac:dyDescent="0.25"/>
    <row r="2294" customFormat="1" ht="13.2" x14ac:dyDescent="0.25"/>
    <row r="2295" customFormat="1" ht="13.2" x14ac:dyDescent="0.25"/>
    <row r="2296" customFormat="1" ht="13.2" x14ac:dyDescent="0.25"/>
    <row r="2297" customFormat="1" ht="13.2" x14ac:dyDescent="0.25"/>
    <row r="2298" customFormat="1" ht="13.2" x14ac:dyDescent="0.25"/>
    <row r="2299" customFormat="1" ht="13.2" x14ac:dyDescent="0.25"/>
    <row r="2300" customFormat="1" ht="13.2" x14ac:dyDescent="0.25"/>
    <row r="2301" customFormat="1" ht="13.2" x14ac:dyDescent="0.25"/>
    <row r="2302" customFormat="1" ht="13.2" x14ac:dyDescent="0.25"/>
    <row r="2303" customFormat="1" ht="13.2" x14ac:dyDescent="0.25"/>
    <row r="2304" customFormat="1" ht="13.2" x14ac:dyDescent="0.25"/>
    <row r="2305" customFormat="1" ht="13.2" x14ac:dyDescent="0.25"/>
    <row r="2306" customFormat="1" ht="13.2" x14ac:dyDescent="0.25"/>
    <row r="2307" customFormat="1" ht="13.2" x14ac:dyDescent="0.25"/>
    <row r="2308" customFormat="1" ht="13.2" x14ac:dyDescent="0.25"/>
    <row r="2309" customFormat="1" ht="13.2" x14ac:dyDescent="0.25"/>
    <row r="2310" customFormat="1" ht="13.2" x14ac:dyDescent="0.25"/>
    <row r="2311" customFormat="1" ht="13.2" x14ac:dyDescent="0.25"/>
    <row r="2312" customFormat="1" ht="13.2" x14ac:dyDescent="0.25"/>
    <row r="2313" customFormat="1" ht="13.2" x14ac:dyDescent="0.25"/>
    <row r="2314" customFormat="1" ht="13.2" x14ac:dyDescent="0.25"/>
    <row r="2315" customFormat="1" ht="13.2" x14ac:dyDescent="0.25"/>
    <row r="2316" customFormat="1" ht="13.2" x14ac:dyDescent="0.25"/>
    <row r="2317" customFormat="1" ht="13.2" x14ac:dyDescent="0.25"/>
    <row r="2318" customFormat="1" ht="13.2" x14ac:dyDescent="0.25"/>
    <row r="2319" customFormat="1" ht="13.2" x14ac:dyDescent="0.25"/>
    <row r="2320" customFormat="1" ht="13.2" x14ac:dyDescent="0.25"/>
    <row r="2321" customFormat="1" ht="13.2" x14ac:dyDescent="0.25"/>
    <row r="2322" customFormat="1" ht="13.2" x14ac:dyDescent="0.25"/>
    <row r="2323" customFormat="1" ht="13.2" x14ac:dyDescent="0.25"/>
    <row r="2324" customFormat="1" ht="13.2" x14ac:dyDescent="0.25"/>
    <row r="2325" customFormat="1" ht="13.2" x14ac:dyDescent="0.25"/>
    <row r="2326" customFormat="1" ht="13.2" x14ac:dyDescent="0.25"/>
    <row r="2327" customFormat="1" ht="13.2" x14ac:dyDescent="0.25"/>
    <row r="2328" customFormat="1" ht="13.2" x14ac:dyDescent="0.25"/>
    <row r="2329" customFormat="1" ht="13.2" x14ac:dyDescent="0.25"/>
    <row r="2330" customFormat="1" ht="13.2" x14ac:dyDescent="0.25"/>
    <row r="2331" customFormat="1" ht="13.2" x14ac:dyDescent="0.25"/>
    <row r="2332" customFormat="1" ht="13.2" x14ac:dyDescent="0.25"/>
    <row r="2333" customFormat="1" ht="13.2" x14ac:dyDescent="0.25"/>
    <row r="2334" customFormat="1" ht="13.2" x14ac:dyDescent="0.25"/>
    <row r="2335" customFormat="1" ht="13.2" x14ac:dyDescent="0.25"/>
    <row r="2336" customFormat="1" ht="13.2" x14ac:dyDescent="0.25"/>
    <row r="2337" customFormat="1" ht="13.2" x14ac:dyDescent="0.25"/>
    <row r="2338" customFormat="1" ht="13.2" x14ac:dyDescent="0.25"/>
    <row r="2339" customFormat="1" ht="13.2" x14ac:dyDescent="0.25"/>
    <row r="2340" customFormat="1" ht="13.2" x14ac:dyDescent="0.25"/>
    <row r="2341" customFormat="1" ht="13.2" x14ac:dyDescent="0.25"/>
    <row r="2342" customFormat="1" ht="13.2" x14ac:dyDescent="0.25"/>
    <row r="2343" customFormat="1" ht="13.2" x14ac:dyDescent="0.25"/>
    <row r="2344" customFormat="1" ht="13.2" x14ac:dyDescent="0.25"/>
    <row r="2345" customFormat="1" ht="13.2" x14ac:dyDescent="0.25"/>
    <row r="2346" customFormat="1" ht="13.2" x14ac:dyDescent="0.25"/>
    <row r="2347" customFormat="1" ht="13.2" x14ac:dyDescent="0.25"/>
    <row r="2348" customFormat="1" ht="13.2" x14ac:dyDescent="0.25"/>
    <row r="2349" customFormat="1" ht="13.2" x14ac:dyDescent="0.25"/>
    <row r="2350" customFormat="1" ht="13.2" x14ac:dyDescent="0.25"/>
    <row r="2351" customFormat="1" ht="13.2" x14ac:dyDescent="0.25"/>
    <row r="2352" customFormat="1" ht="13.2" x14ac:dyDescent="0.25"/>
    <row r="2353" customFormat="1" ht="13.2" x14ac:dyDescent="0.25"/>
    <row r="2354" customFormat="1" ht="13.2" x14ac:dyDescent="0.25"/>
    <row r="2355" customFormat="1" ht="13.2" x14ac:dyDescent="0.25"/>
    <row r="2356" customFormat="1" ht="13.2" x14ac:dyDescent="0.25"/>
    <row r="2357" customFormat="1" ht="13.2" x14ac:dyDescent="0.25"/>
    <row r="2358" customFormat="1" ht="13.2" x14ac:dyDescent="0.25"/>
    <row r="2359" customFormat="1" ht="13.2" x14ac:dyDescent="0.25"/>
    <row r="2360" customFormat="1" ht="13.2" x14ac:dyDescent="0.25"/>
    <row r="2361" customFormat="1" ht="13.2" x14ac:dyDescent="0.25"/>
    <row r="2362" customFormat="1" ht="13.2" x14ac:dyDescent="0.25"/>
    <row r="2363" customFormat="1" ht="13.2" x14ac:dyDescent="0.25"/>
    <row r="2364" customFormat="1" ht="13.2" x14ac:dyDescent="0.25"/>
    <row r="2365" customFormat="1" ht="13.2" x14ac:dyDescent="0.25"/>
    <row r="2366" customFormat="1" ht="13.2" x14ac:dyDescent="0.25"/>
    <row r="2367" customFormat="1" ht="13.2" x14ac:dyDescent="0.25"/>
    <row r="2368" customFormat="1" ht="13.2" x14ac:dyDescent="0.25"/>
    <row r="2369" customFormat="1" ht="13.2" x14ac:dyDescent="0.25"/>
    <row r="2370" customFormat="1" ht="13.2" x14ac:dyDescent="0.25"/>
    <row r="2371" customFormat="1" ht="13.2" x14ac:dyDescent="0.25"/>
    <row r="2372" customFormat="1" ht="13.2" x14ac:dyDescent="0.25"/>
    <row r="2373" customFormat="1" ht="13.2" x14ac:dyDescent="0.25"/>
    <row r="2374" customFormat="1" ht="13.2" x14ac:dyDescent="0.25"/>
    <row r="2375" customFormat="1" ht="13.2" x14ac:dyDescent="0.25"/>
    <row r="2376" customFormat="1" ht="13.2" x14ac:dyDescent="0.25"/>
    <row r="2377" customFormat="1" ht="13.2" x14ac:dyDescent="0.25"/>
    <row r="2378" customFormat="1" ht="13.2" x14ac:dyDescent="0.25"/>
    <row r="2379" customFormat="1" ht="13.2" x14ac:dyDescent="0.25"/>
    <row r="2380" customFormat="1" ht="13.2" x14ac:dyDescent="0.25"/>
    <row r="2381" customFormat="1" ht="13.2" x14ac:dyDescent="0.25"/>
    <row r="2382" customFormat="1" ht="13.2" x14ac:dyDescent="0.25"/>
    <row r="2383" customFormat="1" ht="13.2" x14ac:dyDescent="0.25"/>
    <row r="2384" customFormat="1" ht="13.2" x14ac:dyDescent="0.25"/>
    <row r="2385" customFormat="1" ht="13.2" x14ac:dyDescent="0.25"/>
    <row r="2386" customFormat="1" ht="13.2" x14ac:dyDescent="0.25"/>
    <row r="2387" customFormat="1" ht="13.2" x14ac:dyDescent="0.25"/>
    <row r="2388" customFormat="1" ht="13.2" x14ac:dyDescent="0.25"/>
    <row r="2389" customFormat="1" ht="13.2" x14ac:dyDescent="0.25"/>
    <row r="2390" customFormat="1" ht="13.2" x14ac:dyDescent="0.25"/>
    <row r="2391" customFormat="1" ht="13.2" x14ac:dyDescent="0.25"/>
    <row r="2392" customFormat="1" ht="13.2" x14ac:dyDescent="0.25"/>
    <row r="2393" customFormat="1" ht="13.2" x14ac:dyDescent="0.25"/>
    <row r="2394" customFormat="1" ht="13.2" x14ac:dyDescent="0.25"/>
    <row r="2395" customFormat="1" ht="13.2" x14ac:dyDescent="0.25"/>
    <row r="2396" customFormat="1" ht="13.2" x14ac:dyDescent="0.25"/>
    <row r="2397" customFormat="1" ht="13.2" x14ac:dyDescent="0.25"/>
    <row r="2398" customFormat="1" ht="13.2" x14ac:dyDescent="0.25"/>
    <row r="2399" customFormat="1" ht="13.2" x14ac:dyDescent="0.25"/>
    <row r="2400" customFormat="1" ht="13.2" x14ac:dyDescent="0.25"/>
    <row r="2401" customFormat="1" ht="13.2" x14ac:dyDescent="0.25"/>
    <row r="2402" customFormat="1" ht="13.2" x14ac:dyDescent="0.25"/>
    <row r="2403" customFormat="1" ht="13.2" x14ac:dyDescent="0.25"/>
    <row r="2404" customFormat="1" ht="13.2" x14ac:dyDescent="0.25"/>
    <row r="2405" customFormat="1" ht="13.2" x14ac:dyDescent="0.25"/>
    <row r="2406" customFormat="1" ht="13.2" x14ac:dyDescent="0.25"/>
    <row r="2407" customFormat="1" ht="13.2" x14ac:dyDescent="0.25"/>
    <row r="2408" customFormat="1" ht="13.2" x14ac:dyDescent="0.25"/>
    <row r="2409" customFormat="1" ht="13.2" x14ac:dyDescent="0.25"/>
    <row r="2410" customFormat="1" ht="13.2" x14ac:dyDescent="0.25"/>
    <row r="2411" customFormat="1" ht="13.2" x14ac:dyDescent="0.25"/>
    <row r="2412" customFormat="1" ht="13.2" x14ac:dyDescent="0.25"/>
    <row r="2413" customFormat="1" ht="13.2" x14ac:dyDescent="0.25"/>
    <row r="2414" customFormat="1" ht="13.2" x14ac:dyDescent="0.25"/>
    <row r="2415" customFormat="1" ht="13.2" x14ac:dyDescent="0.25"/>
    <row r="2416" customFormat="1" ht="13.2" x14ac:dyDescent="0.25"/>
    <row r="2417" customFormat="1" ht="13.2" x14ac:dyDescent="0.25"/>
    <row r="2418" customFormat="1" ht="13.2" x14ac:dyDescent="0.25"/>
    <row r="2419" customFormat="1" ht="13.2" x14ac:dyDescent="0.25"/>
    <row r="2420" customFormat="1" ht="13.2" x14ac:dyDescent="0.25"/>
    <row r="2421" customFormat="1" ht="13.2" x14ac:dyDescent="0.25"/>
    <row r="2422" customFormat="1" ht="13.2" x14ac:dyDescent="0.25"/>
    <row r="2423" customFormat="1" ht="13.2" x14ac:dyDescent="0.25"/>
    <row r="2424" customFormat="1" ht="13.2" x14ac:dyDescent="0.25"/>
    <row r="2425" customFormat="1" ht="13.2" x14ac:dyDescent="0.25"/>
    <row r="2426" customFormat="1" ht="13.2" x14ac:dyDescent="0.25"/>
    <row r="2427" customFormat="1" ht="13.2" x14ac:dyDescent="0.25"/>
    <row r="2428" customFormat="1" ht="13.2" x14ac:dyDescent="0.25"/>
    <row r="2429" customFormat="1" ht="13.2" x14ac:dyDescent="0.25"/>
    <row r="2430" customFormat="1" ht="13.2" x14ac:dyDescent="0.25"/>
    <row r="2431" customFormat="1" ht="13.2" x14ac:dyDescent="0.25"/>
    <row r="2432" customFormat="1" ht="13.2" x14ac:dyDescent="0.25"/>
    <row r="2433" customFormat="1" ht="13.2" x14ac:dyDescent="0.25"/>
    <row r="2434" customFormat="1" ht="13.2" x14ac:dyDescent="0.25"/>
    <row r="2435" customFormat="1" ht="13.2" x14ac:dyDescent="0.25"/>
    <row r="2436" customFormat="1" ht="13.2" x14ac:dyDescent="0.25"/>
    <row r="2437" customFormat="1" ht="13.2" x14ac:dyDescent="0.25"/>
    <row r="2438" customFormat="1" ht="13.2" x14ac:dyDescent="0.25"/>
    <row r="2439" customFormat="1" ht="13.2" x14ac:dyDescent="0.25"/>
    <row r="2440" customFormat="1" ht="13.2" x14ac:dyDescent="0.25"/>
    <row r="2441" customFormat="1" ht="13.2" x14ac:dyDescent="0.25"/>
    <row r="2442" customFormat="1" ht="13.2" x14ac:dyDescent="0.25"/>
    <row r="2443" customFormat="1" ht="13.2" x14ac:dyDescent="0.25"/>
    <row r="2444" customFormat="1" ht="13.2" x14ac:dyDescent="0.25"/>
    <row r="2445" customFormat="1" ht="13.2" x14ac:dyDescent="0.25"/>
    <row r="2446" customFormat="1" ht="13.2" x14ac:dyDescent="0.25"/>
    <row r="2447" customFormat="1" ht="13.2" x14ac:dyDescent="0.25"/>
    <row r="2448" customFormat="1" ht="13.2" x14ac:dyDescent="0.25"/>
    <row r="2449" customFormat="1" ht="13.2" x14ac:dyDescent="0.25"/>
    <row r="2450" customFormat="1" ht="13.2" x14ac:dyDescent="0.25"/>
    <row r="2451" customFormat="1" ht="13.2" x14ac:dyDescent="0.25"/>
    <row r="2452" customFormat="1" ht="13.2" x14ac:dyDescent="0.25"/>
    <row r="2453" customFormat="1" ht="13.2" x14ac:dyDescent="0.25"/>
    <row r="2454" customFormat="1" ht="13.2" x14ac:dyDescent="0.25"/>
    <row r="2455" customFormat="1" ht="13.2" x14ac:dyDescent="0.25"/>
    <row r="2456" customFormat="1" ht="13.2" x14ac:dyDescent="0.25"/>
    <row r="2457" customFormat="1" ht="13.2" x14ac:dyDescent="0.25"/>
    <row r="2458" customFormat="1" ht="13.2" x14ac:dyDescent="0.25"/>
    <row r="2459" customFormat="1" ht="13.2" x14ac:dyDescent="0.25"/>
    <row r="2460" customFormat="1" ht="13.2" x14ac:dyDescent="0.25"/>
    <row r="2461" customFormat="1" ht="13.2" x14ac:dyDescent="0.25"/>
    <row r="2462" customFormat="1" ht="13.2" x14ac:dyDescent="0.25"/>
    <row r="2463" customFormat="1" ht="13.2" x14ac:dyDescent="0.25"/>
    <row r="2464" customFormat="1" ht="13.2" x14ac:dyDescent="0.25"/>
    <row r="2465" customFormat="1" ht="13.2" x14ac:dyDescent="0.25"/>
    <row r="2466" customFormat="1" ht="13.2" x14ac:dyDescent="0.25"/>
    <row r="2467" customFormat="1" ht="13.2" x14ac:dyDescent="0.25"/>
    <row r="2468" customFormat="1" ht="13.2" x14ac:dyDescent="0.25"/>
    <row r="2469" customFormat="1" ht="13.2" x14ac:dyDescent="0.25"/>
    <row r="2470" customFormat="1" ht="13.2" x14ac:dyDescent="0.25"/>
    <row r="2471" customFormat="1" ht="13.2" x14ac:dyDescent="0.25"/>
    <row r="2472" customFormat="1" ht="13.2" x14ac:dyDescent="0.25"/>
    <row r="2473" customFormat="1" ht="13.2" x14ac:dyDescent="0.25"/>
    <row r="2474" customFormat="1" ht="13.2" x14ac:dyDescent="0.25"/>
    <row r="2475" customFormat="1" ht="13.2" x14ac:dyDescent="0.25"/>
    <row r="2476" customFormat="1" ht="13.2" x14ac:dyDescent="0.25"/>
    <row r="2477" customFormat="1" ht="13.2" x14ac:dyDescent="0.25"/>
    <row r="2478" customFormat="1" ht="13.2" x14ac:dyDescent="0.25"/>
    <row r="2479" customFormat="1" ht="13.2" x14ac:dyDescent="0.25"/>
    <row r="2480" customFormat="1" ht="13.2" x14ac:dyDescent="0.25"/>
    <row r="2481" customFormat="1" ht="13.2" x14ac:dyDescent="0.25"/>
    <row r="2482" customFormat="1" ht="13.2" x14ac:dyDescent="0.25"/>
    <row r="2483" customFormat="1" ht="13.2" x14ac:dyDescent="0.25"/>
    <row r="2484" customFormat="1" ht="13.2" x14ac:dyDescent="0.25"/>
    <row r="2485" customFormat="1" ht="13.2" x14ac:dyDescent="0.25"/>
    <row r="2486" customFormat="1" ht="13.2" x14ac:dyDescent="0.25"/>
    <row r="2487" customFormat="1" ht="13.2" x14ac:dyDescent="0.25"/>
    <row r="2488" customFormat="1" ht="13.2" x14ac:dyDescent="0.25"/>
    <row r="2489" customFormat="1" ht="13.2" x14ac:dyDescent="0.25"/>
    <row r="2490" customFormat="1" ht="13.2" x14ac:dyDescent="0.25"/>
    <row r="2491" customFormat="1" ht="13.2" x14ac:dyDescent="0.25"/>
    <row r="2492" customFormat="1" ht="13.2" x14ac:dyDescent="0.25"/>
    <row r="2493" customFormat="1" ht="13.2" x14ac:dyDescent="0.25"/>
    <row r="2494" customFormat="1" ht="13.2" x14ac:dyDescent="0.25"/>
    <row r="2495" customFormat="1" ht="13.2" x14ac:dyDescent="0.25"/>
    <row r="2496" customFormat="1" ht="13.2" x14ac:dyDescent="0.25"/>
    <row r="2497" customFormat="1" ht="13.2" x14ac:dyDescent="0.25"/>
    <row r="2498" customFormat="1" ht="13.2" x14ac:dyDescent="0.25"/>
    <row r="2499" customFormat="1" ht="13.2" x14ac:dyDescent="0.25"/>
    <row r="2500" customFormat="1" ht="13.2" x14ac:dyDescent="0.25"/>
    <row r="2501" customFormat="1" ht="13.2" x14ac:dyDescent="0.25"/>
    <row r="2502" customFormat="1" ht="13.2" x14ac:dyDescent="0.25"/>
    <row r="2503" customFormat="1" ht="13.2" x14ac:dyDescent="0.25"/>
    <row r="2504" customFormat="1" ht="13.2" x14ac:dyDescent="0.25"/>
    <row r="2505" customFormat="1" ht="13.2" x14ac:dyDescent="0.25"/>
    <row r="2506" customFormat="1" ht="13.2" x14ac:dyDescent="0.25"/>
    <row r="2507" customFormat="1" ht="13.2" x14ac:dyDescent="0.25"/>
    <row r="2508" customFormat="1" ht="13.2" x14ac:dyDescent="0.25"/>
    <row r="2509" customFormat="1" ht="13.2" x14ac:dyDescent="0.25"/>
    <row r="2510" customFormat="1" ht="13.2" x14ac:dyDescent="0.25"/>
    <row r="2511" customFormat="1" ht="13.2" x14ac:dyDescent="0.25"/>
    <row r="2512" customFormat="1" ht="13.2" x14ac:dyDescent="0.25"/>
    <row r="2513" customFormat="1" ht="13.2" x14ac:dyDescent="0.25"/>
    <row r="2514" customFormat="1" ht="13.2" x14ac:dyDescent="0.25"/>
    <row r="2515" customFormat="1" ht="13.2" x14ac:dyDescent="0.25"/>
    <row r="2516" customFormat="1" ht="13.2" x14ac:dyDescent="0.25"/>
    <row r="2517" customFormat="1" ht="13.2" x14ac:dyDescent="0.25"/>
    <row r="2518" customFormat="1" ht="13.2" x14ac:dyDescent="0.25"/>
    <row r="2519" customFormat="1" ht="13.2" x14ac:dyDescent="0.25"/>
    <row r="2520" customFormat="1" ht="13.2" x14ac:dyDescent="0.25"/>
    <row r="2521" customFormat="1" ht="13.2" x14ac:dyDescent="0.25"/>
    <row r="2522" customFormat="1" ht="13.2" x14ac:dyDescent="0.25"/>
    <row r="2523" customFormat="1" ht="13.2" x14ac:dyDescent="0.25"/>
    <row r="2524" customFormat="1" ht="13.2" x14ac:dyDescent="0.25"/>
    <row r="2525" customFormat="1" ht="13.2" x14ac:dyDescent="0.25"/>
    <row r="2526" customFormat="1" ht="13.2" x14ac:dyDescent="0.25"/>
    <row r="2527" customFormat="1" ht="13.2" x14ac:dyDescent="0.25"/>
    <row r="2528" customFormat="1" ht="13.2" x14ac:dyDescent="0.25"/>
    <row r="2529" customFormat="1" ht="13.2" x14ac:dyDescent="0.25"/>
    <row r="2530" customFormat="1" ht="13.2" x14ac:dyDescent="0.25"/>
    <row r="2531" customFormat="1" ht="13.2" x14ac:dyDescent="0.25"/>
    <row r="2532" customFormat="1" ht="13.2" x14ac:dyDescent="0.25"/>
    <row r="2533" customFormat="1" ht="13.2" x14ac:dyDescent="0.25"/>
    <row r="2534" customFormat="1" ht="13.2" x14ac:dyDescent="0.25"/>
    <row r="2535" customFormat="1" ht="13.2" x14ac:dyDescent="0.25"/>
    <row r="2536" customFormat="1" ht="13.2" x14ac:dyDescent="0.25"/>
    <row r="2537" customFormat="1" ht="13.2" x14ac:dyDescent="0.25"/>
    <row r="2538" customFormat="1" ht="13.2" x14ac:dyDescent="0.25"/>
    <row r="2539" customFormat="1" ht="13.2" x14ac:dyDescent="0.25"/>
    <row r="2540" customFormat="1" ht="13.2" x14ac:dyDescent="0.25"/>
    <row r="2541" customFormat="1" ht="13.2" x14ac:dyDescent="0.25"/>
    <row r="2542" customFormat="1" ht="13.2" x14ac:dyDescent="0.25"/>
    <row r="2543" customFormat="1" ht="13.2" x14ac:dyDescent="0.25"/>
    <row r="2544" customFormat="1" ht="13.2" x14ac:dyDescent="0.25"/>
    <row r="2545" customFormat="1" ht="13.2" x14ac:dyDescent="0.25"/>
    <row r="2546" customFormat="1" ht="13.2" x14ac:dyDescent="0.25"/>
    <row r="2547" customFormat="1" ht="13.2" x14ac:dyDescent="0.25"/>
    <row r="2548" customFormat="1" ht="13.2" x14ac:dyDescent="0.25"/>
    <row r="2549" customFormat="1" ht="13.2" x14ac:dyDescent="0.25"/>
    <row r="2550" customFormat="1" ht="13.2" x14ac:dyDescent="0.25"/>
    <row r="2551" customFormat="1" ht="13.2" x14ac:dyDescent="0.25"/>
    <row r="2552" customFormat="1" ht="13.2" x14ac:dyDescent="0.25"/>
    <row r="2553" customFormat="1" ht="13.2" x14ac:dyDescent="0.25"/>
    <row r="2554" customFormat="1" ht="13.2" x14ac:dyDescent="0.25"/>
    <row r="2555" customFormat="1" ht="13.2" x14ac:dyDescent="0.25"/>
    <row r="2556" customFormat="1" ht="13.2" x14ac:dyDescent="0.25"/>
    <row r="2557" customFormat="1" ht="13.2" x14ac:dyDescent="0.25"/>
    <row r="2558" customFormat="1" ht="13.2" x14ac:dyDescent="0.25"/>
    <row r="2559" customFormat="1" ht="13.2" x14ac:dyDescent="0.25"/>
    <row r="2560" customFormat="1" ht="13.2" x14ac:dyDescent="0.25"/>
    <row r="2561" customFormat="1" ht="13.2" x14ac:dyDescent="0.25"/>
    <row r="2562" customFormat="1" ht="13.2" x14ac:dyDescent="0.25"/>
    <row r="2563" customFormat="1" ht="13.2" x14ac:dyDescent="0.25"/>
    <row r="2564" customFormat="1" ht="13.2" x14ac:dyDescent="0.25"/>
    <row r="2565" customFormat="1" ht="13.2" x14ac:dyDescent="0.25"/>
    <row r="2566" customFormat="1" ht="13.2" x14ac:dyDescent="0.25"/>
    <row r="2567" customFormat="1" ht="13.2" x14ac:dyDescent="0.25"/>
    <row r="2568" customFormat="1" ht="13.2" x14ac:dyDescent="0.25"/>
    <row r="2569" customFormat="1" ht="13.2" x14ac:dyDescent="0.25"/>
    <row r="2570" customFormat="1" ht="13.2" x14ac:dyDescent="0.25"/>
    <row r="2571" customFormat="1" ht="13.2" x14ac:dyDescent="0.25"/>
    <row r="2572" customFormat="1" ht="13.2" x14ac:dyDescent="0.25"/>
    <row r="2573" customFormat="1" ht="13.2" x14ac:dyDescent="0.25"/>
    <row r="2574" customFormat="1" ht="13.2" x14ac:dyDescent="0.25"/>
    <row r="2575" customFormat="1" ht="13.2" x14ac:dyDescent="0.25"/>
    <row r="2576" customFormat="1" ht="13.2" x14ac:dyDescent="0.25"/>
    <row r="2577" customFormat="1" ht="13.2" x14ac:dyDescent="0.25"/>
    <row r="2578" customFormat="1" ht="13.2" x14ac:dyDescent="0.25"/>
    <row r="2579" customFormat="1" ht="13.2" x14ac:dyDescent="0.25"/>
    <row r="2580" customFormat="1" ht="13.2" x14ac:dyDescent="0.25"/>
    <row r="2581" customFormat="1" ht="13.2" x14ac:dyDescent="0.25"/>
    <row r="2582" customFormat="1" ht="13.2" x14ac:dyDescent="0.25"/>
    <row r="2583" customFormat="1" ht="13.2" x14ac:dyDescent="0.25"/>
    <row r="2584" customFormat="1" ht="13.2" x14ac:dyDescent="0.25"/>
    <row r="2585" customFormat="1" ht="13.2" x14ac:dyDescent="0.25"/>
    <row r="2586" customFormat="1" ht="13.2" x14ac:dyDescent="0.25"/>
    <row r="2587" customFormat="1" ht="13.2" x14ac:dyDescent="0.25"/>
    <row r="2588" customFormat="1" ht="13.2" x14ac:dyDescent="0.25"/>
    <row r="2589" customFormat="1" ht="13.2" x14ac:dyDescent="0.25"/>
    <row r="2590" customFormat="1" ht="13.2" x14ac:dyDescent="0.25"/>
    <row r="2591" customFormat="1" ht="13.2" x14ac:dyDescent="0.25"/>
    <row r="2592" customFormat="1" ht="13.2" x14ac:dyDescent="0.25"/>
    <row r="2593" customFormat="1" ht="13.2" x14ac:dyDescent="0.25"/>
    <row r="2594" customFormat="1" ht="13.2" x14ac:dyDescent="0.25"/>
    <row r="2595" customFormat="1" ht="13.2" x14ac:dyDescent="0.25"/>
    <row r="2596" customFormat="1" ht="13.2" x14ac:dyDescent="0.25"/>
    <row r="2597" customFormat="1" ht="13.2" x14ac:dyDescent="0.25"/>
    <row r="2598" customFormat="1" ht="13.2" x14ac:dyDescent="0.25"/>
    <row r="2599" customFormat="1" ht="13.2" x14ac:dyDescent="0.25"/>
    <row r="2600" customFormat="1" ht="13.2" x14ac:dyDescent="0.25"/>
    <row r="2601" customFormat="1" ht="13.2" x14ac:dyDescent="0.25"/>
    <row r="2602" customFormat="1" ht="13.2" x14ac:dyDescent="0.25"/>
    <row r="2603" customFormat="1" ht="13.2" x14ac:dyDescent="0.25"/>
    <row r="2604" customFormat="1" ht="13.2" x14ac:dyDescent="0.25"/>
    <row r="2605" customFormat="1" ht="13.2" x14ac:dyDescent="0.25"/>
    <row r="2606" customFormat="1" ht="13.2" x14ac:dyDescent="0.25"/>
    <row r="2607" customFormat="1" ht="13.2" x14ac:dyDescent="0.25"/>
    <row r="2608" customFormat="1" ht="13.2" x14ac:dyDescent="0.25"/>
    <row r="2609" customFormat="1" ht="13.2" x14ac:dyDescent="0.25"/>
    <row r="2610" customFormat="1" ht="13.2" x14ac:dyDescent="0.25"/>
    <row r="2611" customFormat="1" ht="13.2" x14ac:dyDescent="0.25"/>
    <row r="2612" customFormat="1" ht="13.2" x14ac:dyDescent="0.25"/>
    <row r="2613" customFormat="1" ht="13.2" x14ac:dyDescent="0.25"/>
    <row r="2614" customFormat="1" ht="13.2" x14ac:dyDescent="0.25"/>
    <row r="2615" customFormat="1" ht="13.2" x14ac:dyDescent="0.25"/>
    <row r="2616" customFormat="1" ht="13.2" x14ac:dyDescent="0.25"/>
    <row r="2617" customFormat="1" ht="13.2" x14ac:dyDescent="0.25"/>
    <row r="2618" customFormat="1" ht="13.2" x14ac:dyDescent="0.25"/>
    <row r="2619" customFormat="1" ht="13.2" x14ac:dyDescent="0.25"/>
    <row r="2620" customFormat="1" ht="13.2" x14ac:dyDescent="0.25"/>
    <row r="2621" customFormat="1" ht="13.2" x14ac:dyDescent="0.25"/>
    <row r="2622" customFormat="1" ht="13.2" x14ac:dyDescent="0.25"/>
    <row r="2623" customFormat="1" ht="13.2" x14ac:dyDescent="0.25"/>
    <row r="2624" customFormat="1" ht="13.2" x14ac:dyDescent="0.25"/>
    <row r="2625" customFormat="1" ht="13.2" x14ac:dyDescent="0.25"/>
    <row r="2626" customFormat="1" ht="13.2" x14ac:dyDescent="0.25"/>
    <row r="2627" customFormat="1" ht="13.2" x14ac:dyDescent="0.25"/>
    <row r="2628" customFormat="1" ht="13.2" x14ac:dyDescent="0.25"/>
    <row r="2629" customFormat="1" ht="13.2" x14ac:dyDescent="0.25"/>
    <row r="2630" customFormat="1" ht="13.2" x14ac:dyDescent="0.25"/>
    <row r="2631" customFormat="1" ht="13.2" x14ac:dyDescent="0.25"/>
    <row r="2632" customFormat="1" ht="13.2" x14ac:dyDescent="0.25"/>
    <row r="2633" customFormat="1" ht="13.2" x14ac:dyDescent="0.25"/>
    <row r="2634" customFormat="1" ht="13.2" x14ac:dyDescent="0.25"/>
    <row r="2635" customFormat="1" ht="13.2" x14ac:dyDescent="0.25"/>
    <row r="2636" customFormat="1" ht="13.2" x14ac:dyDescent="0.25"/>
    <row r="2637" customFormat="1" ht="13.2" x14ac:dyDescent="0.25"/>
    <row r="2638" customFormat="1" ht="13.2" x14ac:dyDescent="0.25"/>
    <row r="2639" customFormat="1" ht="13.2" x14ac:dyDescent="0.25"/>
    <row r="2640" customFormat="1" ht="13.2" x14ac:dyDescent="0.25"/>
    <row r="2641" customFormat="1" ht="13.2" x14ac:dyDescent="0.25"/>
    <row r="2642" customFormat="1" ht="13.2" x14ac:dyDescent="0.25"/>
    <row r="2643" customFormat="1" ht="13.2" x14ac:dyDescent="0.25"/>
    <row r="2644" customFormat="1" ht="13.2" x14ac:dyDescent="0.25"/>
    <row r="2645" customFormat="1" ht="13.2" x14ac:dyDescent="0.25"/>
    <row r="2646" customFormat="1" ht="13.2" x14ac:dyDescent="0.25"/>
    <row r="2647" customFormat="1" ht="13.2" x14ac:dyDescent="0.25"/>
    <row r="2648" customFormat="1" ht="13.2" x14ac:dyDescent="0.25"/>
    <row r="2649" customFormat="1" ht="13.2" x14ac:dyDescent="0.25"/>
    <row r="2650" customFormat="1" ht="13.2" x14ac:dyDescent="0.25"/>
    <row r="2651" customFormat="1" ht="13.2" x14ac:dyDescent="0.25"/>
    <row r="2652" customFormat="1" ht="13.2" x14ac:dyDescent="0.25"/>
    <row r="2653" customFormat="1" ht="13.2" x14ac:dyDescent="0.25"/>
    <row r="2654" customFormat="1" ht="13.2" x14ac:dyDescent="0.25"/>
    <row r="2655" customFormat="1" ht="13.2" x14ac:dyDescent="0.25"/>
    <row r="2656" customFormat="1" ht="13.2" x14ac:dyDescent="0.25"/>
    <row r="2657" customFormat="1" ht="13.2" x14ac:dyDescent="0.25"/>
    <row r="2658" customFormat="1" ht="13.2" x14ac:dyDescent="0.25"/>
    <row r="2659" customFormat="1" ht="13.2" x14ac:dyDescent="0.25"/>
    <row r="2660" customFormat="1" ht="13.2" x14ac:dyDescent="0.25"/>
    <row r="2661" customFormat="1" ht="13.2" x14ac:dyDescent="0.25"/>
    <row r="2662" customFormat="1" ht="13.2" x14ac:dyDescent="0.25"/>
    <row r="2663" customFormat="1" ht="13.2" x14ac:dyDescent="0.25"/>
    <row r="2664" customFormat="1" ht="13.2" x14ac:dyDescent="0.25"/>
    <row r="2665" customFormat="1" ht="13.2" x14ac:dyDescent="0.25"/>
    <row r="2666" customFormat="1" ht="13.2" x14ac:dyDescent="0.25"/>
    <row r="2667" customFormat="1" ht="13.2" x14ac:dyDescent="0.25"/>
    <row r="2668" customFormat="1" ht="13.2" x14ac:dyDescent="0.25"/>
    <row r="2669" customFormat="1" ht="13.2" x14ac:dyDescent="0.25"/>
    <row r="2670" customFormat="1" ht="13.2" x14ac:dyDescent="0.25"/>
    <row r="2671" customFormat="1" ht="13.2" x14ac:dyDescent="0.25"/>
    <row r="2672" customFormat="1" ht="13.2" x14ac:dyDescent="0.25"/>
    <row r="2673" customFormat="1" ht="13.2" x14ac:dyDescent="0.25"/>
    <row r="2674" customFormat="1" ht="13.2" x14ac:dyDescent="0.25"/>
    <row r="2675" customFormat="1" ht="13.2" x14ac:dyDescent="0.25"/>
    <row r="2676" customFormat="1" ht="13.2" x14ac:dyDescent="0.25"/>
    <row r="2677" customFormat="1" ht="13.2" x14ac:dyDescent="0.25"/>
    <row r="2678" customFormat="1" ht="13.2" x14ac:dyDescent="0.25"/>
    <row r="2679" customFormat="1" ht="13.2" x14ac:dyDescent="0.25"/>
    <row r="2680" customFormat="1" ht="13.2" x14ac:dyDescent="0.25"/>
    <row r="2681" customFormat="1" ht="13.2" x14ac:dyDescent="0.25"/>
    <row r="2682" customFormat="1" ht="13.2" x14ac:dyDescent="0.25"/>
    <row r="2683" customFormat="1" ht="13.2" x14ac:dyDescent="0.25"/>
    <row r="2684" customFormat="1" ht="13.2" x14ac:dyDescent="0.25"/>
    <row r="2685" customFormat="1" ht="13.2" x14ac:dyDescent="0.25"/>
    <row r="2686" customFormat="1" ht="13.2" x14ac:dyDescent="0.25"/>
    <row r="2687" customFormat="1" ht="13.2" x14ac:dyDescent="0.25"/>
    <row r="2688" customFormat="1" ht="13.2" x14ac:dyDescent="0.25"/>
    <row r="2689" customFormat="1" ht="13.2" x14ac:dyDescent="0.25"/>
    <row r="2690" customFormat="1" ht="13.2" x14ac:dyDescent="0.25"/>
    <row r="2691" customFormat="1" ht="13.2" x14ac:dyDescent="0.25"/>
    <row r="2692" customFormat="1" ht="13.2" x14ac:dyDescent="0.25"/>
    <row r="2693" customFormat="1" ht="13.2" x14ac:dyDescent="0.25"/>
    <row r="2694" customFormat="1" ht="13.2" x14ac:dyDescent="0.25"/>
    <row r="2695" customFormat="1" ht="13.2" x14ac:dyDescent="0.25"/>
    <row r="2696" customFormat="1" ht="13.2" x14ac:dyDescent="0.25"/>
    <row r="2697" customFormat="1" ht="13.2" x14ac:dyDescent="0.25"/>
    <row r="2698" customFormat="1" ht="13.2" x14ac:dyDescent="0.25"/>
    <row r="2699" customFormat="1" ht="13.2" x14ac:dyDescent="0.25"/>
    <row r="2700" customFormat="1" ht="13.2" x14ac:dyDescent="0.25"/>
    <row r="2701" customFormat="1" ht="13.2" x14ac:dyDescent="0.25"/>
    <row r="2702" customFormat="1" ht="13.2" x14ac:dyDescent="0.25"/>
    <row r="2703" customFormat="1" ht="13.2" x14ac:dyDescent="0.25"/>
    <row r="2704" customFormat="1" ht="13.2" x14ac:dyDescent="0.25"/>
    <row r="2705" customFormat="1" ht="13.2" x14ac:dyDescent="0.25"/>
    <row r="2706" customFormat="1" ht="13.2" x14ac:dyDescent="0.25"/>
    <row r="2707" customFormat="1" ht="13.2" x14ac:dyDescent="0.25"/>
    <row r="2708" customFormat="1" ht="13.2" x14ac:dyDescent="0.25"/>
    <row r="2709" customFormat="1" ht="13.2" x14ac:dyDescent="0.25"/>
    <row r="2710" customFormat="1" ht="13.2" x14ac:dyDescent="0.25"/>
    <row r="2711" customFormat="1" ht="13.2" x14ac:dyDescent="0.25"/>
    <row r="2712" customFormat="1" ht="13.2" x14ac:dyDescent="0.25"/>
    <row r="2713" customFormat="1" ht="13.2" x14ac:dyDescent="0.25"/>
    <row r="2714" customFormat="1" ht="13.2" x14ac:dyDescent="0.25"/>
    <row r="2715" customFormat="1" ht="13.2" x14ac:dyDescent="0.25"/>
    <row r="2716" customFormat="1" ht="13.2" x14ac:dyDescent="0.25"/>
    <row r="2717" customFormat="1" ht="13.2" x14ac:dyDescent="0.25"/>
    <row r="2718" customFormat="1" ht="13.2" x14ac:dyDescent="0.25"/>
    <row r="2719" customFormat="1" ht="13.2" x14ac:dyDescent="0.25"/>
    <row r="2720" customFormat="1" ht="13.2" x14ac:dyDescent="0.25"/>
    <row r="2721" customFormat="1" ht="13.2" x14ac:dyDescent="0.25"/>
    <row r="2722" customFormat="1" ht="13.2" x14ac:dyDescent="0.25"/>
    <row r="2723" customFormat="1" ht="13.2" x14ac:dyDescent="0.25"/>
    <row r="2724" customFormat="1" ht="13.2" x14ac:dyDescent="0.25"/>
    <row r="2725" customFormat="1" ht="13.2" x14ac:dyDescent="0.25"/>
    <row r="2726" customFormat="1" ht="13.2" x14ac:dyDescent="0.25"/>
    <row r="2727" customFormat="1" ht="13.2" x14ac:dyDescent="0.25"/>
    <row r="2728" customFormat="1" ht="13.2" x14ac:dyDescent="0.25"/>
    <row r="2729" customFormat="1" ht="13.2" x14ac:dyDescent="0.25"/>
    <row r="2730" customFormat="1" ht="13.2" x14ac:dyDescent="0.25"/>
    <row r="2731" customFormat="1" ht="13.2" x14ac:dyDescent="0.25"/>
    <row r="2732" customFormat="1" ht="13.2" x14ac:dyDescent="0.25"/>
    <row r="2733" customFormat="1" ht="13.2" x14ac:dyDescent="0.25"/>
    <row r="2734" customFormat="1" ht="13.2" x14ac:dyDescent="0.25"/>
    <row r="2735" customFormat="1" ht="13.2" x14ac:dyDescent="0.25"/>
    <row r="2736" customFormat="1" ht="13.2" x14ac:dyDescent="0.25"/>
    <row r="2737" customFormat="1" ht="13.2" x14ac:dyDescent="0.25"/>
    <row r="2738" customFormat="1" ht="13.2" x14ac:dyDescent="0.25"/>
    <row r="2739" customFormat="1" ht="13.2" x14ac:dyDescent="0.25"/>
    <row r="2740" customFormat="1" ht="13.2" x14ac:dyDescent="0.25"/>
    <row r="2741" customFormat="1" ht="13.2" x14ac:dyDescent="0.25"/>
    <row r="2742" customFormat="1" ht="13.2" x14ac:dyDescent="0.25"/>
    <row r="2743" customFormat="1" ht="13.2" x14ac:dyDescent="0.25"/>
    <row r="2744" customFormat="1" ht="13.2" x14ac:dyDescent="0.25"/>
    <row r="2745" customFormat="1" ht="13.2" x14ac:dyDescent="0.25"/>
    <row r="2746" customFormat="1" ht="13.2" x14ac:dyDescent="0.25"/>
    <row r="2747" customFormat="1" ht="13.2" x14ac:dyDescent="0.25"/>
    <row r="2748" customFormat="1" ht="13.2" x14ac:dyDescent="0.25"/>
    <row r="2749" customFormat="1" ht="13.2" x14ac:dyDescent="0.25"/>
    <row r="2750" customFormat="1" ht="13.2" x14ac:dyDescent="0.25"/>
    <row r="2751" customFormat="1" ht="13.2" x14ac:dyDescent="0.25"/>
    <row r="2752" customFormat="1" ht="13.2" x14ac:dyDescent="0.25"/>
    <row r="2753" customFormat="1" ht="13.2" x14ac:dyDescent="0.25"/>
    <row r="2754" customFormat="1" ht="13.2" x14ac:dyDescent="0.25"/>
    <row r="2755" customFormat="1" ht="13.2" x14ac:dyDescent="0.25"/>
    <row r="2756" customFormat="1" ht="13.2" x14ac:dyDescent="0.25"/>
    <row r="2757" customFormat="1" ht="13.2" x14ac:dyDescent="0.25"/>
    <row r="2758" customFormat="1" ht="13.2" x14ac:dyDescent="0.25"/>
    <row r="2759" customFormat="1" ht="13.2" x14ac:dyDescent="0.25"/>
    <row r="2760" customFormat="1" ht="13.2" x14ac:dyDescent="0.25"/>
    <row r="2761" customFormat="1" ht="13.2" x14ac:dyDescent="0.25"/>
    <row r="2762" customFormat="1" ht="13.2" x14ac:dyDescent="0.25"/>
    <row r="2763" customFormat="1" ht="13.2" x14ac:dyDescent="0.25"/>
    <row r="2764" customFormat="1" ht="13.2" x14ac:dyDescent="0.25"/>
    <row r="2765" customFormat="1" ht="13.2" x14ac:dyDescent="0.25"/>
    <row r="2766" customFormat="1" ht="13.2" x14ac:dyDescent="0.25"/>
    <row r="2767" customFormat="1" ht="13.2" x14ac:dyDescent="0.25"/>
    <row r="2768" customFormat="1" ht="13.2" x14ac:dyDescent="0.25"/>
    <row r="2769" customFormat="1" ht="13.2" x14ac:dyDescent="0.25"/>
    <row r="2770" customFormat="1" ht="13.2" x14ac:dyDescent="0.25"/>
    <row r="2771" customFormat="1" ht="13.2" x14ac:dyDescent="0.25"/>
    <row r="2772" customFormat="1" ht="13.2" x14ac:dyDescent="0.25"/>
    <row r="2773" customFormat="1" ht="13.2" x14ac:dyDescent="0.25"/>
    <row r="2774" customFormat="1" ht="13.2" x14ac:dyDescent="0.25"/>
    <row r="2775" customFormat="1" ht="13.2" x14ac:dyDescent="0.25"/>
    <row r="2776" customFormat="1" ht="13.2" x14ac:dyDescent="0.25"/>
    <row r="2777" customFormat="1" ht="13.2" x14ac:dyDescent="0.25"/>
    <row r="2778" customFormat="1" ht="13.2" x14ac:dyDescent="0.25"/>
    <row r="2779" customFormat="1" ht="13.2" x14ac:dyDescent="0.25"/>
    <row r="2780" customFormat="1" ht="13.2" x14ac:dyDescent="0.25"/>
    <row r="2781" customFormat="1" ht="13.2" x14ac:dyDescent="0.25"/>
    <row r="2782" customFormat="1" ht="13.2" x14ac:dyDescent="0.25"/>
    <row r="2783" customFormat="1" ht="13.2" x14ac:dyDescent="0.25"/>
    <row r="2784" customFormat="1" ht="13.2" x14ac:dyDescent="0.25"/>
    <row r="2785" customFormat="1" ht="13.2" x14ac:dyDescent="0.25"/>
    <row r="2786" customFormat="1" ht="13.2" x14ac:dyDescent="0.25"/>
    <row r="2787" customFormat="1" ht="13.2" x14ac:dyDescent="0.25"/>
    <row r="2788" customFormat="1" ht="13.2" x14ac:dyDescent="0.25"/>
    <row r="2789" customFormat="1" ht="13.2" x14ac:dyDescent="0.25"/>
    <row r="2790" customFormat="1" ht="13.2" x14ac:dyDescent="0.25"/>
    <row r="2791" customFormat="1" ht="13.2" x14ac:dyDescent="0.25"/>
    <row r="2792" customFormat="1" ht="13.2" x14ac:dyDescent="0.25"/>
    <row r="2793" customFormat="1" ht="13.2" x14ac:dyDescent="0.25"/>
    <row r="2794" customFormat="1" ht="13.2" x14ac:dyDescent="0.25"/>
    <row r="2795" customFormat="1" ht="13.2" x14ac:dyDescent="0.25"/>
    <row r="2796" customFormat="1" ht="13.2" x14ac:dyDescent="0.25"/>
    <row r="2797" customFormat="1" ht="13.2" x14ac:dyDescent="0.25"/>
    <row r="2798" customFormat="1" ht="13.2" x14ac:dyDescent="0.25"/>
    <row r="2799" customFormat="1" ht="13.2" x14ac:dyDescent="0.25"/>
    <row r="2800" customFormat="1" ht="13.2" x14ac:dyDescent="0.25"/>
    <row r="2801" customFormat="1" ht="13.2" x14ac:dyDescent="0.25"/>
    <row r="2802" customFormat="1" ht="13.2" x14ac:dyDescent="0.25"/>
    <row r="2803" customFormat="1" ht="13.2" x14ac:dyDescent="0.25"/>
    <row r="2804" customFormat="1" ht="13.2" x14ac:dyDescent="0.25"/>
    <row r="2805" customFormat="1" ht="13.2" x14ac:dyDescent="0.25"/>
    <row r="2806" customFormat="1" ht="13.2" x14ac:dyDescent="0.25"/>
    <row r="2807" customFormat="1" ht="13.2" x14ac:dyDescent="0.25"/>
    <row r="2808" customFormat="1" ht="13.2" x14ac:dyDescent="0.25"/>
    <row r="2809" customFormat="1" ht="13.2" x14ac:dyDescent="0.25"/>
    <row r="2810" customFormat="1" ht="13.2" x14ac:dyDescent="0.25"/>
    <row r="2811" customFormat="1" ht="13.2" x14ac:dyDescent="0.25"/>
    <row r="2812" customFormat="1" ht="13.2" x14ac:dyDescent="0.25"/>
    <row r="2813" customFormat="1" ht="13.2" x14ac:dyDescent="0.25"/>
    <row r="2814" customFormat="1" ht="13.2" x14ac:dyDescent="0.25"/>
    <row r="2815" customFormat="1" ht="13.2" x14ac:dyDescent="0.25"/>
    <row r="2816" customFormat="1" ht="13.2" x14ac:dyDescent="0.25"/>
    <row r="2817" customFormat="1" ht="13.2" x14ac:dyDescent="0.25"/>
    <row r="2818" customFormat="1" ht="13.2" x14ac:dyDescent="0.25"/>
    <row r="2819" customFormat="1" ht="13.2" x14ac:dyDescent="0.25"/>
    <row r="2820" customFormat="1" ht="13.2" x14ac:dyDescent="0.25"/>
    <row r="2821" customFormat="1" ht="13.2" x14ac:dyDescent="0.25"/>
    <row r="2822" customFormat="1" ht="13.2" x14ac:dyDescent="0.25"/>
    <row r="2823" customFormat="1" ht="13.2" x14ac:dyDescent="0.25"/>
    <row r="2824" customFormat="1" ht="13.2" x14ac:dyDescent="0.25"/>
    <row r="2825" customFormat="1" ht="13.2" x14ac:dyDescent="0.25"/>
    <row r="2826" customFormat="1" ht="13.2" x14ac:dyDescent="0.25"/>
    <row r="2827" customFormat="1" ht="13.2" x14ac:dyDescent="0.25"/>
    <row r="2828" customFormat="1" ht="13.2" x14ac:dyDescent="0.25"/>
    <row r="2829" customFormat="1" ht="13.2" x14ac:dyDescent="0.25"/>
    <row r="2830" customFormat="1" ht="13.2" x14ac:dyDescent="0.25"/>
    <row r="2831" customFormat="1" ht="13.2" x14ac:dyDescent="0.25"/>
    <row r="2832" customFormat="1" ht="13.2" x14ac:dyDescent="0.25"/>
    <row r="2833" customFormat="1" ht="13.2" x14ac:dyDescent="0.25"/>
    <row r="2834" customFormat="1" ht="13.2" x14ac:dyDescent="0.25"/>
    <row r="2835" customFormat="1" ht="13.2" x14ac:dyDescent="0.25"/>
    <row r="2836" customFormat="1" ht="13.2" x14ac:dyDescent="0.25"/>
    <row r="2837" customFormat="1" ht="13.2" x14ac:dyDescent="0.25"/>
    <row r="2838" customFormat="1" ht="13.2" x14ac:dyDescent="0.25"/>
    <row r="2839" customFormat="1" ht="13.2" x14ac:dyDescent="0.25"/>
    <row r="2840" customFormat="1" ht="13.2" x14ac:dyDescent="0.25"/>
    <row r="2841" customFormat="1" ht="13.2" x14ac:dyDescent="0.25"/>
    <row r="2842" customFormat="1" ht="13.2" x14ac:dyDescent="0.25"/>
    <row r="2843" customFormat="1" ht="13.2" x14ac:dyDescent="0.25"/>
    <row r="2844" customFormat="1" ht="13.2" x14ac:dyDescent="0.25"/>
    <row r="2845" customFormat="1" ht="13.2" x14ac:dyDescent="0.25"/>
    <row r="2846" customFormat="1" ht="13.2" x14ac:dyDescent="0.25"/>
    <row r="2847" customFormat="1" ht="13.2" x14ac:dyDescent="0.25"/>
    <row r="2848" customFormat="1" ht="13.2" x14ac:dyDescent="0.25"/>
    <row r="2849" customFormat="1" ht="13.2" x14ac:dyDescent="0.25"/>
    <row r="2850" customFormat="1" ht="13.2" x14ac:dyDescent="0.25"/>
    <row r="2851" customFormat="1" ht="13.2" x14ac:dyDescent="0.25"/>
    <row r="2852" customFormat="1" ht="13.2" x14ac:dyDescent="0.25"/>
    <row r="2853" customFormat="1" ht="13.2" x14ac:dyDescent="0.25"/>
    <row r="2854" customFormat="1" ht="13.2" x14ac:dyDescent="0.25"/>
    <row r="2855" customFormat="1" ht="13.2" x14ac:dyDescent="0.25"/>
    <row r="2856" customFormat="1" ht="13.2" x14ac:dyDescent="0.25"/>
    <row r="2857" customFormat="1" ht="13.2" x14ac:dyDescent="0.25"/>
    <row r="2858" customFormat="1" ht="13.2" x14ac:dyDescent="0.25"/>
    <row r="2859" customFormat="1" ht="13.2" x14ac:dyDescent="0.25"/>
    <row r="2860" customFormat="1" ht="13.2" x14ac:dyDescent="0.25"/>
    <row r="2861" customFormat="1" ht="13.2" x14ac:dyDescent="0.25"/>
    <row r="2862" customFormat="1" ht="13.2" x14ac:dyDescent="0.25"/>
    <row r="2863" customFormat="1" ht="13.2" x14ac:dyDescent="0.25"/>
    <row r="2864" customFormat="1" ht="13.2" x14ac:dyDescent="0.25"/>
    <row r="2865" customFormat="1" ht="13.2" x14ac:dyDescent="0.25"/>
    <row r="2866" customFormat="1" ht="13.2" x14ac:dyDescent="0.25"/>
    <row r="2867" customFormat="1" ht="13.2" x14ac:dyDescent="0.25"/>
    <row r="2868" customFormat="1" ht="13.2" x14ac:dyDescent="0.25"/>
    <row r="2869" customFormat="1" ht="13.2" x14ac:dyDescent="0.25"/>
    <row r="2870" customFormat="1" ht="13.2" x14ac:dyDescent="0.25"/>
    <row r="2871" customFormat="1" ht="13.2" x14ac:dyDescent="0.25"/>
    <row r="2872" customFormat="1" ht="13.2" x14ac:dyDescent="0.25"/>
    <row r="2873" customFormat="1" ht="13.2" x14ac:dyDescent="0.25"/>
    <row r="2874" customFormat="1" ht="13.2" x14ac:dyDescent="0.25"/>
    <row r="2875" customFormat="1" ht="13.2" x14ac:dyDescent="0.25"/>
    <row r="2876" customFormat="1" ht="13.2" x14ac:dyDescent="0.25"/>
    <row r="2877" customFormat="1" ht="13.2" x14ac:dyDescent="0.25"/>
    <row r="2878" customFormat="1" ht="13.2" x14ac:dyDescent="0.25"/>
    <row r="2879" customFormat="1" ht="13.2" x14ac:dyDescent="0.25"/>
    <row r="2880" customFormat="1" ht="13.2" x14ac:dyDescent="0.25"/>
    <row r="2881" customFormat="1" ht="13.2" x14ac:dyDescent="0.25"/>
    <row r="2882" customFormat="1" ht="13.2" x14ac:dyDescent="0.25"/>
    <row r="2883" customFormat="1" ht="13.2" x14ac:dyDescent="0.25"/>
    <row r="2884" customFormat="1" ht="13.2" x14ac:dyDescent="0.25"/>
    <row r="2885" customFormat="1" ht="13.2" x14ac:dyDescent="0.25"/>
    <row r="2886" customFormat="1" ht="13.2" x14ac:dyDescent="0.25"/>
    <row r="2887" customFormat="1" ht="13.2" x14ac:dyDescent="0.25"/>
    <row r="2888" customFormat="1" ht="13.2" x14ac:dyDescent="0.25"/>
    <row r="2889" customFormat="1" ht="13.2" x14ac:dyDescent="0.25"/>
    <row r="2890" customFormat="1" ht="13.2" x14ac:dyDescent="0.25"/>
    <row r="2891" customFormat="1" ht="13.2" x14ac:dyDescent="0.25"/>
    <row r="2892" customFormat="1" ht="13.2" x14ac:dyDescent="0.25"/>
    <row r="2893" customFormat="1" ht="13.2" x14ac:dyDescent="0.25"/>
    <row r="2894" customFormat="1" ht="13.2" x14ac:dyDescent="0.25"/>
    <row r="2895" customFormat="1" ht="13.2" x14ac:dyDescent="0.25"/>
    <row r="2896" customFormat="1" ht="13.2" x14ac:dyDescent="0.25"/>
    <row r="2897" customFormat="1" ht="13.2" x14ac:dyDescent="0.25"/>
    <row r="2898" customFormat="1" ht="13.2" x14ac:dyDescent="0.25"/>
    <row r="2899" customFormat="1" ht="13.2" x14ac:dyDescent="0.25"/>
    <row r="2900" customFormat="1" ht="13.2" x14ac:dyDescent="0.25"/>
    <row r="2901" customFormat="1" ht="13.2" x14ac:dyDescent="0.25"/>
    <row r="2902" customFormat="1" ht="13.2" x14ac:dyDescent="0.25"/>
    <row r="2903" customFormat="1" ht="13.2" x14ac:dyDescent="0.25"/>
    <row r="2904" customFormat="1" ht="13.2" x14ac:dyDescent="0.25"/>
    <row r="2905" customFormat="1" ht="13.2" x14ac:dyDescent="0.25"/>
    <row r="2906" customFormat="1" ht="13.2" x14ac:dyDescent="0.25"/>
    <row r="2907" customFormat="1" ht="13.2" x14ac:dyDescent="0.25"/>
    <row r="2908" customFormat="1" ht="13.2" x14ac:dyDescent="0.25"/>
    <row r="2909" customFormat="1" ht="13.2" x14ac:dyDescent="0.25"/>
    <row r="2910" customFormat="1" ht="13.2" x14ac:dyDescent="0.25"/>
    <row r="2911" customFormat="1" ht="13.2" x14ac:dyDescent="0.25"/>
    <row r="2912" customFormat="1" ht="13.2" x14ac:dyDescent="0.25"/>
    <row r="2913" customFormat="1" ht="13.2" x14ac:dyDescent="0.25"/>
    <row r="2914" customFormat="1" ht="13.2" x14ac:dyDescent="0.25"/>
    <row r="2915" customFormat="1" ht="13.2" x14ac:dyDescent="0.25"/>
    <row r="2916" customFormat="1" ht="13.2" x14ac:dyDescent="0.25"/>
    <row r="2917" customFormat="1" ht="13.2" x14ac:dyDescent="0.25"/>
    <row r="2918" customFormat="1" ht="13.2" x14ac:dyDescent="0.25"/>
    <row r="2919" customFormat="1" ht="13.2" x14ac:dyDescent="0.25"/>
    <row r="2920" customFormat="1" ht="13.2" x14ac:dyDescent="0.25"/>
    <row r="2921" customFormat="1" ht="13.2" x14ac:dyDescent="0.25"/>
    <row r="2922" customFormat="1" ht="13.2" x14ac:dyDescent="0.25"/>
    <row r="2923" customFormat="1" ht="13.2" x14ac:dyDescent="0.25"/>
    <row r="2924" customFormat="1" ht="13.2" x14ac:dyDescent="0.25"/>
    <row r="2925" customFormat="1" ht="13.2" x14ac:dyDescent="0.25"/>
    <row r="2926" customFormat="1" ht="13.2" x14ac:dyDescent="0.25"/>
    <row r="2927" customFormat="1" ht="13.2" x14ac:dyDescent="0.25"/>
    <row r="2928" customFormat="1" ht="13.2" x14ac:dyDescent="0.25"/>
    <row r="2929" customFormat="1" ht="13.2" x14ac:dyDescent="0.25"/>
    <row r="2930" customFormat="1" ht="13.2" x14ac:dyDescent="0.25"/>
    <row r="2931" customFormat="1" ht="13.2" x14ac:dyDescent="0.25"/>
    <row r="2932" customFormat="1" ht="13.2" x14ac:dyDescent="0.25"/>
    <row r="2933" customFormat="1" ht="13.2" x14ac:dyDescent="0.25"/>
    <row r="2934" customFormat="1" ht="13.2" x14ac:dyDescent="0.25"/>
    <row r="2935" customFormat="1" ht="13.2" x14ac:dyDescent="0.25"/>
    <row r="2936" customFormat="1" ht="13.2" x14ac:dyDescent="0.25"/>
    <row r="2937" customFormat="1" ht="13.2" x14ac:dyDescent="0.25"/>
    <row r="2938" customFormat="1" ht="13.2" x14ac:dyDescent="0.25"/>
    <row r="2939" customFormat="1" ht="13.2" x14ac:dyDescent="0.25"/>
    <row r="2940" customFormat="1" ht="13.2" x14ac:dyDescent="0.25"/>
    <row r="2941" customFormat="1" ht="13.2" x14ac:dyDescent="0.25"/>
    <row r="2942" customFormat="1" ht="13.2" x14ac:dyDescent="0.25"/>
    <row r="2943" customFormat="1" ht="13.2" x14ac:dyDescent="0.25"/>
    <row r="2944" customFormat="1" ht="13.2" x14ac:dyDescent="0.25"/>
    <row r="2945" customFormat="1" ht="13.2" x14ac:dyDescent="0.25"/>
    <row r="2946" customFormat="1" ht="13.2" x14ac:dyDescent="0.25"/>
    <row r="2947" customFormat="1" ht="13.2" x14ac:dyDescent="0.25"/>
    <row r="2948" customFormat="1" ht="13.2" x14ac:dyDescent="0.25"/>
    <row r="2949" customFormat="1" ht="13.2" x14ac:dyDescent="0.25"/>
    <row r="2950" customFormat="1" ht="13.2" x14ac:dyDescent="0.25"/>
    <row r="2951" customFormat="1" ht="13.2" x14ac:dyDescent="0.25"/>
    <row r="2952" customFormat="1" ht="13.2" x14ac:dyDescent="0.25"/>
    <row r="2953" customFormat="1" ht="13.2" x14ac:dyDescent="0.25"/>
    <row r="2954" customFormat="1" ht="13.2" x14ac:dyDescent="0.25"/>
    <row r="2955" customFormat="1" ht="13.2" x14ac:dyDescent="0.25"/>
    <row r="2956" customFormat="1" ht="13.2" x14ac:dyDescent="0.25"/>
    <row r="2957" customFormat="1" ht="13.2" x14ac:dyDescent="0.25"/>
    <row r="2958" customFormat="1" ht="13.2" x14ac:dyDescent="0.25"/>
    <row r="2959" customFormat="1" ht="13.2" x14ac:dyDescent="0.25"/>
    <row r="2960" customFormat="1" ht="13.2" x14ac:dyDescent="0.25"/>
    <row r="2961" customFormat="1" ht="13.2" x14ac:dyDescent="0.25"/>
    <row r="2962" customFormat="1" ht="13.2" x14ac:dyDescent="0.25"/>
    <row r="2963" customFormat="1" ht="13.2" x14ac:dyDescent="0.25"/>
    <row r="2964" customFormat="1" ht="13.2" x14ac:dyDescent="0.25"/>
    <row r="2965" customFormat="1" ht="13.2" x14ac:dyDescent="0.25"/>
    <row r="2966" customFormat="1" ht="13.2" x14ac:dyDescent="0.25"/>
    <row r="2967" customFormat="1" ht="13.2" x14ac:dyDescent="0.25"/>
    <row r="2968" customFormat="1" ht="13.2" x14ac:dyDescent="0.25"/>
    <row r="2969" customFormat="1" ht="13.2" x14ac:dyDescent="0.25"/>
    <row r="2970" customFormat="1" ht="13.2" x14ac:dyDescent="0.25"/>
    <row r="2971" customFormat="1" ht="13.2" x14ac:dyDescent="0.25"/>
    <row r="2972" customFormat="1" ht="13.2" x14ac:dyDescent="0.25"/>
    <row r="2973" customFormat="1" ht="13.2" x14ac:dyDescent="0.25"/>
    <row r="2974" customFormat="1" ht="13.2" x14ac:dyDescent="0.25"/>
    <row r="2975" customFormat="1" ht="13.2" x14ac:dyDescent="0.25"/>
    <row r="2976" customFormat="1" ht="13.2" x14ac:dyDescent="0.25"/>
    <row r="2977" customFormat="1" ht="13.2" x14ac:dyDescent="0.25"/>
    <row r="2978" customFormat="1" ht="13.2" x14ac:dyDescent="0.25"/>
    <row r="2979" customFormat="1" ht="13.2" x14ac:dyDescent="0.25"/>
    <row r="2980" customFormat="1" ht="13.2" x14ac:dyDescent="0.25"/>
    <row r="2981" customFormat="1" ht="13.2" x14ac:dyDescent="0.25"/>
    <row r="2982" customFormat="1" ht="13.2" x14ac:dyDescent="0.25"/>
    <row r="2983" customFormat="1" ht="13.2" x14ac:dyDescent="0.25"/>
    <row r="2984" customFormat="1" ht="13.2" x14ac:dyDescent="0.25"/>
    <row r="2985" customFormat="1" ht="13.2" x14ac:dyDescent="0.25"/>
    <row r="2986" customFormat="1" ht="13.2" x14ac:dyDescent="0.25"/>
    <row r="2987" customFormat="1" ht="13.2" x14ac:dyDescent="0.25"/>
    <row r="2988" customFormat="1" ht="13.2" x14ac:dyDescent="0.25"/>
    <row r="2989" customFormat="1" ht="13.2" x14ac:dyDescent="0.25"/>
    <row r="2990" customFormat="1" ht="13.2" x14ac:dyDescent="0.25"/>
    <row r="2991" customFormat="1" ht="13.2" x14ac:dyDescent="0.25"/>
    <row r="2992" customFormat="1" ht="13.2" x14ac:dyDescent="0.25"/>
    <row r="2993" customFormat="1" ht="13.2" x14ac:dyDescent="0.25"/>
    <row r="2994" customFormat="1" ht="13.2" x14ac:dyDescent="0.25"/>
    <row r="2995" customFormat="1" ht="13.2" x14ac:dyDescent="0.25"/>
    <row r="2996" customFormat="1" ht="13.2" x14ac:dyDescent="0.25"/>
    <row r="2997" customFormat="1" ht="13.2" x14ac:dyDescent="0.25"/>
    <row r="2998" customFormat="1" ht="13.2" x14ac:dyDescent="0.25"/>
    <row r="2999" customFormat="1" ht="13.2" x14ac:dyDescent="0.25"/>
    <row r="3000" customFormat="1" ht="13.2" x14ac:dyDescent="0.25"/>
    <row r="3001" customFormat="1" ht="13.2" x14ac:dyDescent="0.25"/>
    <row r="3002" customFormat="1" ht="13.2" x14ac:dyDescent="0.25"/>
    <row r="3003" customFormat="1" ht="13.2" x14ac:dyDescent="0.25"/>
    <row r="3004" customFormat="1" ht="13.2" x14ac:dyDescent="0.25"/>
    <row r="3005" customFormat="1" ht="13.2" x14ac:dyDescent="0.25"/>
    <row r="3006" customFormat="1" ht="13.2" x14ac:dyDescent="0.25"/>
    <row r="3007" customFormat="1" ht="13.2" x14ac:dyDescent="0.25"/>
    <row r="3008" customFormat="1" ht="13.2" x14ac:dyDescent="0.25"/>
    <row r="3009" customFormat="1" ht="13.2" x14ac:dyDescent="0.25"/>
    <row r="3010" customFormat="1" ht="13.2" x14ac:dyDescent="0.25"/>
    <row r="3011" customFormat="1" ht="13.2" x14ac:dyDescent="0.25"/>
    <row r="3012" customFormat="1" ht="13.2" x14ac:dyDescent="0.25"/>
    <row r="3013" customFormat="1" ht="13.2" x14ac:dyDescent="0.25"/>
    <row r="3014" customFormat="1" ht="13.2" x14ac:dyDescent="0.25"/>
    <row r="3015" customFormat="1" ht="13.2" x14ac:dyDescent="0.25"/>
    <row r="3016" customFormat="1" ht="13.2" x14ac:dyDescent="0.25"/>
    <row r="3017" customFormat="1" ht="13.2" x14ac:dyDescent="0.25"/>
    <row r="3018" customFormat="1" ht="13.2" x14ac:dyDescent="0.25"/>
    <row r="3019" customFormat="1" ht="13.2" x14ac:dyDescent="0.25"/>
    <row r="3020" customFormat="1" ht="13.2" x14ac:dyDescent="0.25"/>
    <row r="3021" customFormat="1" ht="13.2" x14ac:dyDescent="0.25"/>
    <row r="3022" customFormat="1" ht="13.2" x14ac:dyDescent="0.25"/>
    <row r="3023" customFormat="1" ht="13.2" x14ac:dyDescent="0.25"/>
    <row r="3024" customFormat="1" ht="13.2" x14ac:dyDescent="0.25"/>
    <row r="3025" customFormat="1" ht="13.2" x14ac:dyDescent="0.25"/>
    <row r="3026" customFormat="1" ht="13.2" x14ac:dyDescent="0.25"/>
    <row r="3027" customFormat="1" ht="13.2" x14ac:dyDescent="0.25"/>
    <row r="3028" customFormat="1" ht="13.2" x14ac:dyDescent="0.25"/>
    <row r="3029" customFormat="1" ht="13.2" x14ac:dyDescent="0.25"/>
    <row r="3030" customFormat="1" ht="13.2" x14ac:dyDescent="0.25"/>
    <row r="3031" customFormat="1" ht="13.2" x14ac:dyDescent="0.25"/>
    <row r="3032" customFormat="1" ht="13.2" x14ac:dyDescent="0.25"/>
    <row r="3033" customFormat="1" ht="13.2" x14ac:dyDescent="0.25"/>
    <row r="3034" customFormat="1" ht="13.2" x14ac:dyDescent="0.25"/>
    <row r="3035" customFormat="1" ht="13.2" x14ac:dyDescent="0.25"/>
    <row r="3036" customFormat="1" ht="13.2" x14ac:dyDescent="0.25"/>
    <row r="3037" customFormat="1" ht="13.2" x14ac:dyDescent="0.25"/>
    <row r="3038" customFormat="1" ht="13.2" x14ac:dyDescent="0.25"/>
    <row r="3039" customFormat="1" ht="13.2" x14ac:dyDescent="0.25"/>
    <row r="3040" customFormat="1" ht="13.2" x14ac:dyDescent="0.25"/>
    <row r="3041" customFormat="1" ht="13.2" x14ac:dyDescent="0.25"/>
    <row r="3042" customFormat="1" ht="13.2" x14ac:dyDescent="0.25"/>
    <row r="3043" customFormat="1" ht="13.2" x14ac:dyDescent="0.25"/>
    <row r="3044" customFormat="1" ht="13.2" x14ac:dyDescent="0.25"/>
    <row r="3045" customFormat="1" ht="13.2" x14ac:dyDescent="0.25"/>
    <row r="3046" customFormat="1" ht="13.2" x14ac:dyDescent="0.25"/>
    <row r="3047" customFormat="1" ht="13.2" x14ac:dyDescent="0.25"/>
    <row r="3048" customFormat="1" ht="13.2" x14ac:dyDescent="0.25"/>
    <row r="3049" customFormat="1" ht="13.2" x14ac:dyDescent="0.25"/>
    <row r="3050" customFormat="1" ht="13.2" x14ac:dyDescent="0.25"/>
    <row r="3051" customFormat="1" ht="13.2" x14ac:dyDescent="0.25"/>
    <row r="3052" customFormat="1" ht="13.2" x14ac:dyDescent="0.25"/>
    <row r="3053" customFormat="1" ht="13.2" x14ac:dyDescent="0.25"/>
    <row r="3054" customFormat="1" ht="13.2" x14ac:dyDescent="0.25"/>
    <row r="3055" customFormat="1" ht="13.2" x14ac:dyDescent="0.25"/>
    <row r="3056" customFormat="1" ht="13.2" x14ac:dyDescent="0.25"/>
    <row r="3057" customFormat="1" ht="13.2" x14ac:dyDescent="0.25"/>
    <row r="3058" customFormat="1" ht="13.2" x14ac:dyDescent="0.25"/>
    <row r="3059" customFormat="1" ht="13.2" x14ac:dyDescent="0.25"/>
    <row r="3060" customFormat="1" ht="13.2" x14ac:dyDescent="0.25"/>
    <row r="3061" customFormat="1" ht="13.2" x14ac:dyDescent="0.25"/>
    <row r="3062" customFormat="1" ht="13.2" x14ac:dyDescent="0.25"/>
    <row r="3063" customFormat="1" ht="13.2" x14ac:dyDescent="0.25"/>
    <row r="3064" customFormat="1" ht="13.2" x14ac:dyDescent="0.25"/>
    <row r="3065" customFormat="1" ht="13.2" x14ac:dyDescent="0.25"/>
    <row r="3066" customFormat="1" ht="13.2" x14ac:dyDescent="0.25"/>
    <row r="3067" customFormat="1" ht="13.2" x14ac:dyDescent="0.25"/>
    <row r="3068" customFormat="1" ht="13.2" x14ac:dyDescent="0.25"/>
    <row r="3069" customFormat="1" ht="13.2" x14ac:dyDescent="0.25"/>
    <row r="3070" customFormat="1" ht="13.2" x14ac:dyDescent="0.25"/>
    <row r="3071" customFormat="1" ht="13.2" x14ac:dyDescent="0.25"/>
    <row r="3072" customFormat="1" ht="13.2" x14ac:dyDescent="0.25"/>
    <row r="3073" customFormat="1" ht="13.2" x14ac:dyDescent="0.25"/>
    <row r="3074" customFormat="1" ht="13.2" x14ac:dyDescent="0.25"/>
    <row r="3075" customFormat="1" ht="13.2" x14ac:dyDescent="0.25"/>
    <row r="3076" customFormat="1" ht="13.2" x14ac:dyDescent="0.25"/>
    <row r="3077" customFormat="1" ht="13.2" x14ac:dyDescent="0.25"/>
    <row r="3078" customFormat="1" ht="13.2" x14ac:dyDescent="0.25"/>
    <row r="3079" customFormat="1" ht="13.2" x14ac:dyDescent="0.25"/>
    <row r="3080" customFormat="1" ht="13.2" x14ac:dyDescent="0.25"/>
    <row r="3081" customFormat="1" ht="13.2" x14ac:dyDescent="0.25"/>
    <row r="3082" customFormat="1" ht="13.2" x14ac:dyDescent="0.25"/>
    <row r="3083" customFormat="1" ht="13.2" x14ac:dyDescent="0.25"/>
    <row r="3084" customFormat="1" ht="13.2" x14ac:dyDescent="0.25"/>
    <row r="3085" customFormat="1" ht="13.2" x14ac:dyDescent="0.25"/>
    <row r="3086" customFormat="1" ht="13.2" x14ac:dyDescent="0.25"/>
    <row r="3087" customFormat="1" ht="13.2" x14ac:dyDescent="0.25"/>
    <row r="3088" customFormat="1" ht="13.2" x14ac:dyDescent="0.25"/>
    <row r="3089" customFormat="1" ht="13.2" x14ac:dyDescent="0.25"/>
    <row r="3090" customFormat="1" ht="13.2" x14ac:dyDescent="0.25"/>
    <row r="3091" customFormat="1" ht="13.2" x14ac:dyDescent="0.25"/>
    <row r="3092" customFormat="1" ht="13.2" x14ac:dyDescent="0.25"/>
    <row r="3093" customFormat="1" ht="13.2" x14ac:dyDescent="0.25"/>
    <row r="3094" customFormat="1" ht="13.2" x14ac:dyDescent="0.25"/>
    <row r="3095" customFormat="1" ht="13.2" x14ac:dyDescent="0.25"/>
    <row r="3096" customFormat="1" ht="13.2" x14ac:dyDescent="0.25"/>
    <row r="3097" customFormat="1" ht="13.2" x14ac:dyDescent="0.25"/>
    <row r="3098" customFormat="1" ht="13.2" x14ac:dyDescent="0.25"/>
    <row r="3099" customFormat="1" ht="13.2" x14ac:dyDescent="0.25"/>
    <row r="3100" customFormat="1" ht="13.2" x14ac:dyDescent="0.25"/>
    <row r="3101" customFormat="1" ht="13.2" x14ac:dyDescent="0.25"/>
    <row r="3102" customFormat="1" ht="13.2" x14ac:dyDescent="0.25"/>
    <row r="3103" customFormat="1" ht="13.2" x14ac:dyDescent="0.25"/>
    <row r="3104" customFormat="1" ht="13.2" x14ac:dyDescent="0.25"/>
    <row r="3105" customFormat="1" ht="13.2" x14ac:dyDescent="0.25"/>
    <row r="3106" customFormat="1" ht="13.2" x14ac:dyDescent="0.25"/>
    <row r="3107" customFormat="1" ht="13.2" x14ac:dyDescent="0.25"/>
    <row r="3108" customFormat="1" ht="13.2" x14ac:dyDescent="0.25"/>
    <row r="3109" customFormat="1" ht="13.2" x14ac:dyDescent="0.25"/>
    <row r="3110" customFormat="1" ht="13.2" x14ac:dyDescent="0.25"/>
    <row r="3111" customFormat="1" ht="13.2" x14ac:dyDescent="0.25"/>
    <row r="3112" customFormat="1" ht="13.2" x14ac:dyDescent="0.25"/>
    <row r="3113" customFormat="1" ht="13.2" x14ac:dyDescent="0.25"/>
    <row r="3114" customFormat="1" ht="13.2" x14ac:dyDescent="0.25"/>
    <row r="3115" customFormat="1" ht="13.2" x14ac:dyDescent="0.25"/>
    <row r="3116" customFormat="1" ht="13.2" x14ac:dyDescent="0.25"/>
    <row r="3117" customFormat="1" ht="13.2" x14ac:dyDescent="0.25"/>
    <row r="3118" customFormat="1" ht="13.2" x14ac:dyDescent="0.25"/>
    <row r="3119" customFormat="1" ht="13.2" x14ac:dyDescent="0.25"/>
    <row r="3120" customFormat="1" ht="13.2" x14ac:dyDescent="0.25"/>
    <row r="3121" customFormat="1" ht="13.2" x14ac:dyDescent="0.25"/>
    <row r="3122" customFormat="1" ht="13.2" x14ac:dyDescent="0.25"/>
    <row r="3123" customFormat="1" ht="13.2" x14ac:dyDescent="0.25"/>
    <row r="3124" customFormat="1" ht="13.2" x14ac:dyDescent="0.25"/>
    <row r="3125" customFormat="1" ht="13.2" x14ac:dyDescent="0.25"/>
    <row r="3126" customFormat="1" ht="13.2" x14ac:dyDescent="0.25"/>
    <row r="3127" customFormat="1" ht="13.2" x14ac:dyDescent="0.25"/>
    <row r="3128" customFormat="1" ht="13.2" x14ac:dyDescent="0.25"/>
    <row r="3129" customFormat="1" ht="13.2" x14ac:dyDescent="0.25"/>
    <row r="3130" customFormat="1" ht="13.2" x14ac:dyDescent="0.25"/>
    <row r="3131" customFormat="1" ht="13.2" x14ac:dyDescent="0.25"/>
    <row r="3132" customFormat="1" ht="13.2" x14ac:dyDescent="0.25"/>
    <row r="3133" customFormat="1" ht="13.2" x14ac:dyDescent="0.25"/>
    <row r="3134" customFormat="1" ht="13.2" x14ac:dyDescent="0.25"/>
    <row r="3135" customFormat="1" ht="13.2" x14ac:dyDescent="0.25"/>
    <row r="3136" customFormat="1" ht="13.2" x14ac:dyDescent="0.25"/>
    <row r="3137" customFormat="1" ht="13.2" x14ac:dyDescent="0.25"/>
    <row r="3138" customFormat="1" ht="13.2" x14ac:dyDescent="0.25"/>
    <row r="3139" customFormat="1" ht="13.2" x14ac:dyDescent="0.25"/>
    <row r="3140" customFormat="1" ht="13.2" x14ac:dyDescent="0.25"/>
    <row r="3141" customFormat="1" ht="13.2" x14ac:dyDescent="0.25"/>
    <row r="3142" customFormat="1" ht="13.2" x14ac:dyDescent="0.25"/>
    <row r="3143" customFormat="1" ht="13.2" x14ac:dyDescent="0.25"/>
    <row r="3144" customFormat="1" ht="13.2" x14ac:dyDescent="0.25"/>
    <row r="3145" customFormat="1" ht="13.2" x14ac:dyDescent="0.25"/>
    <row r="3146" customFormat="1" ht="13.2" x14ac:dyDescent="0.25"/>
    <row r="3147" customFormat="1" ht="13.2" x14ac:dyDescent="0.25"/>
    <row r="3148" customFormat="1" ht="13.2" x14ac:dyDescent="0.25"/>
    <row r="3149" customFormat="1" ht="13.2" x14ac:dyDescent="0.25"/>
    <row r="3150" customFormat="1" ht="13.2" x14ac:dyDescent="0.25"/>
    <row r="3151" customFormat="1" ht="13.2" x14ac:dyDescent="0.25"/>
    <row r="3152" customFormat="1" ht="13.2" x14ac:dyDescent="0.25"/>
    <row r="3153" customFormat="1" ht="13.2" x14ac:dyDescent="0.25"/>
    <row r="3154" customFormat="1" ht="13.2" x14ac:dyDescent="0.25"/>
    <row r="3155" customFormat="1" ht="13.2" x14ac:dyDescent="0.25"/>
    <row r="3156" customFormat="1" ht="13.2" x14ac:dyDescent="0.25"/>
    <row r="3157" customFormat="1" ht="13.2" x14ac:dyDescent="0.25"/>
    <row r="3158" customFormat="1" ht="13.2" x14ac:dyDescent="0.25"/>
    <row r="3159" customFormat="1" ht="13.2" x14ac:dyDescent="0.25"/>
    <row r="3160" customFormat="1" ht="13.2" x14ac:dyDescent="0.25"/>
    <row r="3161" customFormat="1" ht="13.2" x14ac:dyDescent="0.25"/>
    <row r="3162" customFormat="1" ht="13.2" x14ac:dyDescent="0.25"/>
    <row r="3163" customFormat="1" ht="13.2" x14ac:dyDescent="0.25"/>
    <row r="3164" customFormat="1" ht="13.2" x14ac:dyDescent="0.25"/>
    <row r="3165" customFormat="1" ht="13.2" x14ac:dyDescent="0.25"/>
    <row r="3166" customFormat="1" ht="13.2" x14ac:dyDescent="0.25"/>
    <row r="3167" customFormat="1" ht="13.2" x14ac:dyDescent="0.25"/>
    <row r="3168" customFormat="1" ht="13.2" x14ac:dyDescent="0.25"/>
    <row r="3169" customFormat="1" ht="13.2" x14ac:dyDescent="0.25"/>
    <row r="3170" customFormat="1" ht="13.2" x14ac:dyDescent="0.25"/>
    <row r="3171" customFormat="1" ht="13.2" x14ac:dyDescent="0.25"/>
    <row r="3172" customFormat="1" ht="13.2" x14ac:dyDescent="0.25"/>
    <row r="3173" customFormat="1" ht="13.2" x14ac:dyDescent="0.25"/>
    <row r="3174" customFormat="1" ht="13.2" x14ac:dyDescent="0.25"/>
    <row r="3175" customFormat="1" ht="13.2" x14ac:dyDescent="0.25"/>
    <row r="3176" customFormat="1" ht="13.2" x14ac:dyDescent="0.25"/>
    <row r="3177" customFormat="1" ht="13.2" x14ac:dyDescent="0.25"/>
    <row r="3178" customFormat="1" ht="13.2" x14ac:dyDescent="0.25"/>
    <row r="3179" customFormat="1" ht="13.2" x14ac:dyDescent="0.25"/>
    <row r="3180" customFormat="1" ht="13.2" x14ac:dyDescent="0.25"/>
    <row r="3181" customFormat="1" ht="13.2" x14ac:dyDescent="0.25"/>
    <row r="3182" customFormat="1" ht="13.2" x14ac:dyDescent="0.25"/>
    <row r="3183" customFormat="1" ht="13.2" x14ac:dyDescent="0.25"/>
    <row r="3184" customFormat="1" ht="13.2" x14ac:dyDescent="0.25"/>
    <row r="3185" customFormat="1" ht="13.2" x14ac:dyDescent="0.25"/>
    <row r="3186" customFormat="1" ht="13.2" x14ac:dyDescent="0.25"/>
    <row r="3187" customFormat="1" ht="13.2" x14ac:dyDescent="0.25"/>
    <row r="3188" customFormat="1" ht="13.2" x14ac:dyDescent="0.25"/>
    <row r="3189" customFormat="1" ht="13.2" x14ac:dyDescent="0.25"/>
    <row r="3190" customFormat="1" ht="13.2" x14ac:dyDescent="0.25"/>
    <row r="3191" customFormat="1" ht="13.2" x14ac:dyDescent="0.25"/>
    <row r="3192" customFormat="1" ht="13.2" x14ac:dyDescent="0.25"/>
    <row r="3193" customFormat="1" ht="13.2" x14ac:dyDescent="0.25"/>
    <row r="3194" customFormat="1" ht="13.2" x14ac:dyDescent="0.25"/>
    <row r="3195" customFormat="1" ht="13.2" x14ac:dyDescent="0.25"/>
    <row r="3196" customFormat="1" ht="13.2" x14ac:dyDescent="0.25"/>
    <row r="3197" customFormat="1" ht="13.2" x14ac:dyDescent="0.25"/>
    <row r="3198" customFormat="1" ht="13.2" x14ac:dyDescent="0.25"/>
    <row r="3199" customFormat="1" ht="13.2" x14ac:dyDescent="0.25"/>
    <row r="3200" customFormat="1" ht="13.2" x14ac:dyDescent="0.25"/>
    <row r="3201" customFormat="1" ht="13.2" x14ac:dyDescent="0.25"/>
    <row r="3202" customFormat="1" ht="13.2" x14ac:dyDescent="0.25"/>
    <row r="3203" customFormat="1" ht="13.2" x14ac:dyDescent="0.25"/>
    <row r="3204" customFormat="1" ht="13.2" x14ac:dyDescent="0.25"/>
    <row r="3205" customFormat="1" ht="13.2" x14ac:dyDescent="0.25"/>
    <row r="3206" customFormat="1" ht="13.2" x14ac:dyDescent="0.25"/>
    <row r="3207" customFormat="1" ht="13.2" x14ac:dyDescent="0.25"/>
    <row r="3208" customFormat="1" ht="13.2" x14ac:dyDescent="0.25"/>
    <row r="3209" customFormat="1" ht="13.2" x14ac:dyDescent="0.25"/>
    <row r="3210" customFormat="1" ht="13.2" x14ac:dyDescent="0.25"/>
    <row r="3211" customFormat="1" ht="13.2" x14ac:dyDescent="0.25"/>
    <row r="3212" customFormat="1" ht="13.2" x14ac:dyDescent="0.25"/>
    <row r="3213" customFormat="1" ht="13.2" x14ac:dyDescent="0.25"/>
    <row r="3214" customFormat="1" ht="13.2" x14ac:dyDescent="0.25"/>
    <row r="3215" customFormat="1" ht="13.2" x14ac:dyDescent="0.25"/>
    <row r="3216" customFormat="1" ht="13.2" x14ac:dyDescent="0.25"/>
    <row r="3217" customFormat="1" ht="13.2" x14ac:dyDescent="0.25"/>
    <row r="3218" customFormat="1" ht="13.2" x14ac:dyDescent="0.25"/>
    <row r="3219" customFormat="1" ht="13.2" x14ac:dyDescent="0.25"/>
    <row r="3220" customFormat="1" ht="13.2" x14ac:dyDescent="0.25"/>
    <row r="3221" customFormat="1" ht="13.2" x14ac:dyDescent="0.25"/>
    <row r="3222" customFormat="1" ht="13.2" x14ac:dyDescent="0.25"/>
    <row r="3223" customFormat="1" ht="13.2" x14ac:dyDescent="0.25"/>
    <row r="3224" customFormat="1" ht="13.2" x14ac:dyDescent="0.25"/>
    <row r="3225" customFormat="1" ht="13.2" x14ac:dyDescent="0.25"/>
    <row r="3226" customFormat="1" ht="13.2" x14ac:dyDescent="0.25"/>
    <row r="3227" customFormat="1" ht="13.2" x14ac:dyDescent="0.25"/>
    <row r="3228" customFormat="1" ht="13.2" x14ac:dyDescent="0.25"/>
    <row r="3229" customFormat="1" ht="13.2" x14ac:dyDescent="0.25"/>
    <row r="3230" customFormat="1" ht="13.2" x14ac:dyDescent="0.25"/>
    <row r="3231" customFormat="1" ht="13.2" x14ac:dyDescent="0.25"/>
    <row r="3232" customFormat="1" ht="13.2" x14ac:dyDescent="0.25"/>
    <row r="3233" customFormat="1" ht="13.2" x14ac:dyDescent="0.25"/>
    <row r="3234" customFormat="1" ht="13.2" x14ac:dyDescent="0.25"/>
    <row r="3235" customFormat="1" ht="13.2" x14ac:dyDescent="0.25"/>
    <row r="3236" customFormat="1" ht="13.2" x14ac:dyDescent="0.25"/>
    <row r="3237" customFormat="1" ht="13.2" x14ac:dyDescent="0.25"/>
    <row r="3238" customFormat="1" ht="13.2" x14ac:dyDescent="0.25"/>
    <row r="3239" customFormat="1" ht="13.2" x14ac:dyDescent="0.25"/>
    <row r="3240" customFormat="1" ht="13.2" x14ac:dyDescent="0.25"/>
    <row r="3241" customFormat="1" ht="13.2" x14ac:dyDescent="0.25"/>
    <row r="3242" customFormat="1" ht="13.2" x14ac:dyDescent="0.25"/>
    <row r="3243" customFormat="1" ht="13.2" x14ac:dyDescent="0.25"/>
    <row r="3244" customFormat="1" ht="13.2" x14ac:dyDescent="0.25"/>
    <row r="3245" customFormat="1" ht="13.2" x14ac:dyDescent="0.25"/>
    <row r="3246" customFormat="1" ht="13.2" x14ac:dyDescent="0.25"/>
    <row r="3247" customFormat="1" ht="13.2" x14ac:dyDescent="0.25"/>
    <row r="3248" customFormat="1" ht="13.2" x14ac:dyDescent="0.25"/>
    <row r="3249" customFormat="1" ht="13.2" x14ac:dyDescent="0.25"/>
    <row r="3250" customFormat="1" ht="13.2" x14ac:dyDescent="0.25"/>
    <row r="3251" customFormat="1" ht="13.2" x14ac:dyDescent="0.25"/>
    <row r="3252" customFormat="1" ht="13.2" x14ac:dyDescent="0.25"/>
    <row r="3253" customFormat="1" ht="13.2" x14ac:dyDescent="0.25"/>
    <row r="3254" customFormat="1" ht="13.2" x14ac:dyDescent="0.25"/>
    <row r="3255" customFormat="1" ht="13.2" x14ac:dyDescent="0.25"/>
    <row r="3256" customFormat="1" ht="13.2" x14ac:dyDescent="0.25"/>
    <row r="3257" customFormat="1" ht="13.2" x14ac:dyDescent="0.25"/>
    <row r="3258" customFormat="1" ht="13.2" x14ac:dyDescent="0.25"/>
    <row r="3259" customFormat="1" ht="13.2" x14ac:dyDescent="0.25"/>
    <row r="3260" customFormat="1" ht="13.2" x14ac:dyDescent="0.25"/>
    <row r="3261" customFormat="1" ht="13.2" x14ac:dyDescent="0.25"/>
    <row r="3262" customFormat="1" ht="13.2" x14ac:dyDescent="0.25"/>
    <row r="3263" customFormat="1" ht="13.2" x14ac:dyDescent="0.25"/>
    <row r="3264" customFormat="1" ht="13.2" x14ac:dyDescent="0.25"/>
    <row r="3265" customFormat="1" ht="13.2" x14ac:dyDescent="0.25"/>
    <row r="3266" customFormat="1" ht="13.2" x14ac:dyDescent="0.25"/>
    <row r="3267" customFormat="1" ht="13.2" x14ac:dyDescent="0.25"/>
    <row r="3268" customFormat="1" ht="13.2" x14ac:dyDescent="0.25"/>
    <row r="3269" customFormat="1" ht="13.2" x14ac:dyDescent="0.25"/>
    <row r="3270" customFormat="1" ht="13.2" x14ac:dyDescent="0.25"/>
    <row r="3271" customFormat="1" ht="13.2" x14ac:dyDescent="0.25"/>
    <row r="3272" customFormat="1" ht="13.2" x14ac:dyDescent="0.25"/>
    <row r="3273" customFormat="1" ht="13.2" x14ac:dyDescent="0.25"/>
    <row r="3274" customFormat="1" ht="13.2" x14ac:dyDescent="0.25"/>
    <row r="3275" customFormat="1" ht="13.2" x14ac:dyDescent="0.25"/>
    <row r="3276" customFormat="1" ht="13.2" x14ac:dyDescent="0.25"/>
    <row r="3277" customFormat="1" ht="13.2" x14ac:dyDescent="0.25"/>
    <row r="3278" customFormat="1" ht="13.2" x14ac:dyDescent="0.25"/>
    <row r="3279" customFormat="1" ht="13.2" x14ac:dyDescent="0.25"/>
    <row r="3280" customFormat="1" ht="13.2" x14ac:dyDescent="0.25"/>
    <row r="3281" customFormat="1" ht="13.2" x14ac:dyDescent="0.25"/>
    <row r="3282" customFormat="1" ht="13.2" x14ac:dyDescent="0.25"/>
    <row r="3283" customFormat="1" ht="13.2" x14ac:dyDescent="0.25"/>
    <row r="3284" customFormat="1" ht="13.2" x14ac:dyDescent="0.25"/>
    <row r="3285" customFormat="1" ht="13.2" x14ac:dyDescent="0.25"/>
    <row r="3286" customFormat="1" ht="13.2" x14ac:dyDescent="0.25"/>
    <row r="3287" customFormat="1" ht="13.2" x14ac:dyDescent="0.25"/>
    <row r="3288" customFormat="1" ht="13.2" x14ac:dyDescent="0.25"/>
    <row r="3289" customFormat="1" ht="13.2" x14ac:dyDescent="0.25"/>
    <row r="3290" customFormat="1" ht="13.2" x14ac:dyDescent="0.25"/>
    <row r="3291" customFormat="1" ht="13.2" x14ac:dyDescent="0.25"/>
    <row r="3292" customFormat="1" ht="13.2" x14ac:dyDescent="0.25"/>
    <row r="3293" customFormat="1" ht="13.2" x14ac:dyDescent="0.25"/>
    <row r="3294" customFormat="1" ht="13.2" x14ac:dyDescent="0.25"/>
    <row r="3295" customFormat="1" ht="13.2" x14ac:dyDescent="0.25"/>
    <row r="3296" customFormat="1" ht="13.2" x14ac:dyDescent="0.25"/>
    <row r="3297" customFormat="1" ht="13.2" x14ac:dyDescent="0.25"/>
    <row r="3298" customFormat="1" ht="13.2" x14ac:dyDescent="0.25"/>
    <row r="3299" customFormat="1" ht="13.2" x14ac:dyDescent="0.25"/>
    <row r="3300" customFormat="1" ht="13.2" x14ac:dyDescent="0.25"/>
    <row r="3301" customFormat="1" ht="13.2" x14ac:dyDescent="0.25"/>
    <row r="3302" customFormat="1" ht="13.2" x14ac:dyDescent="0.25"/>
    <row r="3303" customFormat="1" ht="13.2" x14ac:dyDescent="0.25"/>
    <row r="3304" customFormat="1" ht="13.2" x14ac:dyDescent="0.25"/>
    <row r="3305" customFormat="1" ht="13.2" x14ac:dyDescent="0.25"/>
    <row r="3306" customFormat="1" ht="13.2" x14ac:dyDescent="0.25"/>
    <row r="3307" customFormat="1" ht="13.2" x14ac:dyDescent="0.25"/>
    <row r="3308" customFormat="1" ht="13.2" x14ac:dyDescent="0.25"/>
    <row r="3309" customFormat="1" ht="13.2" x14ac:dyDescent="0.25"/>
    <row r="3310" customFormat="1" ht="13.2" x14ac:dyDescent="0.25"/>
    <row r="3311" customFormat="1" ht="13.2" x14ac:dyDescent="0.25"/>
    <row r="3312" customFormat="1" ht="13.2" x14ac:dyDescent="0.25"/>
    <row r="3313" customFormat="1" ht="13.2" x14ac:dyDescent="0.25"/>
    <row r="3314" customFormat="1" ht="13.2" x14ac:dyDescent="0.25"/>
    <row r="3315" customFormat="1" ht="13.2" x14ac:dyDescent="0.25"/>
    <row r="3316" customFormat="1" ht="13.2" x14ac:dyDescent="0.25"/>
    <row r="3317" customFormat="1" ht="13.2" x14ac:dyDescent="0.25"/>
    <row r="3318" customFormat="1" ht="13.2" x14ac:dyDescent="0.25"/>
    <row r="3319" customFormat="1" ht="13.2" x14ac:dyDescent="0.25"/>
    <row r="3320" customFormat="1" ht="13.2" x14ac:dyDescent="0.25"/>
    <row r="3321" customFormat="1" ht="13.2" x14ac:dyDescent="0.25"/>
    <row r="3322" customFormat="1" ht="13.2" x14ac:dyDescent="0.25"/>
    <row r="3323" customFormat="1" ht="13.2" x14ac:dyDescent="0.25"/>
    <row r="3324" customFormat="1" ht="13.2" x14ac:dyDescent="0.25"/>
    <row r="3325" customFormat="1" ht="13.2" x14ac:dyDescent="0.25"/>
    <row r="3326" customFormat="1" ht="13.2" x14ac:dyDescent="0.25"/>
    <row r="3327" customFormat="1" ht="13.2" x14ac:dyDescent="0.25"/>
    <row r="3328" customFormat="1" ht="13.2" x14ac:dyDescent="0.25"/>
    <row r="3329" customFormat="1" ht="13.2" x14ac:dyDescent="0.25"/>
    <row r="3330" customFormat="1" ht="13.2" x14ac:dyDescent="0.25"/>
    <row r="3331" customFormat="1" ht="13.2" x14ac:dyDescent="0.25"/>
    <row r="3332" customFormat="1" ht="13.2" x14ac:dyDescent="0.25"/>
    <row r="3333" customFormat="1" ht="13.2" x14ac:dyDescent="0.25"/>
    <row r="3334" customFormat="1" ht="13.2" x14ac:dyDescent="0.25"/>
    <row r="3335" customFormat="1" ht="13.2" x14ac:dyDescent="0.25"/>
    <row r="3336" customFormat="1" ht="13.2" x14ac:dyDescent="0.25"/>
    <row r="3337" customFormat="1" ht="13.2" x14ac:dyDescent="0.25"/>
    <row r="3338" customFormat="1" ht="13.2" x14ac:dyDescent="0.25"/>
    <row r="3339" customFormat="1" ht="13.2" x14ac:dyDescent="0.25"/>
    <row r="3340" customFormat="1" ht="13.2" x14ac:dyDescent="0.25"/>
    <row r="3341" customFormat="1" ht="13.2" x14ac:dyDescent="0.25"/>
    <row r="3342" customFormat="1" ht="13.2" x14ac:dyDescent="0.25"/>
    <row r="3343" customFormat="1" ht="13.2" x14ac:dyDescent="0.25"/>
    <row r="3344" customFormat="1" ht="13.2" x14ac:dyDescent="0.25"/>
    <row r="3345" customFormat="1" ht="13.2" x14ac:dyDescent="0.25"/>
    <row r="3346" customFormat="1" ht="13.2" x14ac:dyDescent="0.25"/>
    <row r="3347" customFormat="1" ht="13.2" x14ac:dyDescent="0.25"/>
    <row r="3348" customFormat="1" ht="13.2" x14ac:dyDescent="0.25"/>
    <row r="3349" customFormat="1" ht="13.2" x14ac:dyDescent="0.25"/>
    <row r="3350" customFormat="1" ht="13.2" x14ac:dyDescent="0.25"/>
    <row r="3351" customFormat="1" ht="13.2" x14ac:dyDescent="0.25"/>
    <row r="3352" customFormat="1" ht="13.2" x14ac:dyDescent="0.25"/>
    <row r="3353" customFormat="1" ht="13.2" x14ac:dyDescent="0.25"/>
    <row r="3354" customFormat="1" ht="13.2" x14ac:dyDescent="0.25"/>
    <row r="3355" customFormat="1" ht="13.2" x14ac:dyDescent="0.25"/>
    <row r="3356" customFormat="1" ht="13.2" x14ac:dyDescent="0.25"/>
    <row r="3357" customFormat="1" ht="13.2" x14ac:dyDescent="0.25"/>
    <row r="3358" customFormat="1" ht="13.2" x14ac:dyDescent="0.25"/>
    <row r="3359" customFormat="1" ht="13.2" x14ac:dyDescent="0.25"/>
    <row r="3360" customFormat="1" ht="13.2" x14ac:dyDescent="0.25"/>
    <row r="3361" customFormat="1" ht="13.2" x14ac:dyDescent="0.25"/>
    <row r="3362" customFormat="1" ht="13.2" x14ac:dyDescent="0.25"/>
    <row r="3363" customFormat="1" ht="13.2" x14ac:dyDescent="0.25"/>
    <row r="3364" customFormat="1" ht="13.2" x14ac:dyDescent="0.25"/>
    <row r="3365" customFormat="1" ht="13.2" x14ac:dyDescent="0.25"/>
    <row r="3366" customFormat="1" ht="13.2" x14ac:dyDescent="0.25"/>
    <row r="3367" customFormat="1" ht="13.2" x14ac:dyDescent="0.25"/>
    <row r="3368" customFormat="1" ht="13.2" x14ac:dyDescent="0.25"/>
    <row r="3369" customFormat="1" ht="13.2" x14ac:dyDescent="0.25"/>
    <row r="3370" customFormat="1" ht="13.2" x14ac:dyDescent="0.25"/>
    <row r="3371" customFormat="1" ht="13.2" x14ac:dyDescent="0.25"/>
    <row r="3372" customFormat="1" ht="13.2" x14ac:dyDescent="0.25"/>
    <row r="3373" customFormat="1" ht="13.2" x14ac:dyDescent="0.25"/>
    <row r="3374" customFormat="1" ht="13.2" x14ac:dyDescent="0.25"/>
    <row r="3375" customFormat="1" ht="13.2" x14ac:dyDescent="0.25"/>
    <row r="3376" customFormat="1" ht="13.2" x14ac:dyDescent="0.25"/>
    <row r="3377" customFormat="1" ht="13.2" x14ac:dyDescent="0.25"/>
    <row r="3378" customFormat="1" ht="13.2" x14ac:dyDescent="0.25"/>
    <row r="3379" customFormat="1" ht="13.2" x14ac:dyDescent="0.25"/>
    <row r="3380" customFormat="1" ht="13.2" x14ac:dyDescent="0.25"/>
    <row r="3381" customFormat="1" ht="13.2" x14ac:dyDescent="0.25"/>
    <row r="3382" customFormat="1" ht="13.2" x14ac:dyDescent="0.25"/>
    <row r="3383" customFormat="1" ht="13.2" x14ac:dyDescent="0.25"/>
    <row r="3384" customFormat="1" ht="13.2" x14ac:dyDescent="0.25"/>
    <row r="3385" customFormat="1" ht="13.2" x14ac:dyDescent="0.25"/>
    <row r="3386" customFormat="1" ht="13.2" x14ac:dyDescent="0.25"/>
    <row r="3387" customFormat="1" ht="13.2" x14ac:dyDescent="0.25"/>
    <row r="3388" customFormat="1" ht="13.2" x14ac:dyDescent="0.25"/>
    <row r="3389" customFormat="1" ht="13.2" x14ac:dyDescent="0.25"/>
    <row r="3390" customFormat="1" ht="13.2" x14ac:dyDescent="0.25"/>
    <row r="3391" customFormat="1" ht="13.2" x14ac:dyDescent="0.25"/>
    <row r="3392" customFormat="1" ht="13.2" x14ac:dyDescent="0.25"/>
    <row r="3393" customFormat="1" ht="13.2" x14ac:dyDescent="0.25"/>
    <row r="3394" customFormat="1" ht="13.2" x14ac:dyDescent="0.25"/>
    <row r="3395" customFormat="1" ht="13.2" x14ac:dyDescent="0.25"/>
    <row r="3396" customFormat="1" ht="13.2" x14ac:dyDescent="0.25"/>
    <row r="3397" customFormat="1" ht="13.2" x14ac:dyDescent="0.25"/>
    <row r="3398" customFormat="1" ht="13.2" x14ac:dyDescent="0.25"/>
    <row r="3399" customFormat="1" ht="13.2" x14ac:dyDescent="0.25"/>
    <row r="3400" customFormat="1" ht="13.2" x14ac:dyDescent="0.25"/>
    <row r="3401" customFormat="1" ht="13.2" x14ac:dyDescent="0.25"/>
    <row r="3402" customFormat="1" ht="13.2" x14ac:dyDescent="0.25"/>
    <row r="3403" customFormat="1" ht="13.2" x14ac:dyDescent="0.25"/>
    <row r="3404" customFormat="1" ht="13.2" x14ac:dyDescent="0.25"/>
    <row r="3405" customFormat="1" ht="13.2" x14ac:dyDescent="0.25"/>
    <row r="3406" customFormat="1" ht="13.2" x14ac:dyDescent="0.25"/>
    <row r="3407" customFormat="1" ht="13.2" x14ac:dyDescent="0.25"/>
    <row r="3408" customFormat="1" ht="13.2" x14ac:dyDescent="0.25"/>
    <row r="3409" customFormat="1" ht="13.2" x14ac:dyDescent="0.25"/>
    <row r="3410" customFormat="1" ht="13.2" x14ac:dyDescent="0.25"/>
    <row r="3411" customFormat="1" ht="13.2" x14ac:dyDescent="0.25"/>
    <row r="3412" customFormat="1" ht="13.2" x14ac:dyDescent="0.25"/>
    <row r="3413" customFormat="1" ht="13.2" x14ac:dyDescent="0.25"/>
    <row r="3414" customFormat="1" ht="13.2" x14ac:dyDescent="0.25"/>
    <row r="3415" customFormat="1" ht="13.2" x14ac:dyDescent="0.25"/>
    <row r="3416" customFormat="1" ht="13.2" x14ac:dyDescent="0.25"/>
    <row r="3417" customFormat="1" ht="13.2" x14ac:dyDescent="0.25"/>
    <row r="3418" customFormat="1" ht="13.2" x14ac:dyDescent="0.25"/>
    <row r="3419" customFormat="1" ht="13.2" x14ac:dyDescent="0.25"/>
    <row r="3420" customFormat="1" ht="13.2" x14ac:dyDescent="0.25"/>
    <row r="3421" customFormat="1" ht="13.2" x14ac:dyDescent="0.25"/>
    <row r="3422" customFormat="1" ht="13.2" x14ac:dyDescent="0.25"/>
    <row r="3423" customFormat="1" ht="13.2" x14ac:dyDescent="0.25"/>
    <row r="3424" customFormat="1" ht="13.2" x14ac:dyDescent="0.25"/>
    <row r="3425" customFormat="1" ht="13.2" x14ac:dyDescent="0.25"/>
    <row r="3426" customFormat="1" ht="13.2" x14ac:dyDescent="0.25"/>
    <row r="3427" customFormat="1" ht="13.2" x14ac:dyDescent="0.25"/>
    <row r="3428" customFormat="1" ht="13.2" x14ac:dyDescent="0.25"/>
    <row r="3429" customFormat="1" ht="13.2" x14ac:dyDescent="0.25"/>
    <row r="3430" customFormat="1" ht="13.2" x14ac:dyDescent="0.25"/>
    <row r="3431" customFormat="1" ht="13.2" x14ac:dyDescent="0.25"/>
    <row r="3432" customFormat="1" ht="13.2" x14ac:dyDescent="0.25"/>
    <row r="3433" customFormat="1" ht="13.2" x14ac:dyDescent="0.25"/>
    <row r="3434" customFormat="1" ht="13.2" x14ac:dyDescent="0.25"/>
    <row r="3435" customFormat="1" ht="13.2" x14ac:dyDescent="0.25"/>
    <row r="3436" customFormat="1" ht="13.2" x14ac:dyDescent="0.25"/>
    <row r="3437" customFormat="1" ht="13.2" x14ac:dyDescent="0.25"/>
    <row r="3438" customFormat="1" ht="13.2" x14ac:dyDescent="0.25"/>
    <row r="3439" customFormat="1" ht="13.2" x14ac:dyDescent="0.25"/>
    <row r="3440" customFormat="1" ht="13.2" x14ac:dyDescent="0.25"/>
    <row r="3441" customFormat="1" ht="13.2" x14ac:dyDescent="0.25"/>
    <row r="3442" customFormat="1" ht="13.2" x14ac:dyDescent="0.25"/>
    <row r="3443" customFormat="1" ht="13.2" x14ac:dyDescent="0.25"/>
    <row r="3444" customFormat="1" ht="13.2" x14ac:dyDescent="0.25"/>
    <row r="3445" customFormat="1" ht="13.2" x14ac:dyDescent="0.25"/>
    <row r="3446" customFormat="1" ht="13.2" x14ac:dyDescent="0.25"/>
    <row r="3447" customFormat="1" ht="13.2" x14ac:dyDescent="0.25"/>
    <row r="3448" customFormat="1" ht="13.2" x14ac:dyDescent="0.25"/>
    <row r="3449" customFormat="1" ht="13.2" x14ac:dyDescent="0.25"/>
    <row r="3450" customFormat="1" ht="13.2" x14ac:dyDescent="0.25"/>
    <row r="3451" customFormat="1" ht="13.2" x14ac:dyDescent="0.25"/>
    <row r="3452" customFormat="1" ht="13.2" x14ac:dyDescent="0.25"/>
    <row r="3453" customFormat="1" ht="13.2" x14ac:dyDescent="0.25"/>
    <row r="3454" customFormat="1" ht="13.2" x14ac:dyDescent="0.25"/>
    <row r="3455" customFormat="1" ht="13.2" x14ac:dyDescent="0.25"/>
    <row r="3456" customFormat="1" ht="13.2" x14ac:dyDescent="0.25"/>
    <row r="3457" customFormat="1" ht="13.2" x14ac:dyDescent="0.25"/>
    <row r="3458" customFormat="1" ht="13.2" x14ac:dyDescent="0.25"/>
    <row r="3459" customFormat="1" ht="13.2" x14ac:dyDescent="0.25"/>
    <row r="3460" customFormat="1" ht="13.2" x14ac:dyDescent="0.25"/>
    <row r="3461" customFormat="1" ht="13.2" x14ac:dyDescent="0.25"/>
    <row r="3462" customFormat="1" ht="13.2" x14ac:dyDescent="0.25"/>
    <row r="3463" customFormat="1" ht="13.2" x14ac:dyDescent="0.25"/>
    <row r="3464" customFormat="1" ht="13.2" x14ac:dyDescent="0.25"/>
    <row r="3465" customFormat="1" ht="13.2" x14ac:dyDescent="0.25"/>
    <row r="3466" customFormat="1" ht="13.2" x14ac:dyDescent="0.25"/>
    <row r="3467" customFormat="1" ht="13.2" x14ac:dyDescent="0.25"/>
    <row r="3468" customFormat="1" ht="13.2" x14ac:dyDescent="0.25"/>
    <row r="3469" customFormat="1" ht="13.2" x14ac:dyDescent="0.25"/>
    <row r="3470" customFormat="1" ht="13.2" x14ac:dyDescent="0.25"/>
    <row r="3471" customFormat="1" ht="13.2" x14ac:dyDescent="0.25"/>
    <row r="3472" customFormat="1" ht="13.2" x14ac:dyDescent="0.25"/>
    <row r="3473" customFormat="1" ht="13.2" x14ac:dyDescent="0.25"/>
    <row r="3474" customFormat="1" ht="13.2" x14ac:dyDescent="0.25"/>
    <row r="3475" customFormat="1" ht="13.2" x14ac:dyDescent="0.25"/>
    <row r="3476" customFormat="1" ht="13.2" x14ac:dyDescent="0.25"/>
    <row r="3477" customFormat="1" ht="13.2" x14ac:dyDescent="0.25"/>
    <row r="3478" customFormat="1" ht="13.2" x14ac:dyDescent="0.25"/>
    <row r="3479" customFormat="1" ht="13.2" x14ac:dyDescent="0.25"/>
    <row r="3480" customFormat="1" ht="13.2" x14ac:dyDescent="0.25"/>
    <row r="3481" customFormat="1" ht="13.2" x14ac:dyDescent="0.25"/>
    <row r="3482" customFormat="1" ht="13.2" x14ac:dyDescent="0.25"/>
    <row r="3483" customFormat="1" ht="13.2" x14ac:dyDescent="0.25"/>
    <row r="3484" customFormat="1" ht="13.2" x14ac:dyDescent="0.25"/>
    <row r="3485" customFormat="1" ht="13.2" x14ac:dyDescent="0.25"/>
    <row r="3486" customFormat="1" ht="13.2" x14ac:dyDescent="0.25"/>
    <row r="3487" customFormat="1" ht="13.2" x14ac:dyDescent="0.25"/>
    <row r="3488" customFormat="1" ht="13.2" x14ac:dyDescent="0.25"/>
    <row r="3489" customFormat="1" ht="13.2" x14ac:dyDescent="0.25"/>
    <row r="3490" customFormat="1" ht="13.2" x14ac:dyDescent="0.25"/>
    <row r="3491" customFormat="1" ht="13.2" x14ac:dyDescent="0.25"/>
    <row r="3492" customFormat="1" ht="13.2" x14ac:dyDescent="0.25"/>
    <row r="3493" customFormat="1" ht="13.2" x14ac:dyDescent="0.25"/>
    <row r="3494" customFormat="1" ht="13.2" x14ac:dyDescent="0.25"/>
    <row r="3495" customFormat="1" ht="13.2" x14ac:dyDescent="0.25"/>
    <row r="3496" customFormat="1" ht="13.2" x14ac:dyDescent="0.25"/>
    <row r="3497" customFormat="1" ht="13.2" x14ac:dyDescent="0.25"/>
    <row r="3498" customFormat="1" ht="13.2" x14ac:dyDescent="0.25"/>
    <row r="3499" customFormat="1" ht="13.2" x14ac:dyDescent="0.25"/>
    <row r="3500" customFormat="1" ht="13.2" x14ac:dyDescent="0.25"/>
    <row r="3501" customFormat="1" ht="13.2" x14ac:dyDescent="0.25"/>
    <row r="3502" customFormat="1" ht="13.2" x14ac:dyDescent="0.25"/>
    <row r="3503" customFormat="1" ht="13.2" x14ac:dyDescent="0.25"/>
    <row r="3504" customFormat="1" ht="13.2" x14ac:dyDescent="0.25"/>
    <row r="3505" customFormat="1" ht="13.2" x14ac:dyDescent="0.25"/>
    <row r="3506" customFormat="1" ht="13.2" x14ac:dyDescent="0.25"/>
    <row r="3507" customFormat="1" ht="13.2" x14ac:dyDescent="0.25"/>
    <row r="3508" customFormat="1" ht="13.2" x14ac:dyDescent="0.25"/>
    <row r="3509" customFormat="1" ht="13.2" x14ac:dyDescent="0.25"/>
    <row r="3510" customFormat="1" ht="13.2" x14ac:dyDescent="0.25"/>
    <row r="3511" customFormat="1" ht="13.2" x14ac:dyDescent="0.25"/>
    <row r="3512" customFormat="1" ht="13.2" x14ac:dyDescent="0.25"/>
    <row r="3513" customFormat="1" ht="13.2" x14ac:dyDescent="0.25"/>
    <row r="3514" customFormat="1" ht="13.2" x14ac:dyDescent="0.25"/>
    <row r="3515" customFormat="1" ht="13.2" x14ac:dyDescent="0.25"/>
    <row r="3516" customFormat="1" ht="13.2" x14ac:dyDescent="0.25"/>
    <row r="3517" customFormat="1" ht="13.2" x14ac:dyDescent="0.25"/>
    <row r="3518" customFormat="1" ht="13.2" x14ac:dyDescent="0.25"/>
    <row r="3519" customFormat="1" ht="13.2" x14ac:dyDescent="0.25"/>
    <row r="3520" customFormat="1" ht="13.2" x14ac:dyDescent="0.25"/>
    <row r="3521" customFormat="1" ht="13.2" x14ac:dyDescent="0.25"/>
    <row r="3522" customFormat="1" ht="13.2" x14ac:dyDescent="0.25"/>
    <row r="3523" customFormat="1" ht="13.2" x14ac:dyDescent="0.25"/>
    <row r="3524" customFormat="1" ht="13.2" x14ac:dyDescent="0.25"/>
    <row r="3525" customFormat="1" ht="13.2" x14ac:dyDescent="0.25"/>
    <row r="3526" customFormat="1" ht="13.2" x14ac:dyDescent="0.25"/>
    <row r="3527" customFormat="1" ht="13.2" x14ac:dyDescent="0.25"/>
    <row r="3528" customFormat="1" ht="13.2" x14ac:dyDescent="0.25"/>
    <row r="3529" customFormat="1" ht="13.2" x14ac:dyDescent="0.25"/>
    <row r="3530" customFormat="1" ht="13.2" x14ac:dyDescent="0.25"/>
    <row r="3531" customFormat="1" ht="13.2" x14ac:dyDescent="0.25"/>
    <row r="3532" customFormat="1" ht="13.2" x14ac:dyDescent="0.25"/>
    <row r="3533" customFormat="1" ht="13.2" x14ac:dyDescent="0.25"/>
    <row r="3534" customFormat="1" ht="13.2" x14ac:dyDescent="0.25"/>
    <row r="3535" customFormat="1" ht="13.2" x14ac:dyDescent="0.25"/>
    <row r="3536" customFormat="1" ht="13.2" x14ac:dyDescent="0.25"/>
    <row r="3537" customFormat="1" ht="13.2" x14ac:dyDescent="0.25"/>
    <row r="3538" customFormat="1" ht="13.2" x14ac:dyDescent="0.25"/>
    <row r="3539" customFormat="1" ht="13.2" x14ac:dyDescent="0.25"/>
    <row r="3540" customFormat="1" ht="13.2" x14ac:dyDescent="0.25"/>
    <row r="3541" customFormat="1" ht="13.2" x14ac:dyDescent="0.25"/>
    <row r="3542" customFormat="1" ht="13.2" x14ac:dyDescent="0.25"/>
    <row r="3543" customFormat="1" ht="13.2" x14ac:dyDescent="0.25"/>
    <row r="3544" customFormat="1" ht="13.2" x14ac:dyDescent="0.25"/>
    <row r="3545" customFormat="1" ht="13.2" x14ac:dyDescent="0.25"/>
    <row r="3546" customFormat="1" ht="13.2" x14ac:dyDescent="0.25"/>
    <row r="3547" customFormat="1" ht="13.2" x14ac:dyDescent="0.25"/>
    <row r="3548" customFormat="1" ht="13.2" x14ac:dyDescent="0.25"/>
    <row r="3549" customFormat="1" ht="13.2" x14ac:dyDescent="0.25"/>
    <row r="3550" customFormat="1" ht="13.2" x14ac:dyDescent="0.25"/>
    <row r="3551" customFormat="1" ht="13.2" x14ac:dyDescent="0.25"/>
    <row r="3552" customFormat="1" ht="13.2" x14ac:dyDescent="0.25"/>
    <row r="3553" customFormat="1" ht="13.2" x14ac:dyDescent="0.25"/>
    <row r="3554" customFormat="1" ht="13.2" x14ac:dyDescent="0.25"/>
    <row r="3555" customFormat="1" ht="13.2" x14ac:dyDescent="0.25"/>
    <row r="3556" customFormat="1" ht="13.2" x14ac:dyDescent="0.25"/>
    <row r="3557" customFormat="1" ht="13.2" x14ac:dyDescent="0.25"/>
    <row r="3558" customFormat="1" ht="13.2" x14ac:dyDescent="0.25"/>
    <row r="3559" customFormat="1" ht="13.2" x14ac:dyDescent="0.25"/>
    <row r="3560" customFormat="1" ht="13.2" x14ac:dyDescent="0.25"/>
    <row r="3561" customFormat="1" ht="13.2" x14ac:dyDescent="0.25"/>
    <row r="3562" customFormat="1" ht="13.2" x14ac:dyDescent="0.25"/>
    <row r="3563" customFormat="1" ht="13.2" x14ac:dyDescent="0.25"/>
    <row r="3564" customFormat="1" ht="13.2" x14ac:dyDescent="0.25"/>
    <row r="3565" customFormat="1" ht="13.2" x14ac:dyDescent="0.25"/>
    <row r="3566" customFormat="1" ht="13.2" x14ac:dyDescent="0.25"/>
    <row r="3567" customFormat="1" ht="13.2" x14ac:dyDescent="0.25"/>
    <row r="3568" customFormat="1" ht="13.2" x14ac:dyDescent="0.25"/>
    <row r="3569" customFormat="1" ht="13.2" x14ac:dyDescent="0.25"/>
    <row r="3570" customFormat="1" ht="13.2" x14ac:dyDescent="0.25"/>
    <row r="3571" customFormat="1" ht="13.2" x14ac:dyDescent="0.25"/>
    <row r="3572" customFormat="1" ht="13.2" x14ac:dyDescent="0.25"/>
    <row r="3573" customFormat="1" ht="13.2" x14ac:dyDescent="0.25"/>
    <row r="3574" customFormat="1" ht="13.2" x14ac:dyDescent="0.25"/>
    <row r="3575" customFormat="1" ht="13.2" x14ac:dyDescent="0.25"/>
    <row r="3576" customFormat="1" ht="13.2" x14ac:dyDescent="0.25"/>
    <row r="3577" customFormat="1" ht="13.2" x14ac:dyDescent="0.25"/>
    <row r="3578" customFormat="1" ht="13.2" x14ac:dyDescent="0.25"/>
    <row r="3579" customFormat="1" ht="13.2" x14ac:dyDescent="0.25"/>
    <row r="3580" customFormat="1" ht="13.2" x14ac:dyDescent="0.25"/>
    <row r="3581" customFormat="1" ht="13.2" x14ac:dyDescent="0.25"/>
    <row r="3582" customFormat="1" ht="13.2" x14ac:dyDescent="0.25"/>
    <row r="3583" customFormat="1" ht="13.2" x14ac:dyDescent="0.25"/>
    <row r="3584" customFormat="1" ht="13.2" x14ac:dyDescent="0.25"/>
    <row r="3585" customFormat="1" ht="13.2" x14ac:dyDescent="0.25"/>
    <row r="3586" customFormat="1" ht="13.2" x14ac:dyDescent="0.25"/>
    <row r="3587" customFormat="1" ht="13.2" x14ac:dyDescent="0.25"/>
    <row r="3588" customFormat="1" ht="13.2" x14ac:dyDescent="0.25"/>
    <row r="3589" customFormat="1" ht="13.2" x14ac:dyDescent="0.25"/>
    <row r="3590" customFormat="1" ht="13.2" x14ac:dyDescent="0.25"/>
    <row r="3591" customFormat="1" ht="13.2" x14ac:dyDescent="0.25"/>
    <row r="3592" customFormat="1" ht="13.2" x14ac:dyDescent="0.25"/>
    <row r="3593" customFormat="1" ht="13.2" x14ac:dyDescent="0.25"/>
    <row r="3594" customFormat="1" ht="13.2" x14ac:dyDescent="0.25"/>
    <row r="3595" customFormat="1" ht="13.2" x14ac:dyDescent="0.25"/>
    <row r="3596" customFormat="1" ht="13.2" x14ac:dyDescent="0.25"/>
    <row r="3597" customFormat="1" ht="13.2" x14ac:dyDescent="0.25"/>
    <row r="3598" customFormat="1" ht="13.2" x14ac:dyDescent="0.25"/>
    <row r="3599" customFormat="1" ht="13.2" x14ac:dyDescent="0.25"/>
    <row r="3600" customFormat="1" ht="13.2" x14ac:dyDescent="0.25"/>
    <row r="3601" customFormat="1" ht="13.2" x14ac:dyDescent="0.25"/>
    <row r="3602" customFormat="1" ht="13.2" x14ac:dyDescent="0.25"/>
    <row r="3603" customFormat="1" ht="13.2" x14ac:dyDescent="0.25"/>
    <row r="3604" customFormat="1" ht="13.2" x14ac:dyDescent="0.25"/>
    <row r="3605" customFormat="1" ht="13.2" x14ac:dyDescent="0.25"/>
    <row r="3606" customFormat="1" ht="13.2" x14ac:dyDescent="0.25"/>
    <row r="3607" customFormat="1" ht="13.2" x14ac:dyDescent="0.25"/>
    <row r="3608" customFormat="1" ht="13.2" x14ac:dyDescent="0.25"/>
    <row r="3609" customFormat="1" ht="13.2" x14ac:dyDescent="0.25"/>
    <row r="3610" customFormat="1" ht="13.2" x14ac:dyDescent="0.25"/>
    <row r="3611" customFormat="1" ht="13.2" x14ac:dyDescent="0.25"/>
    <row r="3612" customFormat="1" ht="13.2" x14ac:dyDescent="0.25"/>
    <row r="3613" customFormat="1" ht="13.2" x14ac:dyDescent="0.25"/>
    <row r="3614" customFormat="1" ht="13.2" x14ac:dyDescent="0.25"/>
    <row r="3615" customFormat="1" ht="13.2" x14ac:dyDescent="0.25"/>
    <row r="3616" customFormat="1" ht="13.2" x14ac:dyDescent="0.25"/>
    <row r="3617" customFormat="1" ht="13.2" x14ac:dyDescent="0.25"/>
    <row r="3618" customFormat="1" ht="13.2" x14ac:dyDescent="0.25"/>
    <row r="3619" customFormat="1" ht="13.2" x14ac:dyDescent="0.25"/>
    <row r="3620" customFormat="1" ht="13.2" x14ac:dyDescent="0.25"/>
    <row r="3621" customFormat="1" ht="13.2" x14ac:dyDescent="0.25"/>
    <row r="3622" customFormat="1" ht="13.2" x14ac:dyDescent="0.25"/>
    <row r="3623" customFormat="1" ht="13.2" x14ac:dyDescent="0.25"/>
    <row r="3624" customFormat="1" ht="13.2" x14ac:dyDescent="0.25"/>
    <row r="3625" customFormat="1" ht="13.2" x14ac:dyDescent="0.25"/>
    <row r="3626" customFormat="1" ht="13.2" x14ac:dyDescent="0.25"/>
    <row r="3627" customFormat="1" ht="13.2" x14ac:dyDescent="0.25"/>
    <row r="3628" customFormat="1" ht="13.2" x14ac:dyDescent="0.25"/>
    <row r="3629" customFormat="1" ht="13.2" x14ac:dyDescent="0.25"/>
    <row r="3630" customFormat="1" ht="13.2" x14ac:dyDescent="0.25"/>
    <row r="3631" customFormat="1" ht="13.2" x14ac:dyDescent="0.25"/>
    <row r="3632" customFormat="1" ht="13.2" x14ac:dyDescent="0.25"/>
    <row r="3633" customFormat="1" ht="13.2" x14ac:dyDescent="0.25"/>
    <row r="3634" customFormat="1" ht="13.2" x14ac:dyDescent="0.25"/>
    <row r="3635" customFormat="1" ht="13.2" x14ac:dyDescent="0.25"/>
    <row r="3636" customFormat="1" ht="13.2" x14ac:dyDescent="0.25"/>
    <row r="3637" customFormat="1" ht="13.2" x14ac:dyDescent="0.25"/>
    <row r="3638" customFormat="1" ht="13.2" x14ac:dyDescent="0.25"/>
    <row r="3639" customFormat="1" ht="13.2" x14ac:dyDescent="0.25"/>
    <row r="3640" customFormat="1" ht="13.2" x14ac:dyDescent="0.25"/>
    <row r="3641" customFormat="1" ht="13.2" x14ac:dyDescent="0.25"/>
    <row r="3642" customFormat="1" ht="13.2" x14ac:dyDescent="0.25"/>
    <row r="3643" customFormat="1" ht="13.2" x14ac:dyDescent="0.25"/>
    <row r="3644" customFormat="1" ht="13.2" x14ac:dyDescent="0.25"/>
    <row r="3645" customFormat="1" ht="13.2" x14ac:dyDescent="0.25"/>
    <row r="3646" customFormat="1" ht="13.2" x14ac:dyDescent="0.25"/>
    <row r="3647" customFormat="1" ht="13.2" x14ac:dyDescent="0.25"/>
    <row r="3648" customFormat="1" ht="13.2" x14ac:dyDescent="0.25"/>
    <row r="3649" customFormat="1" ht="13.2" x14ac:dyDescent="0.25"/>
    <row r="3650" customFormat="1" ht="13.2" x14ac:dyDescent="0.25"/>
    <row r="3651" customFormat="1" ht="13.2" x14ac:dyDescent="0.25"/>
    <row r="3652" customFormat="1" ht="13.2" x14ac:dyDescent="0.25"/>
    <row r="3653" customFormat="1" ht="13.2" x14ac:dyDescent="0.25"/>
    <row r="3654" customFormat="1" ht="13.2" x14ac:dyDescent="0.25"/>
    <row r="3655" customFormat="1" ht="13.2" x14ac:dyDescent="0.25"/>
    <row r="3656" customFormat="1" ht="13.2" x14ac:dyDescent="0.25"/>
    <row r="3657" customFormat="1" ht="13.2" x14ac:dyDescent="0.25"/>
    <row r="3658" customFormat="1" ht="13.2" x14ac:dyDescent="0.25"/>
    <row r="3659" customFormat="1" ht="13.2" x14ac:dyDescent="0.25"/>
    <row r="3660" customFormat="1" ht="13.2" x14ac:dyDescent="0.25"/>
    <row r="3661" customFormat="1" ht="13.2" x14ac:dyDescent="0.25"/>
    <row r="3662" customFormat="1" ht="13.2" x14ac:dyDescent="0.25"/>
    <row r="3663" customFormat="1" ht="13.2" x14ac:dyDescent="0.25"/>
    <row r="3664" customFormat="1" ht="13.2" x14ac:dyDescent="0.25"/>
    <row r="3665" customFormat="1" ht="13.2" x14ac:dyDescent="0.25"/>
    <row r="3666" customFormat="1" ht="13.2" x14ac:dyDescent="0.25"/>
    <row r="3667" customFormat="1" ht="13.2" x14ac:dyDescent="0.25"/>
    <row r="3668" customFormat="1" ht="13.2" x14ac:dyDescent="0.25"/>
    <row r="3669" customFormat="1" ht="13.2" x14ac:dyDescent="0.25"/>
    <row r="3670" customFormat="1" ht="13.2" x14ac:dyDescent="0.25"/>
    <row r="3671" customFormat="1" ht="13.2" x14ac:dyDescent="0.25"/>
    <row r="3672" customFormat="1" ht="13.2" x14ac:dyDescent="0.25"/>
    <row r="3673" customFormat="1" ht="13.2" x14ac:dyDescent="0.25"/>
    <row r="3674" customFormat="1" ht="13.2" x14ac:dyDescent="0.25"/>
    <row r="3675" customFormat="1" ht="13.2" x14ac:dyDescent="0.25"/>
    <row r="3676" customFormat="1" ht="13.2" x14ac:dyDescent="0.25"/>
    <row r="3677" customFormat="1" ht="13.2" x14ac:dyDescent="0.25"/>
    <row r="3678" customFormat="1" ht="13.2" x14ac:dyDescent="0.25"/>
    <row r="3679" customFormat="1" ht="13.2" x14ac:dyDescent="0.25"/>
    <row r="3680" customFormat="1" ht="13.2" x14ac:dyDescent="0.25"/>
    <row r="3681" customFormat="1" ht="13.2" x14ac:dyDescent="0.25"/>
    <row r="3682" customFormat="1" ht="13.2" x14ac:dyDescent="0.25"/>
    <row r="3683" customFormat="1" ht="13.2" x14ac:dyDescent="0.25"/>
    <row r="3684" customFormat="1" ht="13.2" x14ac:dyDescent="0.25"/>
    <row r="3685" customFormat="1" ht="13.2" x14ac:dyDescent="0.25"/>
    <row r="3686" customFormat="1" ht="13.2" x14ac:dyDescent="0.25"/>
    <row r="3687" customFormat="1" ht="13.2" x14ac:dyDescent="0.25"/>
    <row r="3688" customFormat="1" ht="13.2" x14ac:dyDescent="0.25"/>
    <row r="3689" customFormat="1" ht="13.2" x14ac:dyDescent="0.25"/>
    <row r="3690" customFormat="1" ht="13.2" x14ac:dyDescent="0.25"/>
    <row r="3691" customFormat="1" ht="13.2" x14ac:dyDescent="0.25"/>
    <row r="3692" customFormat="1" ht="13.2" x14ac:dyDescent="0.25"/>
    <row r="3693" customFormat="1" ht="13.2" x14ac:dyDescent="0.25"/>
    <row r="3694" customFormat="1" ht="13.2" x14ac:dyDescent="0.25"/>
    <row r="3695" customFormat="1" ht="13.2" x14ac:dyDescent="0.25"/>
    <row r="3696" customFormat="1" ht="13.2" x14ac:dyDescent="0.25"/>
    <row r="3697" customFormat="1" ht="13.2" x14ac:dyDescent="0.25"/>
    <row r="3698" customFormat="1" ht="13.2" x14ac:dyDescent="0.25"/>
    <row r="3699" customFormat="1" ht="13.2" x14ac:dyDescent="0.25"/>
    <row r="3700" customFormat="1" ht="13.2" x14ac:dyDescent="0.25"/>
    <row r="3701" customFormat="1" ht="13.2" x14ac:dyDescent="0.25"/>
    <row r="3702" customFormat="1" ht="13.2" x14ac:dyDescent="0.25"/>
    <row r="3703" customFormat="1" ht="13.2" x14ac:dyDescent="0.25"/>
    <row r="3704" customFormat="1" ht="13.2" x14ac:dyDescent="0.25"/>
    <row r="3705" customFormat="1" ht="13.2" x14ac:dyDescent="0.25"/>
    <row r="3706" customFormat="1" ht="13.2" x14ac:dyDescent="0.25"/>
    <row r="3707" customFormat="1" ht="13.2" x14ac:dyDescent="0.25"/>
    <row r="3708" customFormat="1" ht="13.2" x14ac:dyDescent="0.25"/>
    <row r="3709" customFormat="1" ht="13.2" x14ac:dyDescent="0.25"/>
    <row r="3710" customFormat="1" ht="13.2" x14ac:dyDescent="0.25"/>
    <row r="3711" customFormat="1" ht="13.2" x14ac:dyDescent="0.25"/>
    <row r="3712" customFormat="1" ht="13.2" x14ac:dyDescent="0.25"/>
    <row r="3713" customFormat="1" ht="13.2" x14ac:dyDescent="0.25"/>
    <row r="3714" customFormat="1" ht="13.2" x14ac:dyDescent="0.25"/>
    <row r="3715" customFormat="1" ht="13.2" x14ac:dyDescent="0.25"/>
    <row r="3716" customFormat="1" ht="13.2" x14ac:dyDescent="0.25"/>
    <row r="3717" customFormat="1" ht="13.2" x14ac:dyDescent="0.25"/>
    <row r="3718" customFormat="1" ht="13.2" x14ac:dyDescent="0.25"/>
    <row r="3719" customFormat="1" ht="13.2" x14ac:dyDescent="0.25"/>
    <row r="3720" customFormat="1" ht="13.2" x14ac:dyDescent="0.25"/>
    <row r="3721" customFormat="1" ht="13.2" x14ac:dyDescent="0.25"/>
    <row r="3722" customFormat="1" ht="13.2" x14ac:dyDescent="0.25"/>
    <row r="3723" customFormat="1" ht="13.2" x14ac:dyDescent="0.25"/>
    <row r="3724" customFormat="1" ht="13.2" x14ac:dyDescent="0.25"/>
    <row r="3725" customFormat="1" ht="13.2" x14ac:dyDescent="0.25"/>
    <row r="3726" customFormat="1" ht="13.2" x14ac:dyDescent="0.25"/>
    <row r="3727" customFormat="1" ht="13.2" x14ac:dyDescent="0.25"/>
    <row r="3728" customFormat="1" ht="13.2" x14ac:dyDescent="0.25"/>
    <row r="3729" customFormat="1" ht="13.2" x14ac:dyDescent="0.25"/>
    <row r="3730" customFormat="1" ht="13.2" x14ac:dyDescent="0.25"/>
    <row r="3731" customFormat="1" ht="13.2" x14ac:dyDescent="0.25"/>
    <row r="3732" customFormat="1" ht="13.2" x14ac:dyDescent="0.25"/>
    <row r="3733" customFormat="1" ht="13.2" x14ac:dyDescent="0.25"/>
    <row r="3734" customFormat="1" ht="13.2" x14ac:dyDescent="0.25"/>
    <row r="3735" customFormat="1" ht="13.2" x14ac:dyDescent="0.25"/>
    <row r="3736" customFormat="1" ht="13.2" x14ac:dyDescent="0.25"/>
    <row r="3737" customFormat="1" ht="13.2" x14ac:dyDescent="0.25"/>
    <row r="3738" customFormat="1" ht="13.2" x14ac:dyDescent="0.25"/>
    <row r="3739" customFormat="1" ht="13.2" x14ac:dyDescent="0.25"/>
    <row r="3740" customFormat="1" ht="13.2" x14ac:dyDescent="0.25"/>
    <row r="3741" customFormat="1" ht="13.2" x14ac:dyDescent="0.25"/>
    <row r="3742" customFormat="1" ht="13.2" x14ac:dyDescent="0.25"/>
    <row r="3743" customFormat="1" ht="13.2" x14ac:dyDescent="0.25"/>
    <row r="3744" customFormat="1" ht="13.2" x14ac:dyDescent="0.25"/>
    <row r="3745" customFormat="1" ht="13.2" x14ac:dyDescent="0.25"/>
    <row r="3746" customFormat="1" ht="13.2" x14ac:dyDescent="0.25"/>
    <row r="3747" customFormat="1" ht="13.2" x14ac:dyDescent="0.25"/>
    <row r="3748" customFormat="1" ht="13.2" x14ac:dyDescent="0.25"/>
    <row r="3749" customFormat="1" ht="13.2" x14ac:dyDescent="0.25"/>
    <row r="3750" customFormat="1" ht="13.2" x14ac:dyDescent="0.25"/>
    <row r="3751" customFormat="1" ht="13.2" x14ac:dyDescent="0.25"/>
    <row r="3752" customFormat="1" ht="13.2" x14ac:dyDescent="0.25"/>
    <row r="3753" customFormat="1" ht="13.2" x14ac:dyDescent="0.25"/>
    <row r="3754" customFormat="1" ht="13.2" x14ac:dyDescent="0.25"/>
    <row r="3755" customFormat="1" ht="13.2" x14ac:dyDescent="0.25"/>
    <row r="3756" customFormat="1" ht="13.2" x14ac:dyDescent="0.25"/>
    <row r="3757" customFormat="1" ht="13.2" x14ac:dyDescent="0.25"/>
    <row r="3758" customFormat="1" ht="13.2" x14ac:dyDescent="0.25"/>
    <row r="3759" customFormat="1" ht="13.2" x14ac:dyDescent="0.25"/>
    <row r="3760" customFormat="1" ht="13.2" x14ac:dyDescent="0.25"/>
    <row r="3761" customFormat="1" ht="13.2" x14ac:dyDescent="0.25"/>
    <row r="3762" customFormat="1" ht="13.2" x14ac:dyDescent="0.25"/>
    <row r="3763" customFormat="1" ht="13.2" x14ac:dyDescent="0.25"/>
    <row r="3764" customFormat="1" ht="13.2" x14ac:dyDescent="0.25"/>
    <row r="3765" customFormat="1" ht="13.2" x14ac:dyDescent="0.25"/>
    <row r="3766" customFormat="1" ht="13.2" x14ac:dyDescent="0.25"/>
    <row r="3767" customFormat="1" ht="13.2" x14ac:dyDescent="0.25"/>
    <row r="3768" customFormat="1" ht="13.2" x14ac:dyDescent="0.25"/>
    <row r="3769" customFormat="1" ht="13.2" x14ac:dyDescent="0.25"/>
    <row r="3770" customFormat="1" ht="13.2" x14ac:dyDescent="0.25"/>
    <row r="3771" customFormat="1" ht="13.2" x14ac:dyDescent="0.25"/>
    <row r="3772" customFormat="1" ht="13.2" x14ac:dyDescent="0.25"/>
    <row r="3773" customFormat="1" ht="13.2" x14ac:dyDescent="0.25"/>
    <row r="3774" customFormat="1" ht="13.2" x14ac:dyDescent="0.25"/>
    <row r="3775" customFormat="1" ht="13.2" x14ac:dyDescent="0.25"/>
    <row r="3776" customFormat="1" ht="13.2" x14ac:dyDescent="0.25"/>
    <row r="3777" customFormat="1" ht="13.2" x14ac:dyDescent="0.25"/>
    <row r="3778" customFormat="1" ht="13.2" x14ac:dyDescent="0.25"/>
    <row r="3779" customFormat="1" ht="13.2" x14ac:dyDescent="0.25"/>
    <row r="3780" customFormat="1" ht="13.2" x14ac:dyDescent="0.25"/>
    <row r="3781" customFormat="1" ht="13.2" x14ac:dyDescent="0.25"/>
    <row r="3782" customFormat="1" ht="13.2" x14ac:dyDescent="0.25"/>
    <row r="3783" customFormat="1" ht="13.2" x14ac:dyDescent="0.25"/>
    <row r="3784" customFormat="1" ht="13.2" x14ac:dyDescent="0.25"/>
    <row r="3785" customFormat="1" ht="13.2" x14ac:dyDescent="0.25"/>
    <row r="3786" customFormat="1" ht="13.2" x14ac:dyDescent="0.25"/>
    <row r="3787" customFormat="1" ht="13.2" x14ac:dyDescent="0.25"/>
    <row r="3788" customFormat="1" ht="13.2" x14ac:dyDescent="0.25"/>
    <row r="3789" customFormat="1" ht="13.2" x14ac:dyDescent="0.25"/>
    <row r="3790" customFormat="1" ht="13.2" x14ac:dyDescent="0.25"/>
    <row r="3791" customFormat="1" ht="13.2" x14ac:dyDescent="0.25"/>
    <row r="3792" customFormat="1" ht="13.2" x14ac:dyDescent="0.25"/>
    <row r="3793" customFormat="1" ht="13.2" x14ac:dyDescent="0.25"/>
    <row r="3794" customFormat="1" ht="13.2" x14ac:dyDescent="0.25"/>
    <row r="3795" customFormat="1" ht="13.2" x14ac:dyDescent="0.25"/>
    <row r="3796" customFormat="1" ht="13.2" x14ac:dyDescent="0.25"/>
    <row r="3797" customFormat="1" ht="13.2" x14ac:dyDescent="0.25"/>
    <row r="3798" customFormat="1" ht="13.2" x14ac:dyDescent="0.25"/>
    <row r="3799" customFormat="1" ht="13.2" x14ac:dyDescent="0.25"/>
    <row r="3800" customFormat="1" ht="13.2" x14ac:dyDescent="0.25"/>
    <row r="3801" customFormat="1" ht="13.2" x14ac:dyDescent="0.25"/>
    <row r="3802" customFormat="1" ht="13.2" x14ac:dyDescent="0.25"/>
    <row r="3803" customFormat="1" ht="13.2" x14ac:dyDescent="0.25"/>
    <row r="3804" customFormat="1" ht="13.2" x14ac:dyDescent="0.25"/>
    <row r="3805" customFormat="1" ht="13.2" x14ac:dyDescent="0.25"/>
    <row r="3806" customFormat="1" ht="13.2" x14ac:dyDescent="0.25"/>
    <row r="3807" customFormat="1" ht="13.2" x14ac:dyDescent="0.25"/>
    <row r="3808" customFormat="1" ht="13.2" x14ac:dyDescent="0.25"/>
    <row r="3809" customFormat="1" ht="13.2" x14ac:dyDescent="0.25"/>
    <row r="3810" customFormat="1" ht="13.2" x14ac:dyDescent="0.25"/>
    <row r="3811" customFormat="1" ht="13.2" x14ac:dyDescent="0.25"/>
    <row r="3812" customFormat="1" ht="13.2" x14ac:dyDescent="0.25"/>
    <row r="3813" customFormat="1" ht="13.2" x14ac:dyDescent="0.25"/>
    <row r="3814" customFormat="1" ht="13.2" x14ac:dyDescent="0.25"/>
    <row r="3815" customFormat="1" ht="13.2" x14ac:dyDescent="0.25"/>
    <row r="3816" customFormat="1" ht="13.2" x14ac:dyDescent="0.25"/>
    <row r="3817" customFormat="1" ht="13.2" x14ac:dyDescent="0.25"/>
    <row r="3818" customFormat="1" ht="13.2" x14ac:dyDescent="0.25"/>
    <row r="3819" customFormat="1" ht="13.2" x14ac:dyDescent="0.25"/>
    <row r="3820" customFormat="1" ht="13.2" x14ac:dyDescent="0.25"/>
    <row r="3821" customFormat="1" ht="13.2" x14ac:dyDescent="0.25"/>
    <row r="3822" customFormat="1" ht="13.2" x14ac:dyDescent="0.25"/>
    <row r="3823" customFormat="1" ht="13.2" x14ac:dyDescent="0.25"/>
    <row r="3824" customFormat="1" ht="13.2" x14ac:dyDescent="0.25"/>
    <row r="3825" customFormat="1" ht="13.2" x14ac:dyDescent="0.25"/>
    <row r="3826" customFormat="1" ht="13.2" x14ac:dyDescent="0.25"/>
    <row r="3827" customFormat="1" ht="13.2" x14ac:dyDescent="0.25"/>
    <row r="3828" customFormat="1" ht="13.2" x14ac:dyDescent="0.25"/>
    <row r="3829" customFormat="1" ht="13.2" x14ac:dyDescent="0.25"/>
    <row r="3830" customFormat="1" ht="13.2" x14ac:dyDescent="0.25"/>
    <row r="3831" customFormat="1" ht="13.2" x14ac:dyDescent="0.25"/>
    <row r="3832" customFormat="1" ht="13.2" x14ac:dyDescent="0.25"/>
    <row r="3833" customFormat="1" ht="13.2" x14ac:dyDescent="0.25"/>
    <row r="3834" customFormat="1" ht="13.2" x14ac:dyDescent="0.25"/>
    <row r="3835" customFormat="1" ht="13.2" x14ac:dyDescent="0.25"/>
    <row r="3836" customFormat="1" ht="13.2" x14ac:dyDescent="0.25"/>
    <row r="3837" customFormat="1" ht="13.2" x14ac:dyDescent="0.25"/>
    <row r="3838" customFormat="1" ht="13.2" x14ac:dyDescent="0.25"/>
    <row r="3839" customFormat="1" ht="13.2" x14ac:dyDescent="0.25"/>
    <row r="3840" customFormat="1" ht="13.2" x14ac:dyDescent="0.25"/>
    <row r="3841" customFormat="1" ht="13.2" x14ac:dyDescent="0.25"/>
    <row r="3842" customFormat="1" ht="13.2" x14ac:dyDescent="0.25"/>
    <row r="3843" customFormat="1" ht="13.2" x14ac:dyDescent="0.25"/>
    <row r="3844" customFormat="1" ht="13.2" x14ac:dyDescent="0.25"/>
    <row r="3845" customFormat="1" ht="13.2" x14ac:dyDescent="0.25"/>
    <row r="3846" customFormat="1" ht="13.2" x14ac:dyDescent="0.25"/>
    <row r="3847" customFormat="1" ht="13.2" x14ac:dyDescent="0.25"/>
    <row r="3848" customFormat="1" ht="13.2" x14ac:dyDescent="0.25"/>
    <row r="3849" customFormat="1" ht="13.2" x14ac:dyDescent="0.25"/>
    <row r="3850" customFormat="1" ht="13.2" x14ac:dyDescent="0.25"/>
    <row r="3851" customFormat="1" ht="13.2" x14ac:dyDescent="0.25"/>
    <row r="3852" customFormat="1" ht="13.2" x14ac:dyDescent="0.25"/>
    <row r="3853" customFormat="1" ht="13.2" x14ac:dyDescent="0.25"/>
    <row r="3854" customFormat="1" ht="13.2" x14ac:dyDescent="0.25"/>
    <row r="3855" customFormat="1" ht="13.2" x14ac:dyDescent="0.25"/>
    <row r="3856" customFormat="1" ht="13.2" x14ac:dyDescent="0.25"/>
    <row r="3857" customFormat="1" ht="13.2" x14ac:dyDescent="0.25"/>
    <row r="3858" customFormat="1" ht="13.2" x14ac:dyDescent="0.25"/>
    <row r="3859" customFormat="1" ht="13.2" x14ac:dyDescent="0.25"/>
    <row r="3860" customFormat="1" ht="13.2" x14ac:dyDescent="0.25"/>
    <row r="3861" customFormat="1" ht="13.2" x14ac:dyDescent="0.25"/>
    <row r="3862" customFormat="1" ht="13.2" x14ac:dyDescent="0.25"/>
    <row r="3863" customFormat="1" ht="13.2" x14ac:dyDescent="0.25"/>
    <row r="3864" customFormat="1" ht="13.2" x14ac:dyDescent="0.25"/>
    <row r="3865" customFormat="1" ht="13.2" x14ac:dyDescent="0.25"/>
    <row r="3866" customFormat="1" ht="13.2" x14ac:dyDescent="0.25"/>
    <row r="3867" customFormat="1" ht="13.2" x14ac:dyDescent="0.25"/>
    <row r="3868" customFormat="1" ht="13.2" x14ac:dyDescent="0.25"/>
    <row r="3869" customFormat="1" ht="13.2" x14ac:dyDescent="0.25"/>
    <row r="3870" customFormat="1" ht="13.2" x14ac:dyDescent="0.25"/>
    <row r="3871" customFormat="1" ht="13.2" x14ac:dyDescent="0.25"/>
    <row r="3872" customFormat="1" ht="13.2" x14ac:dyDescent="0.25"/>
    <row r="3873" customFormat="1" ht="13.2" x14ac:dyDescent="0.25"/>
    <row r="3874" customFormat="1" ht="13.2" x14ac:dyDescent="0.25"/>
    <row r="3875" customFormat="1" ht="13.2" x14ac:dyDescent="0.25"/>
    <row r="3876" customFormat="1" ht="13.2" x14ac:dyDescent="0.25"/>
    <row r="3877" customFormat="1" ht="13.2" x14ac:dyDescent="0.25"/>
    <row r="3878" customFormat="1" ht="13.2" x14ac:dyDescent="0.25"/>
    <row r="3879" customFormat="1" ht="13.2" x14ac:dyDescent="0.25"/>
    <row r="3880" customFormat="1" ht="13.2" x14ac:dyDescent="0.25"/>
    <row r="3881" customFormat="1" ht="13.2" x14ac:dyDescent="0.25"/>
    <row r="3882" customFormat="1" ht="13.2" x14ac:dyDescent="0.25"/>
    <row r="3883" customFormat="1" ht="13.2" x14ac:dyDescent="0.25"/>
    <row r="3884" customFormat="1" ht="13.2" x14ac:dyDescent="0.25"/>
    <row r="3885" customFormat="1" ht="13.2" x14ac:dyDescent="0.25"/>
    <row r="3886" customFormat="1" ht="13.2" x14ac:dyDescent="0.25"/>
    <row r="3887" customFormat="1" ht="13.2" x14ac:dyDescent="0.25"/>
    <row r="3888" customFormat="1" ht="13.2" x14ac:dyDescent="0.25"/>
    <row r="3889" customFormat="1" ht="13.2" x14ac:dyDescent="0.25"/>
    <row r="3890" customFormat="1" ht="13.2" x14ac:dyDescent="0.25"/>
    <row r="3891" customFormat="1" ht="13.2" x14ac:dyDescent="0.25"/>
    <row r="3892" customFormat="1" ht="13.2" x14ac:dyDescent="0.25"/>
    <row r="3893" customFormat="1" ht="13.2" x14ac:dyDescent="0.25"/>
    <row r="3894" customFormat="1" ht="13.2" x14ac:dyDescent="0.25"/>
    <row r="3895" customFormat="1" ht="13.2" x14ac:dyDescent="0.25"/>
    <row r="3896" customFormat="1" ht="13.2" x14ac:dyDescent="0.25"/>
    <row r="3897" customFormat="1" ht="13.2" x14ac:dyDescent="0.25"/>
    <row r="3898" customFormat="1" ht="13.2" x14ac:dyDescent="0.25"/>
    <row r="3899" customFormat="1" ht="13.2" x14ac:dyDescent="0.25"/>
    <row r="3900" customFormat="1" ht="13.2" x14ac:dyDescent="0.25"/>
    <row r="3901" customFormat="1" ht="13.2" x14ac:dyDescent="0.25"/>
    <row r="3902" customFormat="1" ht="13.2" x14ac:dyDescent="0.25"/>
    <row r="3903" customFormat="1" ht="13.2" x14ac:dyDescent="0.25"/>
    <row r="3904" customFormat="1" ht="13.2" x14ac:dyDescent="0.25"/>
    <row r="3905" customFormat="1" ht="13.2" x14ac:dyDescent="0.25"/>
    <row r="3906" customFormat="1" ht="13.2" x14ac:dyDescent="0.25"/>
    <row r="3907" customFormat="1" ht="13.2" x14ac:dyDescent="0.25"/>
    <row r="3908" customFormat="1" ht="13.2" x14ac:dyDescent="0.25"/>
    <row r="3909" customFormat="1" ht="13.2" x14ac:dyDescent="0.25"/>
    <row r="3910" customFormat="1" ht="13.2" x14ac:dyDescent="0.25"/>
    <row r="3911" customFormat="1" ht="13.2" x14ac:dyDescent="0.25"/>
    <row r="3912" customFormat="1" ht="13.2" x14ac:dyDescent="0.25"/>
    <row r="3913" customFormat="1" ht="13.2" x14ac:dyDescent="0.25"/>
    <row r="3914" customFormat="1" ht="13.2" x14ac:dyDescent="0.25"/>
    <row r="3915" customFormat="1" ht="13.2" x14ac:dyDescent="0.25"/>
    <row r="3916" customFormat="1" ht="13.2" x14ac:dyDescent="0.25"/>
    <row r="3917" customFormat="1" ht="13.2" x14ac:dyDescent="0.25"/>
    <row r="3918" customFormat="1" ht="13.2" x14ac:dyDescent="0.25"/>
    <row r="3919" customFormat="1" ht="13.2" x14ac:dyDescent="0.25"/>
    <row r="3920" customFormat="1" ht="13.2" x14ac:dyDescent="0.25"/>
    <row r="3921" customFormat="1" ht="13.2" x14ac:dyDescent="0.25"/>
    <row r="3922" customFormat="1" ht="13.2" x14ac:dyDescent="0.25"/>
    <row r="3923" customFormat="1" ht="13.2" x14ac:dyDescent="0.25"/>
    <row r="3924" customFormat="1" ht="13.2" x14ac:dyDescent="0.25"/>
    <row r="3925" customFormat="1" ht="13.2" x14ac:dyDescent="0.25"/>
    <row r="3926" customFormat="1" ht="13.2" x14ac:dyDescent="0.25"/>
    <row r="3927" customFormat="1" ht="13.2" x14ac:dyDescent="0.25"/>
    <row r="3928" customFormat="1" ht="13.2" x14ac:dyDescent="0.25"/>
    <row r="3929" customFormat="1" ht="13.2" x14ac:dyDescent="0.25"/>
    <row r="3930" customFormat="1" ht="13.2" x14ac:dyDescent="0.25"/>
    <row r="3931" customFormat="1" ht="13.2" x14ac:dyDescent="0.25"/>
    <row r="3932" customFormat="1" ht="13.2" x14ac:dyDescent="0.25"/>
    <row r="3933" customFormat="1" ht="13.2" x14ac:dyDescent="0.25"/>
    <row r="3934" customFormat="1" ht="13.2" x14ac:dyDescent="0.25"/>
    <row r="3935" customFormat="1" ht="13.2" x14ac:dyDescent="0.25"/>
    <row r="3936" customFormat="1" ht="13.2" x14ac:dyDescent="0.25"/>
    <row r="3937" customFormat="1" ht="13.2" x14ac:dyDescent="0.25"/>
    <row r="3938" customFormat="1" ht="13.2" x14ac:dyDescent="0.25"/>
    <row r="3939" customFormat="1" ht="13.2" x14ac:dyDescent="0.25"/>
    <row r="3940" customFormat="1" ht="13.2" x14ac:dyDescent="0.25"/>
    <row r="3941" customFormat="1" ht="13.2" x14ac:dyDescent="0.25"/>
    <row r="3942" customFormat="1" ht="13.2" x14ac:dyDescent="0.25"/>
    <row r="3943" customFormat="1" ht="13.2" x14ac:dyDescent="0.25"/>
    <row r="3944" customFormat="1" ht="13.2" x14ac:dyDescent="0.25"/>
    <row r="3945" customFormat="1" ht="13.2" x14ac:dyDescent="0.25"/>
    <row r="3946" customFormat="1" ht="13.2" x14ac:dyDescent="0.25"/>
    <row r="3947" customFormat="1" ht="13.2" x14ac:dyDescent="0.25"/>
    <row r="3948" customFormat="1" ht="13.2" x14ac:dyDescent="0.25"/>
    <row r="3949" customFormat="1" ht="13.2" x14ac:dyDescent="0.25"/>
    <row r="3950" customFormat="1" ht="13.2" x14ac:dyDescent="0.25"/>
    <row r="3951" customFormat="1" ht="13.2" x14ac:dyDescent="0.25"/>
    <row r="3952" customFormat="1" ht="13.2" x14ac:dyDescent="0.25"/>
    <row r="3953" customFormat="1" ht="13.2" x14ac:dyDescent="0.25"/>
    <row r="3954" customFormat="1" ht="13.2" x14ac:dyDescent="0.25"/>
    <row r="3955" customFormat="1" ht="13.2" x14ac:dyDescent="0.25"/>
    <row r="3956" customFormat="1" ht="13.2" x14ac:dyDescent="0.25"/>
    <row r="3957" customFormat="1" ht="13.2" x14ac:dyDescent="0.25"/>
    <row r="3958" customFormat="1" ht="13.2" x14ac:dyDescent="0.25"/>
    <row r="3959" customFormat="1" ht="13.2" x14ac:dyDescent="0.25"/>
    <row r="3960" customFormat="1" ht="13.2" x14ac:dyDescent="0.25"/>
    <row r="3961" customFormat="1" ht="13.2" x14ac:dyDescent="0.25"/>
    <row r="3962" customFormat="1" ht="13.2" x14ac:dyDescent="0.25"/>
    <row r="3963" customFormat="1" ht="13.2" x14ac:dyDescent="0.25"/>
    <row r="3964" customFormat="1" ht="13.2" x14ac:dyDescent="0.25"/>
    <row r="3965" customFormat="1" ht="13.2" x14ac:dyDescent="0.25"/>
    <row r="3966" customFormat="1" ht="13.2" x14ac:dyDescent="0.25"/>
    <row r="3967" customFormat="1" ht="13.2" x14ac:dyDescent="0.25"/>
    <row r="3968" customFormat="1" ht="13.2" x14ac:dyDescent="0.25"/>
    <row r="3969" customFormat="1" ht="13.2" x14ac:dyDescent="0.25"/>
    <row r="3970" customFormat="1" ht="13.2" x14ac:dyDescent="0.25"/>
    <row r="3971" customFormat="1" ht="13.2" x14ac:dyDescent="0.25"/>
    <row r="3972" customFormat="1" ht="13.2" x14ac:dyDescent="0.25"/>
    <row r="3973" customFormat="1" ht="13.2" x14ac:dyDescent="0.25"/>
    <row r="3974" customFormat="1" ht="13.2" x14ac:dyDescent="0.25"/>
    <row r="3975" customFormat="1" ht="13.2" x14ac:dyDescent="0.25"/>
    <row r="3976" customFormat="1" ht="13.2" x14ac:dyDescent="0.25"/>
    <row r="3977" customFormat="1" ht="13.2" x14ac:dyDescent="0.25"/>
    <row r="3978" customFormat="1" ht="13.2" x14ac:dyDescent="0.25"/>
    <row r="3979" customFormat="1" ht="13.2" x14ac:dyDescent="0.25"/>
    <row r="3980" customFormat="1" ht="13.2" x14ac:dyDescent="0.25"/>
    <row r="3981" customFormat="1" ht="13.2" x14ac:dyDescent="0.25"/>
    <row r="3982" customFormat="1" ht="13.2" x14ac:dyDescent="0.25"/>
    <row r="3983" customFormat="1" ht="13.2" x14ac:dyDescent="0.25"/>
    <row r="3984" customFormat="1" ht="13.2" x14ac:dyDescent="0.25"/>
    <row r="3985" customFormat="1" ht="13.2" x14ac:dyDescent="0.25"/>
    <row r="3986" customFormat="1" ht="13.2" x14ac:dyDescent="0.25"/>
    <row r="3987" customFormat="1" ht="13.2" x14ac:dyDescent="0.25"/>
    <row r="3988" customFormat="1" ht="13.2" x14ac:dyDescent="0.25"/>
    <row r="3989" customFormat="1" ht="13.2" x14ac:dyDescent="0.25"/>
    <row r="3990" customFormat="1" ht="13.2" x14ac:dyDescent="0.25"/>
    <row r="3991" customFormat="1" ht="13.2" x14ac:dyDescent="0.25"/>
    <row r="3992" customFormat="1" ht="13.2" x14ac:dyDescent="0.25"/>
    <row r="3993" customFormat="1" ht="13.2" x14ac:dyDescent="0.25"/>
    <row r="3994" customFormat="1" ht="13.2" x14ac:dyDescent="0.25"/>
    <row r="3995" customFormat="1" ht="13.2" x14ac:dyDescent="0.25"/>
    <row r="3996" customFormat="1" ht="13.2" x14ac:dyDescent="0.25"/>
    <row r="3997" customFormat="1" ht="13.2" x14ac:dyDescent="0.25"/>
    <row r="3998" customFormat="1" ht="13.2" x14ac:dyDescent="0.25"/>
    <row r="3999" customFormat="1" ht="13.2" x14ac:dyDescent="0.25"/>
    <row r="4000" customFormat="1" ht="13.2" x14ac:dyDescent="0.25"/>
    <row r="4001" customFormat="1" ht="13.2" x14ac:dyDescent="0.25"/>
    <row r="4002" customFormat="1" ht="13.2" x14ac:dyDescent="0.25"/>
    <row r="4003" customFormat="1" ht="13.2" x14ac:dyDescent="0.25"/>
    <row r="4004" customFormat="1" ht="13.2" x14ac:dyDescent="0.25"/>
    <row r="4005" customFormat="1" ht="13.2" x14ac:dyDescent="0.25"/>
    <row r="4006" customFormat="1" ht="13.2" x14ac:dyDescent="0.25"/>
    <row r="4007" customFormat="1" ht="13.2" x14ac:dyDescent="0.25"/>
    <row r="4008" customFormat="1" ht="13.2" x14ac:dyDescent="0.25"/>
    <row r="4009" customFormat="1" ht="13.2" x14ac:dyDescent="0.25"/>
    <row r="4010" customFormat="1" ht="13.2" x14ac:dyDescent="0.25"/>
    <row r="4011" customFormat="1" ht="13.2" x14ac:dyDescent="0.25"/>
    <row r="4012" customFormat="1" ht="13.2" x14ac:dyDescent="0.25"/>
    <row r="4013" customFormat="1" ht="13.2" x14ac:dyDescent="0.25"/>
    <row r="4014" customFormat="1" ht="13.2" x14ac:dyDescent="0.25"/>
    <row r="4015" customFormat="1" ht="13.2" x14ac:dyDescent="0.25"/>
    <row r="4016" customFormat="1" ht="13.2" x14ac:dyDescent="0.25"/>
    <row r="4017" customFormat="1" ht="13.2" x14ac:dyDescent="0.25"/>
    <row r="4018" customFormat="1" ht="13.2" x14ac:dyDescent="0.25"/>
    <row r="4019" customFormat="1" ht="13.2" x14ac:dyDescent="0.25"/>
    <row r="4020" customFormat="1" ht="13.2" x14ac:dyDescent="0.25"/>
    <row r="4021" customFormat="1" ht="13.2" x14ac:dyDescent="0.25"/>
    <row r="4022" customFormat="1" ht="13.2" x14ac:dyDescent="0.25"/>
    <row r="4023" customFormat="1" ht="13.2" x14ac:dyDescent="0.25"/>
    <row r="4024" customFormat="1" ht="13.2" x14ac:dyDescent="0.25"/>
    <row r="4025" customFormat="1" ht="13.2" x14ac:dyDescent="0.25"/>
    <row r="4026" customFormat="1" ht="13.2" x14ac:dyDescent="0.25"/>
    <row r="4027" customFormat="1" ht="13.2" x14ac:dyDescent="0.25"/>
    <row r="4028" customFormat="1" ht="13.2" x14ac:dyDescent="0.25"/>
    <row r="4029" customFormat="1" ht="13.2" x14ac:dyDescent="0.25"/>
    <row r="4030" customFormat="1" ht="13.2" x14ac:dyDescent="0.25"/>
    <row r="4031" customFormat="1" ht="13.2" x14ac:dyDescent="0.25"/>
    <row r="4032" customFormat="1" ht="13.2" x14ac:dyDescent="0.25"/>
    <row r="4033" customFormat="1" ht="13.2" x14ac:dyDescent="0.25"/>
    <row r="4034" customFormat="1" ht="13.2" x14ac:dyDescent="0.25"/>
    <row r="4035" customFormat="1" ht="13.2" x14ac:dyDescent="0.25"/>
    <row r="4036" customFormat="1" ht="13.2" x14ac:dyDescent="0.25"/>
    <row r="4037" customFormat="1" ht="13.2" x14ac:dyDescent="0.25"/>
    <row r="4038" customFormat="1" ht="13.2" x14ac:dyDescent="0.25"/>
    <row r="4039" customFormat="1" ht="13.2" x14ac:dyDescent="0.25"/>
    <row r="4040" customFormat="1" ht="13.2" x14ac:dyDescent="0.25"/>
    <row r="4041" customFormat="1" ht="13.2" x14ac:dyDescent="0.25"/>
    <row r="4042" customFormat="1" ht="13.2" x14ac:dyDescent="0.25"/>
    <row r="4043" customFormat="1" ht="13.2" x14ac:dyDescent="0.25"/>
    <row r="4044" customFormat="1" ht="13.2" x14ac:dyDescent="0.25"/>
    <row r="4045" customFormat="1" ht="13.2" x14ac:dyDescent="0.25"/>
    <row r="4046" customFormat="1" ht="13.2" x14ac:dyDescent="0.25"/>
    <row r="4047" customFormat="1" ht="13.2" x14ac:dyDescent="0.25"/>
    <row r="4048" customFormat="1" ht="13.2" x14ac:dyDescent="0.25"/>
    <row r="4049" customFormat="1" ht="13.2" x14ac:dyDescent="0.25"/>
    <row r="4050" customFormat="1" ht="13.2" x14ac:dyDescent="0.25"/>
    <row r="4051" customFormat="1" ht="13.2" x14ac:dyDescent="0.25"/>
    <row r="4052" customFormat="1" ht="13.2" x14ac:dyDescent="0.25"/>
    <row r="4053" customFormat="1" ht="13.2" x14ac:dyDescent="0.25"/>
    <row r="4054" customFormat="1" ht="13.2" x14ac:dyDescent="0.25"/>
    <row r="4055" customFormat="1" ht="13.2" x14ac:dyDescent="0.25"/>
    <row r="4056" customFormat="1" ht="13.2" x14ac:dyDescent="0.25"/>
    <row r="4057" customFormat="1" ht="13.2" x14ac:dyDescent="0.25"/>
    <row r="4058" customFormat="1" ht="13.2" x14ac:dyDescent="0.25"/>
    <row r="4059" customFormat="1" ht="13.2" x14ac:dyDescent="0.25"/>
    <row r="4060" customFormat="1" ht="13.2" x14ac:dyDescent="0.25"/>
    <row r="4061" customFormat="1" ht="13.2" x14ac:dyDescent="0.25"/>
    <row r="4062" customFormat="1" ht="13.2" x14ac:dyDescent="0.25"/>
    <row r="4063" customFormat="1" ht="13.2" x14ac:dyDescent="0.25"/>
    <row r="4064" customFormat="1" ht="13.2" x14ac:dyDescent="0.25"/>
    <row r="4065" customFormat="1" ht="13.2" x14ac:dyDescent="0.25"/>
    <row r="4066" customFormat="1" ht="13.2" x14ac:dyDescent="0.25"/>
    <row r="4067" customFormat="1" ht="13.2" x14ac:dyDescent="0.25"/>
    <row r="4068" customFormat="1" ht="13.2" x14ac:dyDescent="0.25"/>
    <row r="4069" customFormat="1" ht="13.2" x14ac:dyDescent="0.25"/>
    <row r="4070" customFormat="1" ht="13.2" x14ac:dyDescent="0.25"/>
    <row r="4071" customFormat="1" ht="13.2" x14ac:dyDescent="0.25"/>
    <row r="4072" customFormat="1" ht="13.2" x14ac:dyDescent="0.25"/>
    <row r="4073" customFormat="1" ht="13.2" x14ac:dyDescent="0.25"/>
    <row r="4074" customFormat="1" ht="13.2" x14ac:dyDescent="0.25"/>
    <row r="4075" customFormat="1" ht="13.2" x14ac:dyDescent="0.25"/>
    <row r="4076" customFormat="1" ht="13.2" x14ac:dyDescent="0.25"/>
    <row r="4077" customFormat="1" ht="13.2" x14ac:dyDescent="0.25"/>
    <row r="4078" customFormat="1" ht="13.2" x14ac:dyDescent="0.25"/>
    <row r="4079" customFormat="1" ht="13.2" x14ac:dyDescent="0.25"/>
    <row r="4080" customFormat="1" ht="13.2" x14ac:dyDescent="0.25"/>
    <row r="4081" customFormat="1" ht="13.2" x14ac:dyDescent="0.25"/>
    <row r="4082" customFormat="1" ht="13.2" x14ac:dyDescent="0.25"/>
    <row r="4083" customFormat="1" ht="13.2" x14ac:dyDescent="0.25"/>
    <row r="4084" customFormat="1" ht="13.2" x14ac:dyDescent="0.25"/>
    <row r="4085" customFormat="1" ht="13.2" x14ac:dyDescent="0.25"/>
    <row r="4086" customFormat="1" ht="13.2" x14ac:dyDescent="0.25"/>
    <row r="4087" customFormat="1" ht="13.2" x14ac:dyDescent="0.25"/>
    <row r="4088" customFormat="1" ht="13.2" x14ac:dyDescent="0.25"/>
    <row r="4089" customFormat="1" ht="13.2" x14ac:dyDescent="0.25"/>
    <row r="4090" customFormat="1" ht="13.2" x14ac:dyDescent="0.25"/>
    <row r="4091" customFormat="1" ht="13.2" x14ac:dyDescent="0.25"/>
    <row r="4092" customFormat="1" ht="13.2" x14ac:dyDescent="0.25"/>
    <row r="4093" customFormat="1" ht="13.2" x14ac:dyDescent="0.25"/>
    <row r="4094" customFormat="1" ht="13.2" x14ac:dyDescent="0.25"/>
    <row r="4095" customFormat="1" ht="13.2" x14ac:dyDescent="0.25"/>
    <row r="4096" customFormat="1" ht="13.2" x14ac:dyDescent="0.25"/>
    <row r="4097" customFormat="1" ht="13.2" x14ac:dyDescent="0.25"/>
    <row r="4098" customFormat="1" ht="13.2" x14ac:dyDescent="0.25"/>
    <row r="4099" customFormat="1" ht="13.2" x14ac:dyDescent="0.25"/>
    <row r="4100" customFormat="1" ht="13.2" x14ac:dyDescent="0.25"/>
    <row r="4101" customFormat="1" ht="13.2" x14ac:dyDescent="0.25"/>
    <row r="4102" customFormat="1" ht="13.2" x14ac:dyDescent="0.25"/>
    <row r="4103" customFormat="1" ht="13.2" x14ac:dyDescent="0.25"/>
    <row r="4104" customFormat="1" ht="13.2" x14ac:dyDescent="0.25"/>
    <row r="4105" customFormat="1" ht="13.2" x14ac:dyDescent="0.25"/>
    <row r="4106" customFormat="1" ht="13.2" x14ac:dyDescent="0.25"/>
    <row r="4107" customFormat="1" ht="13.2" x14ac:dyDescent="0.25"/>
    <row r="4108" customFormat="1" ht="13.2" x14ac:dyDescent="0.25"/>
    <row r="4109" customFormat="1" ht="13.2" x14ac:dyDescent="0.25"/>
    <row r="4110" customFormat="1" ht="13.2" x14ac:dyDescent="0.25"/>
    <row r="4111" customFormat="1" ht="13.2" x14ac:dyDescent="0.25"/>
    <row r="4112" customFormat="1" ht="13.2" x14ac:dyDescent="0.25"/>
    <row r="4113" customFormat="1" ht="13.2" x14ac:dyDescent="0.25"/>
    <row r="4114" customFormat="1" ht="13.2" x14ac:dyDescent="0.25"/>
    <row r="4115" customFormat="1" ht="13.2" x14ac:dyDescent="0.25"/>
    <row r="4116" customFormat="1" ht="13.2" x14ac:dyDescent="0.25"/>
    <row r="4117" customFormat="1" ht="13.2" x14ac:dyDescent="0.25"/>
    <row r="4118" customFormat="1" ht="13.2" x14ac:dyDescent="0.25"/>
    <row r="4119" customFormat="1" ht="13.2" x14ac:dyDescent="0.25"/>
    <row r="4120" customFormat="1" ht="13.2" x14ac:dyDescent="0.25"/>
    <row r="4121" customFormat="1" ht="13.2" x14ac:dyDescent="0.25"/>
    <row r="4122" customFormat="1" ht="13.2" x14ac:dyDescent="0.25"/>
    <row r="4123" customFormat="1" ht="13.2" x14ac:dyDescent="0.25"/>
    <row r="4124" customFormat="1" ht="13.2" x14ac:dyDescent="0.25"/>
    <row r="4125" customFormat="1" ht="13.2" x14ac:dyDescent="0.25"/>
    <row r="4126" customFormat="1" ht="13.2" x14ac:dyDescent="0.25"/>
    <row r="4127" customFormat="1" ht="13.2" x14ac:dyDescent="0.25"/>
    <row r="4128" customFormat="1" ht="13.2" x14ac:dyDescent="0.25"/>
    <row r="4129" customFormat="1" ht="13.2" x14ac:dyDescent="0.25"/>
    <row r="4130" customFormat="1" ht="13.2" x14ac:dyDescent="0.25"/>
    <row r="4131" customFormat="1" ht="13.2" x14ac:dyDescent="0.25"/>
    <row r="4132" customFormat="1" ht="13.2" x14ac:dyDescent="0.25"/>
    <row r="4133" customFormat="1" ht="13.2" x14ac:dyDescent="0.25"/>
    <row r="4134" customFormat="1" ht="13.2" x14ac:dyDescent="0.25"/>
    <row r="4135" customFormat="1" ht="13.2" x14ac:dyDescent="0.25"/>
    <row r="4136" customFormat="1" ht="13.2" x14ac:dyDescent="0.25"/>
    <row r="4137" customFormat="1" ht="13.2" x14ac:dyDescent="0.25"/>
    <row r="4138" customFormat="1" ht="13.2" x14ac:dyDescent="0.25"/>
    <row r="4139" customFormat="1" ht="13.2" x14ac:dyDescent="0.25"/>
    <row r="4140" customFormat="1" ht="13.2" x14ac:dyDescent="0.25"/>
    <row r="4141" customFormat="1" ht="13.2" x14ac:dyDescent="0.25"/>
    <row r="4142" customFormat="1" ht="13.2" x14ac:dyDescent="0.25"/>
    <row r="4143" customFormat="1" ht="13.2" x14ac:dyDescent="0.25"/>
    <row r="4144" customFormat="1" ht="13.2" x14ac:dyDescent="0.25"/>
    <row r="4145" customFormat="1" ht="13.2" x14ac:dyDescent="0.25"/>
    <row r="4146" customFormat="1" ht="13.2" x14ac:dyDescent="0.25"/>
    <row r="4147" customFormat="1" ht="13.2" x14ac:dyDescent="0.25"/>
    <row r="4148" customFormat="1" ht="13.2" x14ac:dyDescent="0.25"/>
    <row r="4149" customFormat="1" ht="13.2" x14ac:dyDescent="0.25"/>
    <row r="4150" customFormat="1" ht="13.2" x14ac:dyDescent="0.25"/>
    <row r="4151" customFormat="1" ht="13.2" x14ac:dyDescent="0.25"/>
    <row r="4152" customFormat="1" ht="13.2" x14ac:dyDescent="0.25"/>
    <row r="4153" customFormat="1" ht="13.2" x14ac:dyDescent="0.25"/>
    <row r="4154" customFormat="1" ht="13.2" x14ac:dyDescent="0.25"/>
    <row r="4155" customFormat="1" ht="13.2" x14ac:dyDescent="0.25"/>
    <row r="4156" customFormat="1" ht="13.2" x14ac:dyDescent="0.25"/>
    <row r="4157" customFormat="1" ht="13.2" x14ac:dyDescent="0.25"/>
    <row r="4158" customFormat="1" ht="13.2" x14ac:dyDescent="0.25"/>
    <row r="4159" customFormat="1" ht="13.2" x14ac:dyDescent="0.25"/>
    <row r="4160" customFormat="1" ht="13.2" x14ac:dyDescent="0.25"/>
    <row r="4161" customFormat="1" ht="13.2" x14ac:dyDescent="0.25"/>
    <row r="4162" customFormat="1" ht="13.2" x14ac:dyDescent="0.25"/>
    <row r="4163" customFormat="1" ht="13.2" x14ac:dyDescent="0.25"/>
    <row r="4164" customFormat="1" ht="13.2" x14ac:dyDescent="0.25"/>
    <row r="4165" customFormat="1" ht="13.2" x14ac:dyDescent="0.25"/>
    <row r="4166" customFormat="1" ht="13.2" x14ac:dyDescent="0.25"/>
    <row r="4167" customFormat="1" ht="13.2" x14ac:dyDescent="0.25"/>
    <row r="4168" customFormat="1" ht="13.2" x14ac:dyDescent="0.25"/>
    <row r="4169" customFormat="1" ht="13.2" x14ac:dyDescent="0.25"/>
    <row r="4170" customFormat="1" ht="13.2" x14ac:dyDescent="0.25"/>
    <row r="4171" customFormat="1" ht="13.2" x14ac:dyDescent="0.25"/>
    <row r="4172" customFormat="1" ht="13.2" x14ac:dyDescent="0.25"/>
    <row r="4173" customFormat="1" ht="13.2" x14ac:dyDescent="0.25"/>
    <row r="4174" customFormat="1" ht="13.2" x14ac:dyDescent="0.25"/>
    <row r="4175" customFormat="1" ht="13.2" x14ac:dyDescent="0.25"/>
    <row r="4176" customFormat="1" ht="13.2" x14ac:dyDescent="0.25"/>
    <row r="4177" customFormat="1" ht="13.2" x14ac:dyDescent="0.25"/>
    <row r="4178" customFormat="1" ht="13.2" x14ac:dyDescent="0.25"/>
    <row r="4179" customFormat="1" ht="13.2" x14ac:dyDescent="0.25"/>
    <row r="4180" customFormat="1" ht="13.2" x14ac:dyDescent="0.25"/>
    <row r="4181" customFormat="1" ht="13.2" x14ac:dyDescent="0.25"/>
    <row r="4182" customFormat="1" ht="13.2" x14ac:dyDescent="0.25"/>
    <row r="4183" customFormat="1" ht="13.2" x14ac:dyDescent="0.25"/>
    <row r="4184" customFormat="1" ht="13.2" x14ac:dyDescent="0.25"/>
    <row r="4185" customFormat="1" ht="13.2" x14ac:dyDescent="0.25"/>
    <row r="4186" customFormat="1" ht="13.2" x14ac:dyDescent="0.25"/>
    <row r="4187" customFormat="1" ht="13.2" x14ac:dyDescent="0.25"/>
    <row r="4188" customFormat="1" ht="13.2" x14ac:dyDescent="0.25"/>
    <row r="4189" customFormat="1" ht="13.2" x14ac:dyDescent="0.25"/>
    <row r="4190" customFormat="1" ht="13.2" x14ac:dyDescent="0.25"/>
    <row r="4191" customFormat="1" ht="13.2" x14ac:dyDescent="0.25"/>
    <row r="4192" customFormat="1" ht="13.2" x14ac:dyDescent="0.25"/>
    <row r="4193" customFormat="1" ht="13.2" x14ac:dyDescent="0.25"/>
    <row r="4194" customFormat="1" ht="13.2" x14ac:dyDescent="0.25"/>
    <row r="4195" customFormat="1" ht="13.2" x14ac:dyDescent="0.25"/>
    <row r="4196" customFormat="1" ht="13.2" x14ac:dyDescent="0.25"/>
    <row r="4197" customFormat="1" ht="13.2" x14ac:dyDescent="0.25"/>
    <row r="4198" customFormat="1" ht="13.2" x14ac:dyDescent="0.25"/>
    <row r="4199" customFormat="1" ht="13.2" x14ac:dyDescent="0.25"/>
    <row r="4200" customFormat="1" ht="13.2" x14ac:dyDescent="0.25"/>
    <row r="4201" customFormat="1" ht="13.2" x14ac:dyDescent="0.25"/>
    <row r="4202" customFormat="1" ht="13.2" x14ac:dyDescent="0.25"/>
    <row r="4203" customFormat="1" ht="13.2" x14ac:dyDescent="0.25"/>
    <row r="4204" customFormat="1" ht="13.2" x14ac:dyDescent="0.25"/>
    <row r="4205" customFormat="1" ht="13.2" x14ac:dyDescent="0.25"/>
    <row r="4206" customFormat="1" ht="13.2" x14ac:dyDescent="0.25"/>
    <row r="4207" customFormat="1" ht="13.2" x14ac:dyDescent="0.25"/>
    <row r="4208" customFormat="1" ht="13.2" x14ac:dyDescent="0.25"/>
    <row r="4209" customFormat="1" ht="13.2" x14ac:dyDescent="0.25"/>
    <row r="4210" customFormat="1" ht="13.2" x14ac:dyDescent="0.25"/>
    <row r="4211" customFormat="1" ht="13.2" x14ac:dyDescent="0.25"/>
    <row r="4212" customFormat="1" ht="13.2" x14ac:dyDescent="0.25"/>
    <row r="4213" customFormat="1" ht="13.2" x14ac:dyDescent="0.25"/>
    <row r="4214" customFormat="1" ht="13.2" x14ac:dyDescent="0.25"/>
    <row r="4215" customFormat="1" ht="13.2" x14ac:dyDescent="0.25"/>
    <row r="4216" customFormat="1" ht="13.2" x14ac:dyDescent="0.25"/>
    <row r="4217" customFormat="1" ht="13.2" x14ac:dyDescent="0.25"/>
    <row r="4218" customFormat="1" ht="13.2" x14ac:dyDescent="0.25"/>
    <row r="4219" customFormat="1" ht="13.2" x14ac:dyDescent="0.25"/>
    <row r="4220" customFormat="1" ht="13.2" x14ac:dyDescent="0.25"/>
    <row r="4221" customFormat="1" ht="13.2" x14ac:dyDescent="0.25"/>
    <row r="4222" customFormat="1" ht="13.2" x14ac:dyDescent="0.25"/>
    <row r="4223" customFormat="1" ht="13.2" x14ac:dyDescent="0.25"/>
    <row r="4224" customFormat="1" ht="13.2" x14ac:dyDescent="0.25"/>
    <row r="4225" customFormat="1" ht="13.2" x14ac:dyDescent="0.25"/>
    <row r="4226" customFormat="1" ht="13.2" x14ac:dyDescent="0.25"/>
    <row r="4227" customFormat="1" ht="13.2" x14ac:dyDescent="0.25"/>
    <row r="4228" customFormat="1" ht="13.2" x14ac:dyDescent="0.25"/>
    <row r="4229" customFormat="1" ht="13.2" x14ac:dyDescent="0.25"/>
    <row r="4230" customFormat="1" ht="13.2" x14ac:dyDescent="0.25"/>
    <row r="4231" customFormat="1" ht="13.2" x14ac:dyDescent="0.25"/>
    <row r="4232" customFormat="1" ht="13.2" x14ac:dyDescent="0.25"/>
    <row r="4233" customFormat="1" ht="13.2" x14ac:dyDescent="0.25"/>
    <row r="4234" customFormat="1" ht="13.2" x14ac:dyDescent="0.25"/>
    <row r="4235" customFormat="1" ht="13.2" x14ac:dyDescent="0.25"/>
    <row r="4236" customFormat="1" ht="13.2" x14ac:dyDescent="0.25"/>
    <row r="4237" customFormat="1" ht="13.2" x14ac:dyDescent="0.25"/>
    <row r="4238" customFormat="1" ht="13.2" x14ac:dyDescent="0.25"/>
    <row r="4239" customFormat="1" ht="13.2" x14ac:dyDescent="0.25"/>
    <row r="4240" customFormat="1" ht="13.2" x14ac:dyDescent="0.25"/>
    <row r="4241" customFormat="1" ht="13.2" x14ac:dyDescent="0.25"/>
    <row r="4242" customFormat="1" ht="13.2" x14ac:dyDescent="0.25"/>
    <row r="4243" customFormat="1" ht="13.2" x14ac:dyDescent="0.25"/>
    <row r="4244" customFormat="1" ht="13.2" x14ac:dyDescent="0.25"/>
    <row r="4245" customFormat="1" ht="13.2" x14ac:dyDescent="0.25"/>
    <row r="4246" customFormat="1" ht="13.2" x14ac:dyDescent="0.25"/>
    <row r="4247" customFormat="1" ht="13.2" x14ac:dyDescent="0.25"/>
    <row r="4248" customFormat="1" ht="13.2" x14ac:dyDescent="0.25"/>
    <row r="4249" customFormat="1" ht="13.2" x14ac:dyDescent="0.25"/>
    <row r="4250" customFormat="1" ht="13.2" x14ac:dyDescent="0.25"/>
    <row r="4251" customFormat="1" ht="13.2" x14ac:dyDescent="0.25"/>
    <row r="4252" customFormat="1" ht="13.2" x14ac:dyDescent="0.25"/>
    <row r="4253" customFormat="1" ht="13.2" x14ac:dyDescent="0.25"/>
    <row r="4254" customFormat="1" ht="13.2" x14ac:dyDescent="0.25"/>
    <row r="4255" customFormat="1" ht="13.2" x14ac:dyDescent="0.25"/>
    <row r="4256" customFormat="1" ht="13.2" x14ac:dyDescent="0.25"/>
    <row r="4257" customFormat="1" ht="13.2" x14ac:dyDescent="0.25"/>
    <row r="4258" customFormat="1" ht="13.2" x14ac:dyDescent="0.25"/>
    <row r="4259" customFormat="1" ht="13.2" x14ac:dyDescent="0.25"/>
    <row r="4260" customFormat="1" ht="13.2" x14ac:dyDescent="0.25"/>
    <row r="4261" customFormat="1" ht="13.2" x14ac:dyDescent="0.25"/>
    <row r="4262" customFormat="1" ht="13.2" x14ac:dyDescent="0.25"/>
    <row r="4263" customFormat="1" ht="13.2" x14ac:dyDescent="0.25"/>
    <row r="4264" customFormat="1" ht="13.2" x14ac:dyDescent="0.25"/>
    <row r="4265" customFormat="1" ht="13.2" x14ac:dyDescent="0.25"/>
    <row r="4266" customFormat="1" ht="13.2" x14ac:dyDescent="0.25"/>
    <row r="4267" customFormat="1" ht="13.2" x14ac:dyDescent="0.25"/>
    <row r="4268" customFormat="1" ht="13.2" x14ac:dyDescent="0.25"/>
    <row r="4269" customFormat="1" ht="13.2" x14ac:dyDescent="0.25"/>
    <row r="4270" customFormat="1" ht="13.2" x14ac:dyDescent="0.25"/>
    <row r="4271" customFormat="1" ht="13.2" x14ac:dyDescent="0.25"/>
    <row r="4272" customFormat="1" ht="13.2" x14ac:dyDescent="0.25"/>
    <row r="4273" customFormat="1" ht="13.2" x14ac:dyDescent="0.25"/>
    <row r="4274" customFormat="1" ht="13.2" x14ac:dyDescent="0.25"/>
    <row r="4275" customFormat="1" ht="13.2" x14ac:dyDescent="0.25"/>
    <row r="4276" customFormat="1" ht="13.2" x14ac:dyDescent="0.25"/>
    <row r="4277" customFormat="1" ht="13.2" x14ac:dyDescent="0.25"/>
    <row r="4278" customFormat="1" ht="13.2" x14ac:dyDescent="0.25"/>
    <row r="4279" customFormat="1" ht="13.2" x14ac:dyDescent="0.25"/>
    <row r="4280" customFormat="1" ht="13.2" x14ac:dyDescent="0.25"/>
    <row r="4281" customFormat="1" ht="13.2" x14ac:dyDescent="0.25"/>
    <row r="4282" customFormat="1" ht="13.2" x14ac:dyDescent="0.25"/>
    <row r="4283" customFormat="1" ht="13.2" x14ac:dyDescent="0.25"/>
    <row r="4284" customFormat="1" ht="13.2" x14ac:dyDescent="0.25"/>
    <row r="4285" customFormat="1" ht="13.2" x14ac:dyDescent="0.25"/>
    <row r="4286" customFormat="1" ht="13.2" x14ac:dyDescent="0.25"/>
    <row r="4287" customFormat="1" ht="13.2" x14ac:dyDescent="0.25"/>
    <row r="4288" customFormat="1" ht="13.2" x14ac:dyDescent="0.25"/>
    <row r="4289" customFormat="1" ht="13.2" x14ac:dyDescent="0.25"/>
    <row r="4290" customFormat="1" ht="13.2" x14ac:dyDescent="0.25"/>
    <row r="4291" customFormat="1" ht="13.2" x14ac:dyDescent="0.25"/>
    <row r="4292" customFormat="1" ht="13.2" x14ac:dyDescent="0.25"/>
    <row r="4293" customFormat="1" ht="13.2" x14ac:dyDescent="0.25"/>
    <row r="4294" customFormat="1" ht="13.2" x14ac:dyDescent="0.25"/>
    <row r="4295" customFormat="1" ht="13.2" x14ac:dyDescent="0.25"/>
    <row r="4296" customFormat="1" ht="13.2" x14ac:dyDescent="0.25"/>
    <row r="4297" customFormat="1" ht="13.2" x14ac:dyDescent="0.25"/>
    <row r="4298" customFormat="1" ht="13.2" x14ac:dyDescent="0.25"/>
    <row r="4299" customFormat="1" ht="13.2" x14ac:dyDescent="0.25"/>
    <row r="4300" customFormat="1" ht="13.2" x14ac:dyDescent="0.25"/>
    <row r="4301" customFormat="1" ht="13.2" x14ac:dyDescent="0.25"/>
    <row r="4302" customFormat="1" ht="13.2" x14ac:dyDescent="0.25"/>
    <row r="4303" customFormat="1" ht="13.2" x14ac:dyDescent="0.25"/>
    <row r="4304" customFormat="1" ht="13.2" x14ac:dyDescent="0.25"/>
    <row r="4305" customFormat="1" ht="13.2" x14ac:dyDescent="0.25"/>
    <row r="4306" customFormat="1" ht="13.2" x14ac:dyDescent="0.25"/>
    <row r="4307" customFormat="1" ht="13.2" x14ac:dyDescent="0.25"/>
    <row r="4308" customFormat="1" ht="13.2" x14ac:dyDescent="0.25"/>
    <row r="4309" customFormat="1" ht="13.2" x14ac:dyDescent="0.25"/>
    <row r="4310" customFormat="1" ht="13.2" x14ac:dyDescent="0.25"/>
    <row r="4311" customFormat="1" ht="13.2" x14ac:dyDescent="0.25"/>
    <row r="4312" customFormat="1" ht="13.2" x14ac:dyDescent="0.25"/>
    <row r="4313" customFormat="1" ht="13.2" x14ac:dyDescent="0.25"/>
    <row r="4314" customFormat="1" ht="13.2" x14ac:dyDescent="0.25"/>
    <row r="4315" customFormat="1" ht="13.2" x14ac:dyDescent="0.25"/>
    <row r="4316" customFormat="1" ht="13.2" x14ac:dyDescent="0.25"/>
    <row r="4317" customFormat="1" ht="13.2" x14ac:dyDescent="0.25"/>
    <row r="4318" customFormat="1" ht="13.2" x14ac:dyDescent="0.25"/>
    <row r="4319" customFormat="1" ht="13.2" x14ac:dyDescent="0.25"/>
    <row r="4320" customFormat="1" ht="13.2" x14ac:dyDescent="0.25"/>
    <row r="4321" customFormat="1" ht="13.2" x14ac:dyDescent="0.25"/>
    <row r="4322" customFormat="1" ht="13.2" x14ac:dyDescent="0.25"/>
    <row r="4323" customFormat="1" ht="13.2" x14ac:dyDescent="0.25"/>
    <row r="4324" customFormat="1" ht="13.2" x14ac:dyDescent="0.25"/>
    <row r="4325" customFormat="1" ht="13.2" x14ac:dyDescent="0.25"/>
    <row r="4326" customFormat="1" ht="13.2" x14ac:dyDescent="0.25"/>
    <row r="4327" customFormat="1" ht="13.2" x14ac:dyDescent="0.25"/>
    <row r="4328" customFormat="1" ht="13.2" x14ac:dyDescent="0.25"/>
    <row r="4329" customFormat="1" ht="13.2" x14ac:dyDescent="0.25"/>
    <row r="4330" customFormat="1" ht="13.2" x14ac:dyDescent="0.25"/>
    <row r="4331" customFormat="1" ht="13.2" x14ac:dyDescent="0.25"/>
    <row r="4332" customFormat="1" ht="13.2" x14ac:dyDescent="0.25"/>
    <row r="4333" customFormat="1" ht="13.2" x14ac:dyDescent="0.25"/>
    <row r="4334" customFormat="1" ht="13.2" x14ac:dyDescent="0.25"/>
    <row r="4335" customFormat="1" ht="13.2" x14ac:dyDescent="0.25"/>
    <row r="4336" customFormat="1" ht="13.2" x14ac:dyDescent="0.25"/>
    <row r="4337" customFormat="1" ht="13.2" x14ac:dyDescent="0.25"/>
    <row r="4338" customFormat="1" ht="13.2" x14ac:dyDescent="0.25"/>
    <row r="4339" customFormat="1" ht="13.2" x14ac:dyDescent="0.25"/>
    <row r="4340" customFormat="1" ht="13.2" x14ac:dyDescent="0.25"/>
    <row r="4341" customFormat="1" ht="13.2" x14ac:dyDescent="0.25"/>
    <row r="4342" customFormat="1" ht="13.2" x14ac:dyDescent="0.25"/>
    <row r="4343" customFormat="1" ht="13.2" x14ac:dyDescent="0.25"/>
    <row r="4344" customFormat="1" ht="13.2" x14ac:dyDescent="0.25"/>
    <row r="4345" customFormat="1" ht="13.2" x14ac:dyDescent="0.25"/>
    <row r="4346" customFormat="1" ht="13.2" x14ac:dyDescent="0.25"/>
    <row r="4347" customFormat="1" ht="13.2" x14ac:dyDescent="0.25"/>
    <row r="4348" customFormat="1" ht="13.2" x14ac:dyDescent="0.25"/>
    <row r="4349" customFormat="1" ht="13.2" x14ac:dyDescent="0.25"/>
    <row r="4350" customFormat="1" ht="13.2" x14ac:dyDescent="0.25"/>
    <row r="4351" customFormat="1" ht="13.2" x14ac:dyDescent="0.25"/>
    <row r="4352" customFormat="1" ht="13.2" x14ac:dyDescent="0.25"/>
    <row r="4353" customFormat="1" ht="13.2" x14ac:dyDescent="0.25"/>
    <row r="4354" customFormat="1" ht="13.2" x14ac:dyDescent="0.25"/>
    <row r="4355" customFormat="1" ht="13.2" x14ac:dyDescent="0.25"/>
    <row r="4356" customFormat="1" ht="13.2" x14ac:dyDescent="0.25"/>
    <row r="4357" customFormat="1" ht="13.2" x14ac:dyDescent="0.25"/>
    <row r="4358" customFormat="1" ht="13.2" x14ac:dyDescent="0.25"/>
    <row r="4359" customFormat="1" ht="13.2" x14ac:dyDescent="0.25"/>
    <row r="4360" customFormat="1" ht="13.2" x14ac:dyDescent="0.25"/>
    <row r="4361" customFormat="1" ht="13.2" x14ac:dyDescent="0.25"/>
    <row r="4362" customFormat="1" ht="13.2" x14ac:dyDescent="0.25"/>
    <row r="4363" customFormat="1" ht="13.2" x14ac:dyDescent="0.25"/>
    <row r="4364" customFormat="1" ht="13.2" x14ac:dyDescent="0.25"/>
    <row r="4365" customFormat="1" ht="13.2" x14ac:dyDescent="0.25"/>
    <row r="4366" customFormat="1" ht="13.2" x14ac:dyDescent="0.25"/>
    <row r="4367" customFormat="1" ht="13.2" x14ac:dyDescent="0.25"/>
    <row r="4368" customFormat="1" ht="13.2" x14ac:dyDescent="0.25"/>
    <row r="4369" customFormat="1" ht="13.2" x14ac:dyDescent="0.25"/>
    <row r="4370" customFormat="1" ht="13.2" x14ac:dyDescent="0.25"/>
    <row r="4371" customFormat="1" ht="13.2" x14ac:dyDescent="0.25"/>
    <row r="4372" customFormat="1" ht="13.2" x14ac:dyDescent="0.25"/>
    <row r="4373" customFormat="1" ht="13.2" x14ac:dyDescent="0.25"/>
    <row r="4374" customFormat="1" ht="13.2" x14ac:dyDescent="0.25"/>
    <row r="4375" customFormat="1" ht="13.2" x14ac:dyDescent="0.25"/>
    <row r="4376" customFormat="1" ht="13.2" x14ac:dyDescent="0.25"/>
    <row r="4377" customFormat="1" ht="13.2" x14ac:dyDescent="0.25"/>
    <row r="4378" customFormat="1" ht="13.2" x14ac:dyDescent="0.25"/>
    <row r="4379" customFormat="1" ht="13.2" x14ac:dyDescent="0.25"/>
    <row r="4380" customFormat="1" ht="13.2" x14ac:dyDescent="0.25"/>
    <row r="4381" customFormat="1" ht="13.2" x14ac:dyDescent="0.25"/>
    <row r="4382" customFormat="1" ht="13.2" x14ac:dyDescent="0.25"/>
    <row r="4383" customFormat="1" ht="13.2" x14ac:dyDescent="0.25"/>
    <row r="4384" customFormat="1" ht="13.2" x14ac:dyDescent="0.25"/>
    <row r="4385" customFormat="1" ht="13.2" x14ac:dyDescent="0.25"/>
    <row r="4386" customFormat="1" ht="13.2" x14ac:dyDescent="0.25"/>
    <row r="4387" customFormat="1" ht="13.2" x14ac:dyDescent="0.25"/>
    <row r="4388" customFormat="1" ht="13.2" x14ac:dyDescent="0.25"/>
    <row r="4389" customFormat="1" ht="13.2" x14ac:dyDescent="0.25"/>
    <row r="4390" customFormat="1" ht="13.2" x14ac:dyDescent="0.25"/>
    <row r="4391" customFormat="1" ht="13.2" x14ac:dyDescent="0.25"/>
    <row r="4392" customFormat="1" ht="13.2" x14ac:dyDescent="0.25"/>
    <row r="4393" customFormat="1" ht="13.2" x14ac:dyDescent="0.25"/>
    <row r="4394" customFormat="1" ht="13.2" x14ac:dyDescent="0.25"/>
    <row r="4395" customFormat="1" ht="13.2" x14ac:dyDescent="0.25"/>
    <row r="4396" customFormat="1" ht="13.2" x14ac:dyDescent="0.25"/>
    <row r="4397" customFormat="1" ht="13.2" x14ac:dyDescent="0.25"/>
    <row r="4398" customFormat="1" ht="13.2" x14ac:dyDescent="0.25"/>
    <row r="4399" customFormat="1" ht="13.2" x14ac:dyDescent="0.25"/>
    <row r="4400" customFormat="1" ht="13.2" x14ac:dyDescent="0.25"/>
    <row r="4401" customFormat="1" ht="13.2" x14ac:dyDescent="0.25"/>
    <row r="4402" customFormat="1" ht="13.2" x14ac:dyDescent="0.25"/>
    <row r="4403" customFormat="1" ht="13.2" x14ac:dyDescent="0.25"/>
    <row r="4404" customFormat="1" ht="13.2" x14ac:dyDescent="0.25"/>
    <row r="4405" customFormat="1" ht="13.2" x14ac:dyDescent="0.25"/>
    <row r="4406" customFormat="1" ht="13.2" x14ac:dyDescent="0.25"/>
    <row r="4407" customFormat="1" ht="13.2" x14ac:dyDescent="0.25"/>
    <row r="4408" customFormat="1" ht="13.2" x14ac:dyDescent="0.25"/>
    <row r="4409" customFormat="1" ht="13.2" x14ac:dyDescent="0.25"/>
    <row r="4410" customFormat="1" ht="13.2" x14ac:dyDescent="0.25"/>
    <row r="4411" customFormat="1" ht="13.2" x14ac:dyDescent="0.25"/>
    <row r="4412" customFormat="1" ht="13.2" x14ac:dyDescent="0.25"/>
    <row r="4413" customFormat="1" ht="13.2" x14ac:dyDescent="0.25"/>
    <row r="4414" customFormat="1" ht="13.2" x14ac:dyDescent="0.25"/>
    <row r="4415" customFormat="1" ht="13.2" x14ac:dyDescent="0.25"/>
    <row r="4416" customFormat="1" ht="13.2" x14ac:dyDescent="0.25"/>
    <row r="4417" customFormat="1" ht="13.2" x14ac:dyDescent="0.25"/>
    <row r="4418" customFormat="1" ht="13.2" x14ac:dyDescent="0.25"/>
    <row r="4419" customFormat="1" ht="13.2" x14ac:dyDescent="0.25"/>
    <row r="4420" customFormat="1" ht="13.2" x14ac:dyDescent="0.25"/>
    <row r="4421" customFormat="1" ht="13.2" x14ac:dyDescent="0.25"/>
    <row r="4422" customFormat="1" ht="13.2" x14ac:dyDescent="0.25"/>
    <row r="4423" customFormat="1" ht="13.2" x14ac:dyDescent="0.25"/>
    <row r="4424" customFormat="1" ht="13.2" x14ac:dyDescent="0.25"/>
    <row r="4425" customFormat="1" ht="13.2" x14ac:dyDescent="0.25"/>
    <row r="4426" customFormat="1" ht="13.2" x14ac:dyDescent="0.25"/>
    <row r="4427" customFormat="1" ht="13.2" x14ac:dyDescent="0.25"/>
    <row r="4428" customFormat="1" ht="13.2" x14ac:dyDescent="0.25"/>
    <row r="4429" customFormat="1" ht="13.2" x14ac:dyDescent="0.25"/>
    <row r="4430" customFormat="1" ht="13.2" x14ac:dyDescent="0.25"/>
    <row r="4431" customFormat="1" ht="13.2" x14ac:dyDescent="0.25"/>
    <row r="4432" customFormat="1" ht="13.2" x14ac:dyDescent="0.25"/>
    <row r="4433" customFormat="1" ht="13.2" x14ac:dyDescent="0.25"/>
    <row r="4434" customFormat="1" ht="13.2" x14ac:dyDescent="0.25"/>
    <row r="4435" customFormat="1" ht="13.2" x14ac:dyDescent="0.25"/>
    <row r="4436" customFormat="1" ht="13.2" x14ac:dyDescent="0.25"/>
    <row r="4437" customFormat="1" ht="13.2" x14ac:dyDescent="0.25"/>
    <row r="4438" customFormat="1" ht="13.2" x14ac:dyDescent="0.25"/>
    <row r="4439" customFormat="1" ht="13.2" x14ac:dyDescent="0.25"/>
    <row r="4440" customFormat="1" ht="13.2" x14ac:dyDescent="0.25"/>
    <row r="4441" customFormat="1" ht="13.2" x14ac:dyDescent="0.25"/>
    <row r="4442" customFormat="1" ht="13.2" x14ac:dyDescent="0.25"/>
    <row r="4443" customFormat="1" ht="13.2" x14ac:dyDescent="0.25"/>
    <row r="4444" customFormat="1" ht="13.2" x14ac:dyDescent="0.25"/>
    <row r="4445" customFormat="1" ht="13.2" x14ac:dyDescent="0.25"/>
    <row r="4446" customFormat="1" ht="13.2" x14ac:dyDescent="0.25"/>
    <row r="4447" customFormat="1" ht="13.2" x14ac:dyDescent="0.25"/>
    <row r="4448" customFormat="1" ht="13.2" x14ac:dyDescent="0.25"/>
    <row r="4449" customFormat="1" ht="13.2" x14ac:dyDescent="0.25"/>
    <row r="4450" customFormat="1" ht="13.2" x14ac:dyDescent="0.25"/>
    <row r="4451" customFormat="1" ht="13.2" x14ac:dyDescent="0.25"/>
    <row r="4452" customFormat="1" ht="13.2" x14ac:dyDescent="0.25"/>
    <row r="4453" customFormat="1" ht="13.2" x14ac:dyDescent="0.25"/>
    <row r="4454" customFormat="1" ht="13.2" x14ac:dyDescent="0.25"/>
    <row r="4455" customFormat="1" ht="13.2" x14ac:dyDescent="0.25"/>
    <row r="4456" customFormat="1" ht="13.2" x14ac:dyDescent="0.25"/>
    <row r="4457" customFormat="1" ht="13.2" x14ac:dyDescent="0.25"/>
    <row r="4458" customFormat="1" ht="13.2" x14ac:dyDescent="0.25"/>
    <row r="4459" customFormat="1" ht="13.2" x14ac:dyDescent="0.25"/>
    <row r="4460" customFormat="1" ht="13.2" x14ac:dyDescent="0.25"/>
    <row r="4461" customFormat="1" ht="13.2" x14ac:dyDescent="0.25"/>
    <row r="4462" customFormat="1" ht="13.2" x14ac:dyDescent="0.25"/>
    <row r="4463" customFormat="1" ht="13.2" x14ac:dyDescent="0.25"/>
    <row r="4464" customFormat="1" ht="13.2" x14ac:dyDescent="0.25"/>
    <row r="4465" customFormat="1" ht="13.2" x14ac:dyDescent="0.25"/>
    <row r="4466" customFormat="1" ht="13.2" x14ac:dyDescent="0.25"/>
    <row r="4467" customFormat="1" ht="13.2" x14ac:dyDescent="0.25"/>
    <row r="4468" customFormat="1" ht="13.2" x14ac:dyDescent="0.25"/>
    <row r="4469" customFormat="1" ht="13.2" x14ac:dyDescent="0.25"/>
    <row r="4470" customFormat="1" ht="13.2" x14ac:dyDescent="0.25"/>
    <row r="4471" customFormat="1" ht="13.2" x14ac:dyDescent="0.25"/>
    <row r="4472" customFormat="1" ht="13.2" x14ac:dyDescent="0.25"/>
    <row r="4473" customFormat="1" ht="13.2" x14ac:dyDescent="0.25"/>
    <row r="4474" customFormat="1" ht="13.2" x14ac:dyDescent="0.25"/>
    <row r="4475" customFormat="1" ht="13.2" x14ac:dyDescent="0.25"/>
    <row r="4476" customFormat="1" ht="13.2" x14ac:dyDescent="0.25"/>
    <row r="4477" customFormat="1" ht="13.2" x14ac:dyDescent="0.25"/>
    <row r="4478" customFormat="1" ht="13.2" x14ac:dyDescent="0.25"/>
    <row r="4479" customFormat="1" ht="13.2" x14ac:dyDescent="0.25"/>
    <row r="4480" customFormat="1" ht="13.2" x14ac:dyDescent="0.25"/>
    <row r="4481" customFormat="1" ht="13.2" x14ac:dyDescent="0.25"/>
    <row r="4482" customFormat="1" ht="13.2" x14ac:dyDescent="0.25"/>
    <row r="4483" customFormat="1" ht="13.2" x14ac:dyDescent="0.25"/>
    <row r="4484" customFormat="1" ht="13.2" x14ac:dyDescent="0.25"/>
    <row r="4485" customFormat="1" ht="13.2" x14ac:dyDescent="0.25"/>
    <row r="4486" customFormat="1" ht="13.2" x14ac:dyDescent="0.25"/>
    <row r="4487" customFormat="1" ht="13.2" x14ac:dyDescent="0.25"/>
    <row r="4488" customFormat="1" ht="13.2" x14ac:dyDescent="0.25"/>
    <row r="4489" customFormat="1" ht="13.2" x14ac:dyDescent="0.25"/>
    <row r="4490" customFormat="1" ht="13.2" x14ac:dyDescent="0.25"/>
    <row r="4491" customFormat="1" ht="13.2" x14ac:dyDescent="0.25"/>
    <row r="4492" customFormat="1" ht="13.2" x14ac:dyDescent="0.25"/>
    <row r="4493" customFormat="1" ht="13.2" x14ac:dyDescent="0.25"/>
    <row r="4494" customFormat="1" ht="13.2" x14ac:dyDescent="0.25"/>
    <row r="4495" customFormat="1" ht="13.2" x14ac:dyDescent="0.25"/>
    <row r="4496" customFormat="1" ht="13.2" x14ac:dyDescent="0.25"/>
    <row r="4497" customFormat="1" ht="13.2" x14ac:dyDescent="0.25"/>
    <row r="4498" customFormat="1" ht="13.2" x14ac:dyDescent="0.25"/>
    <row r="4499" customFormat="1" ht="13.2" x14ac:dyDescent="0.25"/>
    <row r="4500" customFormat="1" ht="13.2" x14ac:dyDescent="0.25"/>
    <row r="4501" customFormat="1" ht="13.2" x14ac:dyDescent="0.25"/>
    <row r="4502" customFormat="1" ht="13.2" x14ac:dyDescent="0.25"/>
    <row r="4503" customFormat="1" ht="13.2" x14ac:dyDescent="0.25"/>
    <row r="4504" customFormat="1" ht="13.2" x14ac:dyDescent="0.25"/>
    <row r="4505" customFormat="1" ht="13.2" x14ac:dyDescent="0.25"/>
    <row r="4506" customFormat="1" ht="13.2" x14ac:dyDescent="0.25"/>
    <row r="4507" customFormat="1" ht="13.2" x14ac:dyDescent="0.25"/>
    <row r="4508" customFormat="1" ht="13.2" x14ac:dyDescent="0.25"/>
    <row r="4509" customFormat="1" ht="13.2" x14ac:dyDescent="0.25"/>
    <row r="4510" customFormat="1" ht="13.2" x14ac:dyDescent="0.25"/>
    <row r="4511" customFormat="1" ht="13.2" x14ac:dyDescent="0.25"/>
    <row r="4512" customFormat="1" ht="13.2" x14ac:dyDescent="0.25"/>
    <row r="4513" customFormat="1" ht="13.2" x14ac:dyDescent="0.25"/>
    <row r="4514" customFormat="1" ht="13.2" x14ac:dyDescent="0.25"/>
    <row r="4515" customFormat="1" ht="13.2" x14ac:dyDescent="0.25"/>
    <row r="4516" customFormat="1" ht="13.2" x14ac:dyDescent="0.25"/>
    <row r="4517" customFormat="1" ht="13.2" x14ac:dyDescent="0.25"/>
    <row r="4518" customFormat="1" ht="13.2" x14ac:dyDescent="0.25"/>
    <row r="4519" customFormat="1" ht="13.2" x14ac:dyDescent="0.25"/>
    <row r="4520" customFormat="1" ht="13.2" x14ac:dyDescent="0.25"/>
    <row r="4521" customFormat="1" ht="13.2" x14ac:dyDescent="0.25"/>
    <row r="4522" customFormat="1" ht="13.2" x14ac:dyDescent="0.25"/>
    <row r="4523" customFormat="1" ht="13.2" x14ac:dyDescent="0.25"/>
    <row r="4524" customFormat="1" ht="13.2" x14ac:dyDescent="0.25"/>
    <row r="4525" customFormat="1" ht="13.2" x14ac:dyDescent="0.25"/>
    <row r="4526" customFormat="1" ht="13.2" x14ac:dyDescent="0.25"/>
    <row r="4527" customFormat="1" ht="13.2" x14ac:dyDescent="0.25"/>
    <row r="4528" customFormat="1" ht="13.2" x14ac:dyDescent="0.25"/>
    <row r="4529" customFormat="1" ht="13.2" x14ac:dyDescent="0.25"/>
    <row r="4530" customFormat="1" ht="13.2" x14ac:dyDescent="0.25"/>
    <row r="4531" customFormat="1" ht="13.2" x14ac:dyDescent="0.25"/>
    <row r="4532" customFormat="1" ht="13.2" x14ac:dyDescent="0.25"/>
    <row r="4533" customFormat="1" ht="13.2" x14ac:dyDescent="0.25"/>
    <row r="4534" customFormat="1" ht="13.2" x14ac:dyDescent="0.25"/>
    <row r="4535" customFormat="1" ht="13.2" x14ac:dyDescent="0.25"/>
    <row r="4536" customFormat="1" ht="13.2" x14ac:dyDescent="0.25"/>
    <row r="4537" customFormat="1" ht="13.2" x14ac:dyDescent="0.25"/>
    <row r="4538" customFormat="1" ht="13.2" x14ac:dyDescent="0.25"/>
    <row r="4539" customFormat="1" ht="13.2" x14ac:dyDescent="0.25"/>
    <row r="4540" customFormat="1" ht="13.2" x14ac:dyDescent="0.25"/>
    <row r="4541" customFormat="1" ht="13.2" x14ac:dyDescent="0.25"/>
    <row r="4542" customFormat="1" ht="13.2" x14ac:dyDescent="0.25"/>
    <row r="4543" customFormat="1" ht="13.2" x14ac:dyDescent="0.25"/>
    <row r="4544" customFormat="1" ht="13.2" x14ac:dyDescent="0.25"/>
    <row r="4545" customFormat="1" ht="13.2" x14ac:dyDescent="0.25"/>
    <row r="4546" customFormat="1" ht="13.2" x14ac:dyDescent="0.25"/>
    <row r="4547" customFormat="1" ht="13.2" x14ac:dyDescent="0.25"/>
    <row r="4548" customFormat="1" ht="13.2" x14ac:dyDescent="0.25"/>
    <row r="4549" customFormat="1" ht="13.2" x14ac:dyDescent="0.25"/>
    <row r="4550" customFormat="1" ht="13.2" x14ac:dyDescent="0.25"/>
    <row r="4551" customFormat="1" ht="13.2" x14ac:dyDescent="0.25"/>
    <row r="4552" customFormat="1" ht="13.2" x14ac:dyDescent="0.25"/>
    <row r="4553" customFormat="1" ht="13.2" x14ac:dyDescent="0.25"/>
    <row r="4554" customFormat="1" ht="13.2" x14ac:dyDescent="0.25"/>
    <row r="4555" customFormat="1" ht="13.2" x14ac:dyDescent="0.25"/>
    <row r="4556" customFormat="1" ht="13.2" x14ac:dyDescent="0.25"/>
    <row r="4557" customFormat="1" ht="13.2" x14ac:dyDescent="0.25"/>
    <row r="4558" customFormat="1" ht="13.2" x14ac:dyDescent="0.25"/>
    <row r="4559" customFormat="1" ht="13.2" x14ac:dyDescent="0.25"/>
    <row r="4560" customFormat="1" ht="13.2" x14ac:dyDescent="0.25"/>
    <row r="4561" customFormat="1" ht="13.2" x14ac:dyDescent="0.25"/>
    <row r="4562" customFormat="1" ht="13.2" x14ac:dyDescent="0.25"/>
    <row r="4563" customFormat="1" ht="13.2" x14ac:dyDescent="0.25"/>
    <row r="4564" customFormat="1" ht="13.2" x14ac:dyDescent="0.25"/>
    <row r="4565" customFormat="1" ht="13.2" x14ac:dyDescent="0.25"/>
    <row r="4566" customFormat="1" ht="13.2" x14ac:dyDescent="0.25"/>
    <row r="4567" customFormat="1" ht="13.2" x14ac:dyDescent="0.25"/>
    <row r="4568" customFormat="1" ht="13.2" x14ac:dyDescent="0.25"/>
    <row r="4569" customFormat="1" ht="13.2" x14ac:dyDescent="0.25"/>
    <row r="4570" customFormat="1" ht="13.2" x14ac:dyDescent="0.25"/>
    <row r="4571" customFormat="1" ht="13.2" x14ac:dyDescent="0.25"/>
    <row r="4572" customFormat="1" ht="13.2" x14ac:dyDescent="0.25"/>
    <row r="4573" customFormat="1" ht="13.2" x14ac:dyDescent="0.25"/>
    <row r="4574" customFormat="1" ht="13.2" x14ac:dyDescent="0.25"/>
    <row r="4575" customFormat="1" ht="13.2" x14ac:dyDescent="0.25"/>
    <row r="4576" customFormat="1" ht="13.2" x14ac:dyDescent="0.25"/>
    <row r="4577" customFormat="1" ht="13.2" x14ac:dyDescent="0.25"/>
    <row r="4578" customFormat="1" ht="13.2" x14ac:dyDescent="0.25"/>
    <row r="4579" customFormat="1" ht="13.2" x14ac:dyDescent="0.25"/>
    <row r="4580" customFormat="1" ht="13.2" x14ac:dyDescent="0.25"/>
    <row r="4581" customFormat="1" ht="13.2" x14ac:dyDescent="0.25"/>
    <row r="4582" customFormat="1" ht="13.2" x14ac:dyDescent="0.25"/>
    <row r="4583" customFormat="1" ht="13.2" x14ac:dyDescent="0.25"/>
    <row r="4584" customFormat="1" ht="13.2" x14ac:dyDescent="0.25"/>
    <row r="4585" customFormat="1" ht="13.2" x14ac:dyDescent="0.25"/>
    <row r="4586" customFormat="1" ht="13.2" x14ac:dyDescent="0.25"/>
    <row r="4587" customFormat="1" ht="13.2" x14ac:dyDescent="0.25"/>
    <row r="4588" customFormat="1" ht="13.2" x14ac:dyDescent="0.25"/>
    <row r="4589" customFormat="1" ht="13.2" x14ac:dyDescent="0.25"/>
    <row r="4590" customFormat="1" ht="13.2" x14ac:dyDescent="0.25"/>
    <row r="4591" customFormat="1" ht="13.2" x14ac:dyDescent="0.25"/>
    <row r="4592" customFormat="1" ht="13.2" x14ac:dyDescent="0.25"/>
    <row r="4593" customFormat="1" ht="13.2" x14ac:dyDescent="0.25"/>
    <row r="4594" customFormat="1" ht="13.2" x14ac:dyDescent="0.25"/>
    <row r="4595" customFormat="1" ht="13.2" x14ac:dyDescent="0.25"/>
    <row r="4596" customFormat="1" ht="13.2" x14ac:dyDescent="0.25"/>
    <row r="4597" customFormat="1" ht="13.2" x14ac:dyDescent="0.25"/>
    <row r="4598" customFormat="1" ht="13.2" x14ac:dyDescent="0.25"/>
    <row r="4599" customFormat="1" ht="13.2" x14ac:dyDescent="0.25"/>
    <row r="4600" customFormat="1" ht="13.2" x14ac:dyDescent="0.25"/>
    <row r="4601" customFormat="1" ht="13.2" x14ac:dyDescent="0.25"/>
    <row r="4602" customFormat="1" ht="13.2" x14ac:dyDescent="0.25"/>
    <row r="4603" customFormat="1" ht="13.2" x14ac:dyDescent="0.25"/>
    <row r="4604" customFormat="1" ht="13.2" x14ac:dyDescent="0.25"/>
    <row r="4605" customFormat="1" ht="13.2" x14ac:dyDescent="0.25"/>
    <row r="4606" customFormat="1" ht="13.2" x14ac:dyDescent="0.25"/>
    <row r="4607" customFormat="1" ht="13.2" x14ac:dyDescent="0.25"/>
    <row r="4608" customFormat="1" ht="13.2" x14ac:dyDescent="0.25"/>
    <row r="4609" customFormat="1" ht="13.2" x14ac:dyDescent="0.25"/>
    <row r="4610" customFormat="1" ht="13.2" x14ac:dyDescent="0.25"/>
    <row r="4611" customFormat="1" ht="13.2" x14ac:dyDescent="0.25"/>
    <row r="4612" customFormat="1" ht="13.2" x14ac:dyDescent="0.25"/>
    <row r="4613" customFormat="1" ht="13.2" x14ac:dyDescent="0.25"/>
    <row r="4614" customFormat="1" ht="13.2" x14ac:dyDescent="0.25"/>
    <row r="4615" customFormat="1" ht="13.2" x14ac:dyDescent="0.25"/>
    <row r="4616" customFormat="1" ht="13.2" x14ac:dyDescent="0.25"/>
    <row r="4617" customFormat="1" ht="13.2" x14ac:dyDescent="0.25"/>
    <row r="4618" customFormat="1" ht="13.2" x14ac:dyDescent="0.25"/>
    <row r="4619" customFormat="1" ht="13.2" x14ac:dyDescent="0.25"/>
    <row r="4620" customFormat="1" ht="13.2" x14ac:dyDescent="0.25"/>
    <row r="4621" customFormat="1" ht="13.2" x14ac:dyDescent="0.25"/>
    <row r="4622" customFormat="1" ht="13.2" x14ac:dyDescent="0.25"/>
    <row r="4623" customFormat="1" ht="13.2" x14ac:dyDescent="0.25"/>
    <row r="4624" customFormat="1" ht="13.2" x14ac:dyDescent="0.25"/>
    <row r="4625" customFormat="1" ht="13.2" x14ac:dyDescent="0.25"/>
    <row r="4626" customFormat="1" ht="13.2" x14ac:dyDescent="0.25"/>
    <row r="4627" customFormat="1" ht="13.2" x14ac:dyDescent="0.25"/>
    <row r="4628" customFormat="1" ht="13.2" x14ac:dyDescent="0.25"/>
    <row r="4629" customFormat="1" ht="13.2" x14ac:dyDescent="0.25"/>
    <row r="4630" customFormat="1" ht="13.2" x14ac:dyDescent="0.25"/>
    <row r="4631" customFormat="1" ht="13.2" x14ac:dyDescent="0.25"/>
    <row r="4632" customFormat="1" ht="13.2" x14ac:dyDescent="0.25"/>
    <row r="4633" customFormat="1" ht="13.2" x14ac:dyDescent="0.25"/>
    <row r="4634" customFormat="1" ht="13.2" x14ac:dyDescent="0.25"/>
    <row r="4635" customFormat="1" ht="13.2" x14ac:dyDescent="0.25"/>
    <row r="4636" customFormat="1" ht="13.2" x14ac:dyDescent="0.25"/>
    <row r="4637" customFormat="1" ht="13.2" x14ac:dyDescent="0.25"/>
    <row r="4638" customFormat="1" ht="13.2" x14ac:dyDescent="0.25"/>
    <row r="4639" customFormat="1" ht="13.2" x14ac:dyDescent="0.25"/>
    <row r="4640" customFormat="1" ht="13.2" x14ac:dyDescent="0.25"/>
    <row r="4641" customFormat="1" ht="13.2" x14ac:dyDescent="0.25"/>
    <row r="4642" customFormat="1" ht="13.2" x14ac:dyDescent="0.25"/>
    <row r="4643" customFormat="1" ht="13.2" x14ac:dyDescent="0.25"/>
    <row r="4644" customFormat="1" ht="13.2" x14ac:dyDescent="0.25"/>
    <row r="4645" customFormat="1" ht="13.2" x14ac:dyDescent="0.25"/>
    <row r="4646" customFormat="1" ht="13.2" x14ac:dyDescent="0.25"/>
    <row r="4647" customFormat="1" ht="13.2" x14ac:dyDescent="0.25"/>
    <row r="4648" customFormat="1" ht="13.2" x14ac:dyDescent="0.25"/>
    <row r="4649" customFormat="1" ht="13.2" x14ac:dyDescent="0.25"/>
    <row r="4650" customFormat="1" ht="13.2" x14ac:dyDescent="0.25"/>
    <row r="4651" customFormat="1" ht="13.2" x14ac:dyDescent="0.25"/>
    <row r="4652" customFormat="1" ht="13.2" x14ac:dyDescent="0.25"/>
    <row r="4653" customFormat="1" ht="13.2" x14ac:dyDescent="0.25"/>
    <row r="4654" customFormat="1" ht="13.2" x14ac:dyDescent="0.25"/>
    <row r="4655" customFormat="1" ht="13.2" x14ac:dyDescent="0.25"/>
    <row r="4656" customFormat="1" ht="13.2" x14ac:dyDescent="0.25"/>
    <row r="4657" customFormat="1" ht="13.2" x14ac:dyDescent="0.25"/>
    <row r="4658" customFormat="1" ht="13.2" x14ac:dyDescent="0.25"/>
    <row r="4659" customFormat="1" ht="13.2" x14ac:dyDescent="0.25"/>
    <row r="4660" customFormat="1" ht="13.2" x14ac:dyDescent="0.25"/>
    <row r="4661" customFormat="1" ht="13.2" x14ac:dyDescent="0.25"/>
    <row r="4662" customFormat="1" ht="13.2" x14ac:dyDescent="0.25"/>
    <row r="4663" customFormat="1" ht="13.2" x14ac:dyDescent="0.25"/>
    <row r="4664" customFormat="1" ht="13.2" x14ac:dyDescent="0.25"/>
    <row r="4665" customFormat="1" ht="13.2" x14ac:dyDescent="0.25"/>
    <row r="4666" customFormat="1" ht="13.2" x14ac:dyDescent="0.25"/>
    <row r="4667" customFormat="1" ht="13.2" x14ac:dyDescent="0.25"/>
    <row r="4668" customFormat="1" ht="13.2" x14ac:dyDescent="0.25"/>
    <row r="4669" customFormat="1" ht="13.2" x14ac:dyDescent="0.25"/>
    <row r="4670" customFormat="1" ht="13.2" x14ac:dyDescent="0.25"/>
    <row r="4671" customFormat="1" ht="13.2" x14ac:dyDescent="0.25"/>
    <row r="4672" customFormat="1" ht="13.2" x14ac:dyDescent="0.25"/>
    <row r="4673" customFormat="1" ht="13.2" x14ac:dyDescent="0.25"/>
    <row r="4674" customFormat="1" ht="13.2" x14ac:dyDescent="0.25"/>
    <row r="4675" customFormat="1" ht="13.2" x14ac:dyDescent="0.25"/>
    <row r="4676" customFormat="1" ht="13.2" x14ac:dyDescent="0.25"/>
    <row r="4677" customFormat="1" ht="13.2" x14ac:dyDescent="0.25"/>
    <row r="4678" customFormat="1" ht="13.2" x14ac:dyDescent="0.25"/>
    <row r="4679" customFormat="1" ht="13.2" x14ac:dyDescent="0.25"/>
    <row r="4680" customFormat="1" ht="13.2" x14ac:dyDescent="0.25"/>
    <row r="4681" customFormat="1" ht="13.2" x14ac:dyDescent="0.25"/>
    <row r="4682" customFormat="1" ht="13.2" x14ac:dyDescent="0.25"/>
    <row r="4683" customFormat="1" ht="13.2" x14ac:dyDescent="0.25"/>
    <row r="4684" customFormat="1" ht="13.2" x14ac:dyDescent="0.25"/>
    <row r="4685" customFormat="1" ht="13.2" x14ac:dyDescent="0.25"/>
    <row r="4686" customFormat="1" ht="13.2" x14ac:dyDescent="0.25"/>
    <row r="4687" customFormat="1" ht="13.2" x14ac:dyDescent="0.25"/>
    <row r="4688" customFormat="1" ht="13.2" x14ac:dyDescent="0.25"/>
    <row r="4689" customFormat="1" ht="13.2" x14ac:dyDescent="0.25"/>
    <row r="4690" customFormat="1" ht="13.2" x14ac:dyDescent="0.25"/>
    <row r="4691" customFormat="1" ht="13.2" x14ac:dyDescent="0.25"/>
    <row r="4692" customFormat="1" ht="13.2" x14ac:dyDescent="0.25"/>
    <row r="4693" customFormat="1" ht="13.2" x14ac:dyDescent="0.25"/>
    <row r="4694" customFormat="1" ht="13.2" x14ac:dyDescent="0.25"/>
    <row r="4695" customFormat="1" ht="13.2" x14ac:dyDescent="0.25"/>
    <row r="4696" customFormat="1" ht="13.2" x14ac:dyDescent="0.25"/>
    <row r="4697" customFormat="1" ht="13.2" x14ac:dyDescent="0.25"/>
    <row r="4698" customFormat="1" ht="13.2" x14ac:dyDescent="0.25"/>
    <row r="4699" customFormat="1" ht="13.2" x14ac:dyDescent="0.25"/>
    <row r="4700" customFormat="1" ht="13.2" x14ac:dyDescent="0.25"/>
    <row r="4701" customFormat="1" ht="13.2" x14ac:dyDescent="0.25"/>
    <row r="4702" customFormat="1" ht="13.2" x14ac:dyDescent="0.25"/>
    <row r="4703" customFormat="1" ht="13.2" x14ac:dyDescent="0.25"/>
    <row r="4704" customFormat="1" ht="13.2" x14ac:dyDescent="0.25"/>
    <row r="4705" customFormat="1" ht="13.2" x14ac:dyDescent="0.25"/>
    <row r="4706" customFormat="1" ht="13.2" x14ac:dyDescent="0.25"/>
    <row r="4707" customFormat="1" ht="13.2" x14ac:dyDescent="0.25"/>
    <row r="4708" customFormat="1" ht="13.2" x14ac:dyDescent="0.25"/>
    <row r="4709" customFormat="1" ht="13.2" x14ac:dyDescent="0.25"/>
    <row r="4710" customFormat="1" ht="13.2" x14ac:dyDescent="0.25"/>
    <row r="4711" customFormat="1" ht="13.2" x14ac:dyDescent="0.25"/>
    <row r="4712" customFormat="1" ht="13.2" x14ac:dyDescent="0.25"/>
    <row r="4713" customFormat="1" ht="13.2" x14ac:dyDescent="0.25"/>
    <row r="4714" customFormat="1" ht="13.2" x14ac:dyDescent="0.25"/>
    <row r="4715" customFormat="1" ht="13.2" x14ac:dyDescent="0.25"/>
    <row r="4716" customFormat="1" ht="13.2" x14ac:dyDescent="0.25"/>
    <row r="4717" customFormat="1" ht="13.2" x14ac:dyDescent="0.25"/>
    <row r="4718" customFormat="1" ht="13.2" x14ac:dyDescent="0.25"/>
    <row r="4719" customFormat="1" ht="13.2" x14ac:dyDescent="0.25"/>
    <row r="4720" customFormat="1" ht="13.2" x14ac:dyDescent="0.25"/>
    <row r="4721" customFormat="1" ht="13.2" x14ac:dyDescent="0.25"/>
    <row r="4722" customFormat="1" ht="13.2" x14ac:dyDescent="0.25"/>
    <row r="4723" customFormat="1" ht="13.2" x14ac:dyDescent="0.25"/>
    <row r="4724" customFormat="1" ht="13.2" x14ac:dyDescent="0.25"/>
    <row r="4725" customFormat="1" ht="13.2" x14ac:dyDescent="0.25"/>
    <row r="4726" customFormat="1" ht="13.2" x14ac:dyDescent="0.25"/>
    <row r="4727" customFormat="1" ht="13.2" x14ac:dyDescent="0.25"/>
    <row r="4728" customFormat="1" ht="13.2" x14ac:dyDescent="0.25"/>
    <row r="4729" customFormat="1" ht="13.2" x14ac:dyDescent="0.25"/>
    <row r="4730" customFormat="1" ht="13.2" x14ac:dyDescent="0.25"/>
    <row r="4731" customFormat="1" ht="13.2" x14ac:dyDescent="0.25"/>
    <row r="4732" customFormat="1" ht="13.2" x14ac:dyDescent="0.25"/>
    <row r="4733" customFormat="1" ht="13.2" x14ac:dyDescent="0.25"/>
    <row r="4734" customFormat="1" ht="13.2" x14ac:dyDescent="0.25"/>
    <row r="4735" customFormat="1" ht="13.2" x14ac:dyDescent="0.25"/>
    <row r="4736" customFormat="1" ht="13.2" x14ac:dyDescent="0.25"/>
    <row r="4737" customFormat="1" ht="13.2" x14ac:dyDescent="0.25"/>
    <row r="4738" customFormat="1" ht="13.2" x14ac:dyDescent="0.25"/>
    <row r="4739" customFormat="1" ht="13.2" x14ac:dyDescent="0.25"/>
    <row r="4740" customFormat="1" ht="13.2" x14ac:dyDescent="0.25"/>
    <row r="4741" customFormat="1" ht="13.2" x14ac:dyDescent="0.25"/>
    <row r="4742" customFormat="1" ht="13.2" x14ac:dyDescent="0.25"/>
    <row r="4743" customFormat="1" ht="13.2" x14ac:dyDescent="0.25"/>
    <row r="4744" customFormat="1" ht="13.2" x14ac:dyDescent="0.25"/>
    <row r="4745" customFormat="1" ht="13.2" x14ac:dyDescent="0.25"/>
    <row r="4746" customFormat="1" ht="13.2" x14ac:dyDescent="0.25"/>
    <row r="4747" customFormat="1" ht="13.2" x14ac:dyDescent="0.25"/>
    <row r="4748" customFormat="1" ht="13.2" x14ac:dyDescent="0.25"/>
    <row r="4749" customFormat="1" ht="13.2" x14ac:dyDescent="0.25"/>
    <row r="4750" customFormat="1" ht="13.2" x14ac:dyDescent="0.25"/>
    <row r="4751" customFormat="1" ht="13.2" x14ac:dyDescent="0.25"/>
    <row r="4752" customFormat="1" ht="13.2" x14ac:dyDescent="0.25"/>
    <row r="4753" customFormat="1" ht="13.2" x14ac:dyDescent="0.25"/>
    <row r="4754" customFormat="1" ht="13.2" x14ac:dyDescent="0.25"/>
    <row r="4755" customFormat="1" ht="13.2" x14ac:dyDescent="0.25"/>
    <row r="4756" customFormat="1" ht="13.2" x14ac:dyDescent="0.25"/>
    <row r="4757" customFormat="1" ht="13.2" x14ac:dyDescent="0.25"/>
    <row r="4758" customFormat="1" ht="13.2" x14ac:dyDescent="0.25"/>
    <row r="4759" customFormat="1" ht="13.2" x14ac:dyDescent="0.25"/>
    <row r="4760" customFormat="1" ht="13.2" x14ac:dyDescent="0.25"/>
    <row r="4761" customFormat="1" ht="13.2" x14ac:dyDescent="0.25"/>
    <row r="4762" customFormat="1" ht="13.2" x14ac:dyDescent="0.25"/>
    <row r="4763" customFormat="1" ht="13.2" x14ac:dyDescent="0.25"/>
    <row r="4764" customFormat="1" ht="13.2" x14ac:dyDescent="0.25"/>
    <row r="4765" customFormat="1" ht="13.2" x14ac:dyDescent="0.25"/>
    <row r="4766" customFormat="1" ht="13.2" x14ac:dyDescent="0.25"/>
    <row r="4767" customFormat="1" ht="13.2" x14ac:dyDescent="0.25"/>
    <row r="4768" customFormat="1" ht="13.2" x14ac:dyDescent="0.25"/>
    <row r="4769" customFormat="1" ht="13.2" x14ac:dyDescent="0.25"/>
    <row r="4770" customFormat="1" ht="13.2" x14ac:dyDescent="0.25"/>
    <row r="4771" customFormat="1" ht="13.2" x14ac:dyDescent="0.25"/>
    <row r="4772" customFormat="1" ht="13.2" x14ac:dyDescent="0.25"/>
    <row r="4773" customFormat="1" ht="13.2" x14ac:dyDescent="0.25"/>
    <row r="4774" customFormat="1" ht="13.2" x14ac:dyDescent="0.25"/>
    <row r="4775" customFormat="1" ht="13.2" x14ac:dyDescent="0.25"/>
    <row r="4776" customFormat="1" ht="13.2" x14ac:dyDescent="0.25"/>
    <row r="4777" customFormat="1" ht="13.2" x14ac:dyDescent="0.25"/>
    <row r="4778" customFormat="1" ht="13.2" x14ac:dyDescent="0.25"/>
    <row r="4779" customFormat="1" ht="13.2" x14ac:dyDescent="0.25"/>
    <row r="4780" customFormat="1" ht="13.2" x14ac:dyDescent="0.25"/>
    <row r="4781" customFormat="1" ht="13.2" x14ac:dyDescent="0.25"/>
    <row r="4782" customFormat="1" ht="13.2" x14ac:dyDescent="0.25"/>
    <row r="4783" customFormat="1" ht="13.2" x14ac:dyDescent="0.25"/>
    <row r="4784" customFormat="1" ht="13.2" x14ac:dyDescent="0.25"/>
    <row r="4785" customFormat="1" ht="13.2" x14ac:dyDescent="0.25"/>
    <row r="4786" customFormat="1" ht="13.2" x14ac:dyDescent="0.25"/>
    <row r="4787" customFormat="1" ht="13.2" x14ac:dyDescent="0.25"/>
    <row r="4788" customFormat="1" ht="13.2" x14ac:dyDescent="0.25"/>
    <row r="4789" customFormat="1" ht="13.2" x14ac:dyDescent="0.25"/>
    <row r="4790" customFormat="1" ht="13.2" x14ac:dyDescent="0.25"/>
    <row r="4791" customFormat="1" ht="13.2" x14ac:dyDescent="0.25"/>
    <row r="4792" customFormat="1" ht="13.2" x14ac:dyDescent="0.25"/>
    <row r="4793" customFormat="1" ht="13.2" x14ac:dyDescent="0.25"/>
    <row r="4794" customFormat="1" ht="13.2" x14ac:dyDescent="0.25"/>
    <row r="4795" customFormat="1" ht="13.2" x14ac:dyDescent="0.25"/>
    <row r="4796" customFormat="1" ht="13.2" x14ac:dyDescent="0.25"/>
    <row r="4797" customFormat="1" ht="13.2" x14ac:dyDescent="0.25"/>
    <row r="4798" customFormat="1" ht="13.2" x14ac:dyDescent="0.25"/>
    <row r="4799" customFormat="1" ht="13.2" x14ac:dyDescent="0.25"/>
    <row r="4800" customFormat="1" ht="13.2" x14ac:dyDescent="0.25"/>
    <row r="4801" customFormat="1" ht="13.2" x14ac:dyDescent="0.25"/>
    <row r="4802" customFormat="1" ht="13.2" x14ac:dyDescent="0.25"/>
    <row r="4803" customFormat="1" ht="13.2" x14ac:dyDescent="0.25"/>
    <row r="4804" customFormat="1" ht="13.2" x14ac:dyDescent="0.25"/>
    <row r="4805" customFormat="1" ht="13.2" x14ac:dyDescent="0.25"/>
    <row r="4806" customFormat="1" ht="13.2" x14ac:dyDescent="0.25"/>
    <row r="4807" customFormat="1" ht="13.2" x14ac:dyDescent="0.25"/>
    <row r="4808" customFormat="1" ht="13.2" x14ac:dyDescent="0.25"/>
    <row r="4809" customFormat="1" ht="13.2" x14ac:dyDescent="0.25"/>
    <row r="4810" customFormat="1" ht="13.2" x14ac:dyDescent="0.25"/>
    <row r="4811" customFormat="1" ht="13.2" x14ac:dyDescent="0.25"/>
    <row r="4812" customFormat="1" ht="13.2" x14ac:dyDescent="0.25"/>
    <row r="4813" customFormat="1" ht="13.2" x14ac:dyDescent="0.25"/>
    <row r="4814" customFormat="1" ht="13.2" x14ac:dyDescent="0.25"/>
    <row r="4815" customFormat="1" ht="13.2" x14ac:dyDescent="0.25"/>
    <row r="4816" customFormat="1" ht="13.2" x14ac:dyDescent="0.25"/>
    <row r="4817" customFormat="1" ht="13.2" x14ac:dyDescent="0.25"/>
    <row r="4818" customFormat="1" ht="13.2" x14ac:dyDescent="0.25"/>
    <row r="4819" customFormat="1" ht="13.2" x14ac:dyDescent="0.25"/>
    <row r="4820" customFormat="1" ht="13.2" x14ac:dyDescent="0.25"/>
    <row r="4821" customFormat="1" ht="13.2" x14ac:dyDescent="0.25"/>
    <row r="4822" customFormat="1" ht="13.2" x14ac:dyDescent="0.25"/>
    <row r="4823" customFormat="1" ht="13.2" x14ac:dyDescent="0.25"/>
    <row r="4824" customFormat="1" ht="13.2" x14ac:dyDescent="0.25"/>
    <row r="4825" customFormat="1" ht="13.2" x14ac:dyDescent="0.25"/>
    <row r="4826" customFormat="1" ht="13.2" x14ac:dyDescent="0.25"/>
    <row r="4827" customFormat="1" ht="13.2" x14ac:dyDescent="0.25"/>
    <row r="4828" customFormat="1" ht="13.2" x14ac:dyDescent="0.25"/>
    <row r="4829" customFormat="1" ht="13.2" x14ac:dyDescent="0.25"/>
    <row r="4830" customFormat="1" ht="13.2" x14ac:dyDescent="0.25"/>
    <row r="4831" customFormat="1" ht="13.2" x14ac:dyDescent="0.25"/>
    <row r="4832" customFormat="1" ht="13.2" x14ac:dyDescent="0.25"/>
    <row r="4833" customFormat="1" ht="13.2" x14ac:dyDescent="0.25"/>
    <row r="4834" customFormat="1" ht="13.2" x14ac:dyDescent="0.25"/>
    <row r="4835" customFormat="1" ht="13.2" x14ac:dyDescent="0.25"/>
    <row r="4836" customFormat="1" ht="13.2" x14ac:dyDescent="0.25"/>
    <row r="4837" customFormat="1" ht="13.2" x14ac:dyDescent="0.25"/>
    <row r="4838" customFormat="1" ht="13.2" x14ac:dyDescent="0.25"/>
    <row r="4839" customFormat="1" ht="13.2" x14ac:dyDescent="0.25"/>
    <row r="4840" customFormat="1" ht="13.2" x14ac:dyDescent="0.25"/>
    <row r="4841" customFormat="1" ht="13.2" x14ac:dyDescent="0.25"/>
    <row r="4842" customFormat="1" ht="13.2" x14ac:dyDescent="0.25"/>
    <row r="4843" customFormat="1" ht="13.2" x14ac:dyDescent="0.25"/>
    <row r="4844" customFormat="1" ht="13.2" x14ac:dyDescent="0.25"/>
    <row r="4845" customFormat="1" ht="13.2" x14ac:dyDescent="0.25"/>
    <row r="4846" customFormat="1" ht="13.2" x14ac:dyDescent="0.25"/>
    <row r="4847" customFormat="1" ht="13.2" x14ac:dyDescent="0.25"/>
    <row r="4848" customFormat="1" ht="13.2" x14ac:dyDescent="0.25"/>
    <row r="4849" customFormat="1" ht="13.2" x14ac:dyDescent="0.25"/>
    <row r="4850" customFormat="1" ht="13.2" x14ac:dyDescent="0.25"/>
    <row r="4851" customFormat="1" ht="13.2" x14ac:dyDescent="0.25"/>
    <row r="4852" customFormat="1" ht="13.2" x14ac:dyDescent="0.25"/>
    <row r="4853" customFormat="1" ht="13.2" x14ac:dyDescent="0.25"/>
    <row r="4854" customFormat="1" ht="13.2" x14ac:dyDescent="0.25"/>
    <row r="4855" customFormat="1" ht="13.2" x14ac:dyDescent="0.25"/>
    <row r="4856" customFormat="1" ht="13.2" x14ac:dyDescent="0.25"/>
    <row r="4857" customFormat="1" ht="13.2" x14ac:dyDescent="0.25"/>
    <row r="4858" customFormat="1" ht="13.2" x14ac:dyDescent="0.25"/>
    <row r="4859" customFormat="1" ht="13.2" x14ac:dyDescent="0.25"/>
    <row r="4860" customFormat="1" ht="13.2" x14ac:dyDescent="0.25"/>
    <row r="4861" customFormat="1" ht="13.2" x14ac:dyDescent="0.25"/>
    <row r="4862" customFormat="1" ht="13.2" x14ac:dyDescent="0.25"/>
    <row r="4863" customFormat="1" ht="13.2" x14ac:dyDescent="0.25"/>
    <row r="4864" customFormat="1" ht="13.2" x14ac:dyDescent="0.25"/>
    <row r="4865" customFormat="1" ht="13.2" x14ac:dyDescent="0.25"/>
    <row r="4866" customFormat="1" ht="13.2" x14ac:dyDescent="0.25"/>
    <row r="4867" customFormat="1" ht="13.2" x14ac:dyDescent="0.25"/>
    <row r="4868" customFormat="1" ht="13.2" x14ac:dyDescent="0.25"/>
    <row r="4869" customFormat="1" ht="13.2" x14ac:dyDescent="0.25"/>
    <row r="4870" customFormat="1" ht="13.2" x14ac:dyDescent="0.25"/>
    <row r="4871" customFormat="1" ht="13.2" x14ac:dyDescent="0.25"/>
    <row r="4872" customFormat="1" ht="13.2" x14ac:dyDescent="0.25"/>
    <row r="4873" customFormat="1" ht="13.2" x14ac:dyDescent="0.25"/>
    <row r="4874" customFormat="1" ht="13.2" x14ac:dyDescent="0.25"/>
    <row r="4875" customFormat="1" ht="13.2" x14ac:dyDescent="0.25"/>
    <row r="4876" customFormat="1" ht="13.2" x14ac:dyDescent="0.25"/>
    <row r="4877" customFormat="1" ht="13.2" x14ac:dyDescent="0.25"/>
    <row r="4878" customFormat="1" ht="13.2" x14ac:dyDescent="0.25"/>
    <row r="4879" customFormat="1" ht="13.2" x14ac:dyDescent="0.25"/>
    <row r="4880" customFormat="1" ht="13.2" x14ac:dyDescent="0.25"/>
    <row r="4881" customFormat="1" ht="13.2" x14ac:dyDescent="0.25"/>
    <row r="4882" customFormat="1" ht="13.2" x14ac:dyDescent="0.25"/>
    <row r="4883" customFormat="1" ht="13.2" x14ac:dyDescent="0.25"/>
    <row r="4884" customFormat="1" ht="13.2" x14ac:dyDescent="0.25"/>
    <row r="4885" customFormat="1" ht="13.2" x14ac:dyDescent="0.25"/>
    <row r="4886" customFormat="1" ht="13.2" x14ac:dyDescent="0.25"/>
    <row r="4887" customFormat="1" ht="13.2" x14ac:dyDescent="0.25"/>
    <row r="4888" customFormat="1" ht="13.2" x14ac:dyDescent="0.25"/>
    <row r="4889" customFormat="1" ht="13.2" x14ac:dyDescent="0.25"/>
    <row r="4890" customFormat="1" ht="13.2" x14ac:dyDescent="0.25"/>
    <row r="4891" customFormat="1" ht="13.2" x14ac:dyDescent="0.25"/>
    <row r="4892" customFormat="1" ht="13.2" x14ac:dyDescent="0.25"/>
    <row r="4893" customFormat="1" ht="13.2" x14ac:dyDescent="0.25"/>
    <row r="4894" customFormat="1" ht="13.2" x14ac:dyDescent="0.25"/>
    <row r="4895" customFormat="1" ht="13.2" x14ac:dyDescent="0.25"/>
    <row r="4896" customFormat="1" ht="13.2" x14ac:dyDescent="0.25"/>
    <row r="4897" customFormat="1" ht="13.2" x14ac:dyDescent="0.25"/>
    <row r="4898" customFormat="1" ht="13.2" x14ac:dyDescent="0.25"/>
    <row r="4899" customFormat="1" ht="13.2" x14ac:dyDescent="0.25"/>
    <row r="4900" customFormat="1" ht="13.2" x14ac:dyDescent="0.25"/>
    <row r="4901" customFormat="1" ht="13.2" x14ac:dyDescent="0.25"/>
    <row r="4902" customFormat="1" ht="13.2" x14ac:dyDescent="0.25"/>
    <row r="4903" customFormat="1" ht="13.2" x14ac:dyDescent="0.25"/>
    <row r="4904" customFormat="1" ht="13.2" x14ac:dyDescent="0.25"/>
    <row r="4905" customFormat="1" ht="13.2" x14ac:dyDescent="0.25"/>
    <row r="4906" customFormat="1" ht="13.2" x14ac:dyDescent="0.25"/>
    <row r="4907" customFormat="1" ht="13.2" x14ac:dyDescent="0.25"/>
    <row r="4908" customFormat="1" ht="13.2" x14ac:dyDescent="0.25"/>
    <row r="4909" customFormat="1" ht="13.2" x14ac:dyDescent="0.25"/>
    <row r="4910" customFormat="1" ht="13.2" x14ac:dyDescent="0.25"/>
    <row r="4911" customFormat="1" ht="13.2" x14ac:dyDescent="0.25"/>
    <row r="4912" customFormat="1" ht="13.2" x14ac:dyDescent="0.25"/>
    <row r="4913" customFormat="1" ht="13.2" x14ac:dyDescent="0.25"/>
    <row r="4914" customFormat="1" ht="13.2" x14ac:dyDescent="0.25"/>
    <row r="4915" customFormat="1" ht="13.2" x14ac:dyDescent="0.25"/>
    <row r="4916" customFormat="1" ht="13.2" x14ac:dyDescent="0.25"/>
    <row r="4917" customFormat="1" ht="13.2" x14ac:dyDescent="0.25"/>
    <row r="4918" customFormat="1" ht="13.2" x14ac:dyDescent="0.25"/>
    <row r="4919" customFormat="1" ht="13.2" x14ac:dyDescent="0.25"/>
    <row r="4920" customFormat="1" ht="13.2" x14ac:dyDescent="0.25"/>
    <row r="4921" customFormat="1" ht="13.2" x14ac:dyDescent="0.25"/>
    <row r="4922" customFormat="1" ht="13.2" x14ac:dyDescent="0.25"/>
    <row r="4923" customFormat="1" ht="13.2" x14ac:dyDescent="0.25"/>
    <row r="4924" customFormat="1" ht="13.2" x14ac:dyDescent="0.25"/>
    <row r="4925" customFormat="1" ht="13.2" x14ac:dyDescent="0.25"/>
    <row r="4926" customFormat="1" ht="13.2" x14ac:dyDescent="0.25"/>
    <row r="4927" customFormat="1" ht="13.2" x14ac:dyDescent="0.25"/>
    <row r="4928" customFormat="1" ht="13.2" x14ac:dyDescent="0.25"/>
    <row r="4929" customFormat="1" ht="13.2" x14ac:dyDescent="0.25"/>
    <row r="4930" customFormat="1" ht="13.2" x14ac:dyDescent="0.25"/>
    <row r="4931" customFormat="1" ht="13.2" x14ac:dyDescent="0.25"/>
    <row r="4932" customFormat="1" ht="13.2" x14ac:dyDescent="0.25"/>
    <row r="4933" customFormat="1" ht="13.2" x14ac:dyDescent="0.25"/>
    <row r="4934" customFormat="1" ht="13.2" x14ac:dyDescent="0.25"/>
    <row r="4935" customFormat="1" ht="13.2" x14ac:dyDescent="0.25"/>
    <row r="4936" customFormat="1" ht="13.2" x14ac:dyDescent="0.25"/>
    <row r="4937" customFormat="1" ht="13.2" x14ac:dyDescent="0.25"/>
    <row r="4938" customFormat="1" ht="13.2" x14ac:dyDescent="0.25"/>
    <row r="4939" customFormat="1" ht="13.2" x14ac:dyDescent="0.25"/>
    <row r="4940" customFormat="1" ht="13.2" x14ac:dyDescent="0.25"/>
    <row r="4941" customFormat="1" ht="13.2" x14ac:dyDescent="0.25"/>
    <row r="4942" customFormat="1" ht="13.2" x14ac:dyDescent="0.25"/>
    <row r="4943" customFormat="1" ht="13.2" x14ac:dyDescent="0.25"/>
    <row r="4944" customFormat="1" ht="13.2" x14ac:dyDescent="0.25"/>
    <row r="4945" customFormat="1" ht="13.2" x14ac:dyDescent="0.25"/>
    <row r="4946" customFormat="1" ht="13.2" x14ac:dyDescent="0.25"/>
    <row r="4947" customFormat="1" ht="13.2" x14ac:dyDescent="0.25"/>
    <row r="4948" customFormat="1" ht="13.2" x14ac:dyDescent="0.25"/>
    <row r="4949" customFormat="1" ht="13.2" x14ac:dyDescent="0.25"/>
    <row r="4950" customFormat="1" ht="13.2" x14ac:dyDescent="0.25"/>
    <row r="4951" customFormat="1" ht="13.2" x14ac:dyDescent="0.25"/>
    <row r="4952" customFormat="1" ht="13.2" x14ac:dyDescent="0.25"/>
    <row r="4953" customFormat="1" ht="13.2" x14ac:dyDescent="0.25"/>
    <row r="4954" customFormat="1" ht="13.2" x14ac:dyDescent="0.25"/>
    <row r="4955" customFormat="1" ht="13.2" x14ac:dyDescent="0.25"/>
    <row r="4956" customFormat="1" ht="13.2" x14ac:dyDescent="0.25"/>
    <row r="4957" customFormat="1" ht="13.2" x14ac:dyDescent="0.25"/>
    <row r="4958" customFormat="1" ht="13.2" x14ac:dyDescent="0.25"/>
    <row r="4959" customFormat="1" ht="13.2" x14ac:dyDescent="0.25"/>
    <row r="4960" customFormat="1" ht="13.2" x14ac:dyDescent="0.25"/>
    <row r="4961" customFormat="1" ht="13.2" x14ac:dyDescent="0.25"/>
    <row r="4962" customFormat="1" ht="13.2" x14ac:dyDescent="0.25"/>
    <row r="4963" customFormat="1" ht="13.2" x14ac:dyDescent="0.25"/>
    <row r="4964" customFormat="1" ht="13.2" x14ac:dyDescent="0.25"/>
    <row r="4965" customFormat="1" ht="13.2" x14ac:dyDescent="0.25"/>
    <row r="4966" customFormat="1" ht="13.2" x14ac:dyDescent="0.25"/>
    <row r="4967" customFormat="1" ht="13.2" x14ac:dyDescent="0.25"/>
    <row r="4968" customFormat="1" ht="13.2" x14ac:dyDescent="0.25"/>
    <row r="4969" customFormat="1" ht="13.2" x14ac:dyDescent="0.25"/>
    <row r="4970" customFormat="1" ht="13.2" x14ac:dyDescent="0.25"/>
    <row r="4971" customFormat="1" ht="13.2" x14ac:dyDescent="0.25"/>
    <row r="4972" customFormat="1" ht="13.2" x14ac:dyDescent="0.25"/>
    <row r="4973" customFormat="1" ht="13.2" x14ac:dyDescent="0.25"/>
    <row r="4974" customFormat="1" ht="13.2" x14ac:dyDescent="0.25"/>
    <row r="4975" customFormat="1" ht="13.2" x14ac:dyDescent="0.25"/>
    <row r="4976" customFormat="1" ht="13.2" x14ac:dyDescent="0.25"/>
    <row r="4977" customFormat="1" ht="13.2" x14ac:dyDescent="0.25"/>
    <row r="4978" customFormat="1" ht="13.2" x14ac:dyDescent="0.25"/>
    <row r="4979" customFormat="1" ht="13.2" x14ac:dyDescent="0.25"/>
    <row r="4980" customFormat="1" ht="13.2" x14ac:dyDescent="0.25"/>
    <row r="4981" customFormat="1" ht="13.2" x14ac:dyDescent="0.25"/>
    <row r="4982" customFormat="1" ht="13.2" x14ac:dyDescent="0.25"/>
    <row r="4983" customFormat="1" ht="13.2" x14ac:dyDescent="0.25"/>
    <row r="4984" customFormat="1" ht="13.2" x14ac:dyDescent="0.25"/>
    <row r="4985" customFormat="1" ht="13.2" x14ac:dyDescent="0.25"/>
    <row r="4986" customFormat="1" ht="13.2" x14ac:dyDescent="0.25"/>
    <row r="4987" customFormat="1" ht="13.2" x14ac:dyDescent="0.25"/>
    <row r="4988" customFormat="1" ht="13.2" x14ac:dyDescent="0.25"/>
    <row r="4989" customFormat="1" ht="13.2" x14ac:dyDescent="0.25"/>
    <row r="4990" customFormat="1" ht="13.2" x14ac:dyDescent="0.25"/>
    <row r="4991" customFormat="1" ht="13.2" x14ac:dyDescent="0.25"/>
    <row r="4992" customFormat="1" ht="13.2" x14ac:dyDescent="0.25"/>
    <row r="4993" customFormat="1" ht="13.2" x14ac:dyDescent="0.25"/>
    <row r="4994" customFormat="1" ht="13.2" x14ac:dyDescent="0.25"/>
    <row r="4995" customFormat="1" ht="13.2" x14ac:dyDescent="0.25"/>
    <row r="4996" customFormat="1" ht="13.2" x14ac:dyDescent="0.25"/>
    <row r="4997" customFormat="1" ht="13.2" x14ac:dyDescent="0.25"/>
    <row r="4998" customFormat="1" ht="13.2" x14ac:dyDescent="0.25"/>
    <row r="4999" customFormat="1" ht="13.2" x14ac:dyDescent="0.25"/>
    <row r="5000" customFormat="1" ht="13.2" x14ac:dyDescent="0.25"/>
    <row r="5001" customFormat="1" ht="13.2" x14ac:dyDescent="0.25"/>
    <row r="5002" customFormat="1" ht="13.2" x14ac:dyDescent="0.25"/>
    <row r="5003" customFormat="1" ht="13.2" x14ac:dyDescent="0.25"/>
    <row r="5004" customFormat="1" ht="13.2" x14ac:dyDescent="0.25"/>
    <row r="5005" customFormat="1" ht="13.2" x14ac:dyDescent="0.25"/>
    <row r="5006" customFormat="1" ht="13.2" x14ac:dyDescent="0.25"/>
    <row r="5007" customFormat="1" ht="13.2" x14ac:dyDescent="0.25"/>
    <row r="5008" customFormat="1" ht="13.2" x14ac:dyDescent="0.25"/>
    <row r="5009" customFormat="1" ht="13.2" x14ac:dyDescent="0.25"/>
    <row r="5010" customFormat="1" ht="13.2" x14ac:dyDescent="0.25"/>
    <row r="5011" customFormat="1" ht="13.2" x14ac:dyDescent="0.25"/>
    <row r="5012" customFormat="1" ht="13.2" x14ac:dyDescent="0.25"/>
    <row r="5013" customFormat="1" ht="13.2" x14ac:dyDescent="0.25"/>
    <row r="5014" customFormat="1" ht="13.2" x14ac:dyDescent="0.25"/>
    <row r="5015" customFormat="1" ht="13.2" x14ac:dyDescent="0.25"/>
    <row r="5016" customFormat="1" ht="13.2" x14ac:dyDescent="0.25"/>
    <row r="5017" customFormat="1" ht="13.2" x14ac:dyDescent="0.25"/>
    <row r="5018" customFormat="1" ht="13.2" x14ac:dyDescent="0.25"/>
    <row r="5019" customFormat="1" ht="13.2" x14ac:dyDescent="0.25"/>
    <row r="5020" customFormat="1" ht="13.2" x14ac:dyDescent="0.25"/>
    <row r="5021" customFormat="1" ht="13.2" x14ac:dyDescent="0.25"/>
    <row r="5022" customFormat="1" ht="13.2" x14ac:dyDescent="0.25"/>
    <row r="5023" customFormat="1" ht="13.2" x14ac:dyDescent="0.25"/>
    <row r="5024" customFormat="1" ht="13.2" x14ac:dyDescent="0.25"/>
    <row r="5025" customFormat="1" ht="13.2" x14ac:dyDescent="0.25"/>
    <row r="5026" customFormat="1" ht="13.2" x14ac:dyDescent="0.25"/>
    <row r="5027" customFormat="1" ht="13.2" x14ac:dyDescent="0.25"/>
    <row r="5028" customFormat="1" ht="13.2" x14ac:dyDescent="0.25"/>
    <row r="5029" customFormat="1" ht="13.2" x14ac:dyDescent="0.25"/>
    <row r="5030" customFormat="1" ht="13.2" x14ac:dyDescent="0.25"/>
    <row r="5031" customFormat="1" ht="13.2" x14ac:dyDescent="0.25"/>
    <row r="5032" customFormat="1" ht="13.2" x14ac:dyDescent="0.25"/>
    <row r="5033" customFormat="1" ht="13.2" x14ac:dyDescent="0.25"/>
    <row r="5034" customFormat="1" ht="13.2" x14ac:dyDescent="0.25"/>
    <row r="5035" customFormat="1" ht="13.2" x14ac:dyDescent="0.25"/>
    <row r="5036" customFormat="1" ht="13.2" x14ac:dyDescent="0.25"/>
    <row r="5037" customFormat="1" ht="13.2" x14ac:dyDescent="0.25"/>
    <row r="5038" customFormat="1" ht="13.2" x14ac:dyDescent="0.25"/>
    <row r="5039" customFormat="1" ht="13.2" x14ac:dyDescent="0.25"/>
    <row r="5040" customFormat="1" ht="13.2" x14ac:dyDescent="0.25"/>
    <row r="5041" customFormat="1" ht="13.2" x14ac:dyDescent="0.25"/>
    <row r="5042" customFormat="1" ht="13.2" x14ac:dyDescent="0.25"/>
    <row r="5043" customFormat="1" ht="13.2" x14ac:dyDescent="0.25"/>
    <row r="5044" customFormat="1" ht="13.2" x14ac:dyDescent="0.25"/>
    <row r="5045" customFormat="1" ht="13.2" x14ac:dyDescent="0.25"/>
    <row r="5046" customFormat="1" ht="13.2" x14ac:dyDescent="0.25"/>
    <row r="5047" customFormat="1" ht="13.2" x14ac:dyDescent="0.25"/>
    <row r="5048" customFormat="1" ht="13.2" x14ac:dyDescent="0.25"/>
    <row r="5049" customFormat="1" ht="13.2" x14ac:dyDescent="0.25"/>
    <row r="5050" customFormat="1" ht="13.2" x14ac:dyDescent="0.25"/>
    <row r="5051" customFormat="1" ht="13.2" x14ac:dyDescent="0.25"/>
    <row r="5052" customFormat="1" ht="13.2" x14ac:dyDescent="0.25"/>
    <row r="5053" customFormat="1" ht="13.2" x14ac:dyDescent="0.25"/>
    <row r="5054" customFormat="1" ht="13.2" x14ac:dyDescent="0.25"/>
    <row r="5055" customFormat="1" ht="13.2" x14ac:dyDescent="0.25"/>
    <row r="5056" customFormat="1" ht="13.2" x14ac:dyDescent="0.25"/>
    <row r="5057" customFormat="1" ht="13.2" x14ac:dyDescent="0.25"/>
    <row r="5058" customFormat="1" ht="13.2" x14ac:dyDescent="0.25"/>
    <row r="5059" customFormat="1" ht="13.2" x14ac:dyDescent="0.25"/>
    <row r="5060" customFormat="1" ht="13.2" x14ac:dyDescent="0.25"/>
    <row r="5061" customFormat="1" ht="13.2" x14ac:dyDescent="0.25"/>
    <row r="5062" customFormat="1" ht="13.2" x14ac:dyDescent="0.25"/>
    <row r="5063" customFormat="1" ht="13.2" x14ac:dyDescent="0.25"/>
    <row r="5064" customFormat="1" ht="13.2" x14ac:dyDescent="0.25"/>
    <row r="5065" customFormat="1" ht="13.2" x14ac:dyDescent="0.25"/>
    <row r="5066" customFormat="1" ht="13.2" x14ac:dyDescent="0.25"/>
    <row r="5067" customFormat="1" ht="13.2" x14ac:dyDescent="0.25"/>
    <row r="5068" customFormat="1" ht="13.2" x14ac:dyDescent="0.25"/>
    <row r="5069" customFormat="1" ht="13.2" x14ac:dyDescent="0.25"/>
    <row r="5070" customFormat="1" ht="13.2" x14ac:dyDescent="0.25"/>
    <row r="5071" customFormat="1" ht="13.2" x14ac:dyDescent="0.25"/>
    <row r="5072" customFormat="1" ht="13.2" x14ac:dyDescent="0.25"/>
    <row r="5073" customFormat="1" ht="13.2" x14ac:dyDescent="0.25"/>
    <row r="5074" customFormat="1" ht="13.2" x14ac:dyDescent="0.25"/>
    <row r="5075" customFormat="1" ht="13.2" x14ac:dyDescent="0.25"/>
    <row r="5076" customFormat="1" ht="13.2" x14ac:dyDescent="0.25"/>
    <row r="5077" customFormat="1" ht="13.2" x14ac:dyDescent="0.25"/>
    <row r="5078" customFormat="1" ht="13.2" x14ac:dyDescent="0.25"/>
    <row r="5079" customFormat="1" ht="13.2" x14ac:dyDescent="0.25"/>
    <row r="5080" customFormat="1" ht="13.2" x14ac:dyDescent="0.25"/>
    <row r="5081" customFormat="1" ht="13.2" x14ac:dyDescent="0.25"/>
    <row r="5082" customFormat="1" ht="13.2" x14ac:dyDescent="0.25"/>
    <row r="5083" customFormat="1" ht="13.2" x14ac:dyDescent="0.25"/>
    <row r="5084" customFormat="1" ht="13.2" x14ac:dyDescent="0.25"/>
    <row r="5085" customFormat="1" ht="13.2" x14ac:dyDescent="0.25"/>
    <row r="5086" customFormat="1" ht="13.2" x14ac:dyDescent="0.25"/>
    <row r="5087" customFormat="1" ht="13.2" x14ac:dyDescent="0.25"/>
    <row r="5088" customFormat="1" ht="13.2" x14ac:dyDescent="0.25"/>
    <row r="5089" customFormat="1" ht="13.2" x14ac:dyDescent="0.25"/>
    <row r="5090" customFormat="1" ht="13.2" x14ac:dyDescent="0.25"/>
    <row r="5091" customFormat="1" ht="13.2" x14ac:dyDescent="0.25"/>
    <row r="5092" customFormat="1" ht="13.2" x14ac:dyDescent="0.25"/>
    <row r="5093" customFormat="1" ht="13.2" x14ac:dyDescent="0.25"/>
    <row r="5094" customFormat="1" ht="13.2" x14ac:dyDescent="0.25"/>
    <row r="5095" customFormat="1" ht="13.2" x14ac:dyDescent="0.25"/>
    <row r="5096" customFormat="1" ht="13.2" x14ac:dyDescent="0.25"/>
    <row r="5097" customFormat="1" ht="13.2" x14ac:dyDescent="0.25"/>
    <row r="5098" customFormat="1" ht="13.2" x14ac:dyDescent="0.25"/>
    <row r="5099" customFormat="1" ht="13.2" x14ac:dyDescent="0.25"/>
    <row r="5100" customFormat="1" ht="13.2" x14ac:dyDescent="0.25"/>
    <row r="5101" customFormat="1" ht="13.2" x14ac:dyDescent="0.25"/>
    <row r="5102" customFormat="1" ht="13.2" x14ac:dyDescent="0.25"/>
    <row r="5103" customFormat="1" ht="13.2" x14ac:dyDescent="0.25"/>
    <row r="5104" customFormat="1" ht="13.2" x14ac:dyDescent="0.25"/>
    <row r="5105" customFormat="1" ht="13.2" x14ac:dyDescent="0.25"/>
    <row r="5106" customFormat="1" ht="13.2" x14ac:dyDescent="0.25"/>
    <row r="5107" customFormat="1" ht="13.2" x14ac:dyDescent="0.25"/>
    <row r="5108" customFormat="1" ht="13.2" x14ac:dyDescent="0.25"/>
    <row r="5109" customFormat="1" ht="13.2" x14ac:dyDescent="0.25"/>
    <row r="5110" customFormat="1" ht="13.2" x14ac:dyDescent="0.25"/>
    <row r="5111" customFormat="1" ht="13.2" x14ac:dyDescent="0.25"/>
    <row r="5112" customFormat="1" ht="13.2" x14ac:dyDescent="0.25"/>
    <row r="5113" customFormat="1" ht="13.2" x14ac:dyDescent="0.25"/>
    <row r="5114" customFormat="1" ht="13.2" x14ac:dyDescent="0.25"/>
    <row r="5115" customFormat="1" ht="13.2" x14ac:dyDescent="0.25"/>
    <row r="5116" customFormat="1" ht="13.2" x14ac:dyDescent="0.25"/>
    <row r="5117" customFormat="1" ht="13.2" x14ac:dyDescent="0.25"/>
    <row r="5118" customFormat="1" ht="13.2" x14ac:dyDescent="0.25"/>
    <row r="5119" customFormat="1" ht="13.2" x14ac:dyDescent="0.25"/>
    <row r="5120" customFormat="1" ht="13.2" x14ac:dyDescent="0.25"/>
    <row r="5121" customFormat="1" ht="13.2" x14ac:dyDescent="0.25"/>
    <row r="5122" customFormat="1" ht="13.2" x14ac:dyDescent="0.25"/>
    <row r="5123" customFormat="1" ht="13.2" x14ac:dyDescent="0.25"/>
    <row r="5124" customFormat="1" ht="13.2" x14ac:dyDescent="0.25"/>
    <row r="5125" customFormat="1" ht="13.2" x14ac:dyDescent="0.25"/>
    <row r="5126" customFormat="1" ht="13.2" x14ac:dyDescent="0.25"/>
    <row r="5127" customFormat="1" ht="13.2" x14ac:dyDescent="0.25"/>
    <row r="5128" customFormat="1" ht="13.2" x14ac:dyDescent="0.25"/>
    <row r="5129" customFormat="1" ht="13.2" x14ac:dyDescent="0.25"/>
    <row r="5130" customFormat="1" ht="13.2" x14ac:dyDescent="0.25"/>
    <row r="5131" customFormat="1" ht="13.2" x14ac:dyDescent="0.25"/>
    <row r="5132" customFormat="1" ht="13.2" x14ac:dyDescent="0.25"/>
    <row r="5133" customFormat="1" ht="13.2" x14ac:dyDescent="0.25"/>
    <row r="5134" customFormat="1" ht="13.2" x14ac:dyDescent="0.25"/>
    <row r="5135" customFormat="1" ht="13.2" x14ac:dyDescent="0.25"/>
    <row r="5136" customFormat="1" ht="13.2" x14ac:dyDescent="0.25"/>
    <row r="5137" customFormat="1" ht="13.2" x14ac:dyDescent="0.25"/>
    <row r="5138" customFormat="1" ht="13.2" x14ac:dyDescent="0.25"/>
    <row r="5139" customFormat="1" ht="13.2" x14ac:dyDescent="0.25"/>
    <row r="5140" customFormat="1" ht="13.2" x14ac:dyDescent="0.25"/>
    <row r="5141" customFormat="1" ht="13.2" x14ac:dyDescent="0.25"/>
    <row r="5142" customFormat="1" ht="13.2" x14ac:dyDescent="0.25"/>
    <row r="5143" customFormat="1" ht="13.2" x14ac:dyDescent="0.25"/>
    <row r="5144" customFormat="1" ht="13.2" x14ac:dyDescent="0.25"/>
    <row r="5145" customFormat="1" ht="13.2" x14ac:dyDescent="0.25"/>
    <row r="5146" customFormat="1" ht="13.2" x14ac:dyDescent="0.25"/>
    <row r="5147" customFormat="1" ht="13.2" x14ac:dyDescent="0.25"/>
    <row r="5148" customFormat="1" ht="13.2" x14ac:dyDescent="0.25"/>
    <row r="5149" customFormat="1" ht="13.2" x14ac:dyDescent="0.25"/>
    <row r="5150" customFormat="1" ht="13.2" x14ac:dyDescent="0.25"/>
    <row r="5151" customFormat="1" ht="13.2" x14ac:dyDescent="0.25"/>
    <row r="5152" customFormat="1" ht="13.2" x14ac:dyDescent="0.25"/>
    <row r="5153" customFormat="1" ht="13.2" x14ac:dyDescent="0.25"/>
    <row r="5154" customFormat="1" ht="13.2" x14ac:dyDescent="0.25"/>
    <row r="5155" customFormat="1" ht="13.2" x14ac:dyDescent="0.25"/>
    <row r="5156" customFormat="1" ht="13.2" x14ac:dyDescent="0.25"/>
    <row r="5157" customFormat="1" ht="13.2" x14ac:dyDescent="0.25"/>
    <row r="5158" customFormat="1" ht="13.2" x14ac:dyDescent="0.25"/>
    <row r="5159" customFormat="1" ht="13.2" x14ac:dyDescent="0.25"/>
    <row r="5160" customFormat="1" ht="13.2" x14ac:dyDescent="0.25"/>
    <row r="5161" customFormat="1" ht="13.2" x14ac:dyDescent="0.25"/>
    <row r="5162" customFormat="1" ht="13.2" x14ac:dyDescent="0.25"/>
    <row r="5163" customFormat="1" ht="13.2" x14ac:dyDescent="0.25"/>
    <row r="5164" customFormat="1" ht="13.2" x14ac:dyDescent="0.25"/>
    <row r="5165" customFormat="1" ht="13.2" x14ac:dyDescent="0.25"/>
    <row r="5166" customFormat="1" ht="13.2" x14ac:dyDescent="0.25"/>
    <row r="5167" customFormat="1" ht="13.2" x14ac:dyDescent="0.25"/>
    <row r="5168" customFormat="1" ht="13.2" x14ac:dyDescent="0.25"/>
    <row r="5169" customFormat="1" ht="13.2" x14ac:dyDescent="0.25"/>
    <row r="5170" customFormat="1" ht="13.2" x14ac:dyDescent="0.25"/>
    <row r="5171" customFormat="1" ht="13.2" x14ac:dyDescent="0.25"/>
    <row r="5172" customFormat="1" ht="13.2" x14ac:dyDescent="0.25"/>
    <row r="5173" customFormat="1" ht="13.2" x14ac:dyDescent="0.25"/>
    <row r="5174" customFormat="1" ht="13.2" x14ac:dyDescent="0.25"/>
    <row r="5175" customFormat="1" ht="13.2" x14ac:dyDescent="0.25"/>
    <row r="5176" customFormat="1" ht="13.2" x14ac:dyDescent="0.25"/>
    <row r="5177" customFormat="1" ht="13.2" x14ac:dyDescent="0.25"/>
    <row r="5178" customFormat="1" ht="13.2" x14ac:dyDescent="0.25"/>
    <row r="5179" customFormat="1" ht="13.2" x14ac:dyDescent="0.25"/>
    <row r="5180" customFormat="1" ht="13.2" x14ac:dyDescent="0.25"/>
    <row r="5181" customFormat="1" ht="13.2" x14ac:dyDescent="0.25"/>
    <row r="5182" customFormat="1" ht="13.2" x14ac:dyDescent="0.25"/>
    <row r="5183" customFormat="1" ht="13.2" x14ac:dyDescent="0.25"/>
    <row r="5184" customFormat="1" ht="13.2" x14ac:dyDescent="0.25"/>
    <row r="5185" customFormat="1" ht="13.2" x14ac:dyDescent="0.25"/>
    <row r="5186" customFormat="1" ht="13.2" x14ac:dyDescent="0.25"/>
    <row r="5187" customFormat="1" ht="13.2" x14ac:dyDescent="0.25"/>
    <row r="5188" customFormat="1" ht="13.2" x14ac:dyDescent="0.25"/>
    <row r="5189" customFormat="1" ht="13.2" x14ac:dyDescent="0.25"/>
    <row r="5190" customFormat="1" ht="13.2" x14ac:dyDescent="0.25"/>
    <row r="5191" customFormat="1" ht="13.2" x14ac:dyDescent="0.25"/>
    <row r="5192" customFormat="1" ht="13.2" x14ac:dyDescent="0.25"/>
    <row r="5193" customFormat="1" ht="13.2" x14ac:dyDescent="0.25"/>
    <row r="5194" customFormat="1" ht="13.2" x14ac:dyDescent="0.25"/>
    <row r="5195" customFormat="1" ht="13.2" x14ac:dyDescent="0.25"/>
    <row r="5196" customFormat="1" ht="13.2" x14ac:dyDescent="0.25"/>
    <row r="5197" customFormat="1" ht="13.2" x14ac:dyDescent="0.25"/>
    <row r="5198" customFormat="1" ht="13.2" x14ac:dyDescent="0.25"/>
    <row r="5199" customFormat="1" ht="13.2" x14ac:dyDescent="0.25"/>
    <row r="5200" customFormat="1" ht="13.2" x14ac:dyDescent="0.25"/>
    <row r="5201" customFormat="1" ht="13.2" x14ac:dyDescent="0.25"/>
    <row r="5202" customFormat="1" ht="13.2" x14ac:dyDescent="0.25"/>
    <row r="5203" customFormat="1" ht="13.2" x14ac:dyDescent="0.25"/>
    <row r="5204" customFormat="1" ht="13.2" x14ac:dyDescent="0.25"/>
    <row r="5205" customFormat="1" ht="13.2" x14ac:dyDescent="0.25"/>
    <row r="5206" customFormat="1" ht="13.2" x14ac:dyDescent="0.25"/>
    <row r="5207" customFormat="1" ht="13.2" x14ac:dyDescent="0.25"/>
    <row r="5208" customFormat="1" ht="13.2" x14ac:dyDescent="0.25"/>
    <row r="5209" customFormat="1" ht="13.2" x14ac:dyDescent="0.25"/>
    <row r="5210" customFormat="1" ht="13.2" x14ac:dyDescent="0.25"/>
    <row r="5211" customFormat="1" ht="13.2" x14ac:dyDescent="0.25"/>
    <row r="5212" customFormat="1" ht="13.2" x14ac:dyDescent="0.25"/>
    <row r="5213" customFormat="1" ht="13.2" x14ac:dyDescent="0.25"/>
    <row r="5214" customFormat="1" ht="13.2" x14ac:dyDescent="0.25"/>
    <row r="5215" customFormat="1" ht="13.2" x14ac:dyDescent="0.25"/>
    <row r="5216" customFormat="1" ht="13.2" x14ac:dyDescent="0.25"/>
    <row r="5217" customFormat="1" ht="13.2" x14ac:dyDescent="0.25"/>
    <row r="5218" customFormat="1" ht="13.2" x14ac:dyDescent="0.25"/>
    <row r="5219" customFormat="1" ht="13.2" x14ac:dyDescent="0.25"/>
    <row r="5220" customFormat="1" ht="13.2" x14ac:dyDescent="0.25"/>
    <row r="5221" customFormat="1" ht="13.2" x14ac:dyDescent="0.25"/>
    <row r="5222" customFormat="1" ht="13.2" x14ac:dyDescent="0.25"/>
    <row r="5223" customFormat="1" ht="13.2" x14ac:dyDescent="0.25"/>
    <row r="5224" customFormat="1" ht="13.2" x14ac:dyDescent="0.25"/>
    <row r="5225" customFormat="1" ht="13.2" x14ac:dyDescent="0.25"/>
    <row r="5226" customFormat="1" ht="13.2" x14ac:dyDescent="0.25"/>
    <row r="5227" customFormat="1" ht="13.2" x14ac:dyDescent="0.25"/>
    <row r="5228" customFormat="1" ht="13.2" x14ac:dyDescent="0.25"/>
    <row r="5229" customFormat="1" ht="13.2" x14ac:dyDescent="0.25"/>
    <row r="5230" customFormat="1" ht="13.2" x14ac:dyDescent="0.25"/>
    <row r="5231" customFormat="1" ht="13.2" x14ac:dyDescent="0.25"/>
    <row r="5232" customFormat="1" ht="13.2" x14ac:dyDescent="0.25"/>
    <row r="5233" customFormat="1" ht="13.2" x14ac:dyDescent="0.25"/>
    <row r="5234" customFormat="1" ht="13.2" x14ac:dyDescent="0.25"/>
    <row r="5235" customFormat="1" ht="13.2" x14ac:dyDescent="0.25"/>
    <row r="5236" customFormat="1" ht="13.2" x14ac:dyDescent="0.25"/>
    <row r="5237" customFormat="1" ht="13.2" x14ac:dyDescent="0.25"/>
    <row r="5238" customFormat="1" ht="13.2" x14ac:dyDescent="0.25"/>
    <row r="5239" customFormat="1" ht="13.2" x14ac:dyDescent="0.25"/>
    <row r="5240" customFormat="1" ht="13.2" x14ac:dyDescent="0.25"/>
    <row r="5241" customFormat="1" ht="13.2" x14ac:dyDescent="0.25"/>
    <row r="5242" customFormat="1" ht="13.2" x14ac:dyDescent="0.25"/>
    <row r="5243" customFormat="1" ht="13.2" x14ac:dyDescent="0.25"/>
    <row r="5244" customFormat="1" ht="13.2" x14ac:dyDescent="0.25"/>
    <row r="5245" customFormat="1" ht="13.2" x14ac:dyDescent="0.25"/>
    <row r="5246" customFormat="1" ht="13.2" x14ac:dyDescent="0.25"/>
    <row r="5247" customFormat="1" ht="13.2" x14ac:dyDescent="0.25"/>
    <row r="5248" customFormat="1" ht="13.2" x14ac:dyDescent="0.25"/>
    <row r="5249" customFormat="1" ht="13.2" x14ac:dyDescent="0.25"/>
    <row r="5250" customFormat="1" ht="13.2" x14ac:dyDescent="0.25"/>
    <row r="5251" customFormat="1" ht="13.2" x14ac:dyDescent="0.25"/>
    <row r="5252" customFormat="1" ht="13.2" x14ac:dyDescent="0.25"/>
    <row r="5253" customFormat="1" ht="13.2" x14ac:dyDescent="0.25"/>
    <row r="5254" customFormat="1" ht="13.2" x14ac:dyDescent="0.25"/>
    <row r="5255" customFormat="1" ht="13.2" x14ac:dyDescent="0.25"/>
    <row r="5256" customFormat="1" ht="13.2" x14ac:dyDescent="0.25"/>
    <row r="5257" customFormat="1" ht="13.2" x14ac:dyDescent="0.25"/>
    <row r="5258" customFormat="1" ht="13.2" x14ac:dyDescent="0.25"/>
    <row r="5259" customFormat="1" ht="13.2" x14ac:dyDescent="0.25"/>
    <row r="5260" customFormat="1" ht="13.2" x14ac:dyDescent="0.25"/>
    <row r="5261" customFormat="1" ht="13.2" x14ac:dyDescent="0.25"/>
    <row r="5262" customFormat="1" ht="13.2" x14ac:dyDescent="0.25"/>
    <row r="5263" customFormat="1" ht="13.2" x14ac:dyDescent="0.25"/>
    <row r="5264" customFormat="1" ht="13.2" x14ac:dyDescent="0.25"/>
    <row r="5265" customFormat="1" ht="13.2" x14ac:dyDescent="0.25"/>
    <row r="5266" customFormat="1" ht="13.2" x14ac:dyDescent="0.25"/>
    <row r="5267" customFormat="1" ht="13.2" x14ac:dyDescent="0.25"/>
    <row r="5268" customFormat="1" ht="13.2" x14ac:dyDescent="0.25"/>
    <row r="5269" customFormat="1" ht="13.2" x14ac:dyDescent="0.25"/>
    <row r="5270" customFormat="1" ht="13.2" x14ac:dyDescent="0.25"/>
    <row r="5271" customFormat="1" ht="13.2" x14ac:dyDescent="0.25"/>
    <row r="5272" customFormat="1" ht="13.2" x14ac:dyDescent="0.25"/>
    <row r="5273" customFormat="1" ht="13.2" x14ac:dyDescent="0.25"/>
    <row r="5274" customFormat="1" ht="13.2" x14ac:dyDescent="0.25"/>
    <row r="5275" customFormat="1" ht="13.2" x14ac:dyDescent="0.25"/>
    <row r="5276" customFormat="1" ht="13.2" x14ac:dyDescent="0.25"/>
    <row r="5277" customFormat="1" ht="13.2" x14ac:dyDescent="0.25"/>
    <row r="5278" customFormat="1" ht="13.2" x14ac:dyDescent="0.25"/>
    <row r="5279" customFormat="1" ht="13.2" x14ac:dyDescent="0.25"/>
    <row r="5280" customFormat="1" ht="13.2" x14ac:dyDescent="0.25"/>
    <row r="5281" customFormat="1" ht="13.2" x14ac:dyDescent="0.25"/>
    <row r="5282" customFormat="1" ht="13.2" x14ac:dyDescent="0.25"/>
    <row r="5283" customFormat="1" ht="13.2" x14ac:dyDescent="0.25"/>
    <row r="5284" customFormat="1" ht="13.2" x14ac:dyDescent="0.25"/>
    <row r="5285" customFormat="1" ht="13.2" x14ac:dyDescent="0.25"/>
    <row r="5286" customFormat="1" ht="13.2" x14ac:dyDescent="0.25"/>
    <row r="5287" customFormat="1" ht="13.2" x14ac:dyDescent="0.25"/>
    <row r="5288" customFormat="1" ht="13.2" x14ac:dyDescent="0.25"/>
    <row r="5289" customFormat="1" ht="13.2" x14ac:dyDescent="0.25"/>
    <row r="5290" customFormat="1" ht="13.2" x14ac:dyDescent="0.25"/>
    <row r="5291" customFormat="1" ht="13.2" x14ac:dyDescent="0.25"/>
    <row r="5292" customFormat="1" ht="13.2" x14ac:dyDescent="0.25"/>
    <row r="5293" customFormat="1" ht="13.2" x14ac:dyDescent="0.25"/>
    <row r="5294" customFormat="1" ht="13.2" x14ac:dyDescent="0.25"/>
    <row r="5295" customFormat="1" ht="13.2" x14ac:dyDescent="0.25"/>
    <row r="5296" customFormat="1" ht="13.2" x14ac:dyDescent="0.25"/>
    <row r="5297" customFormat="1" ht="13.2" x14ac:dyDescent="0.25"/>
    <row r="5298" customFormat="1" ht="13.2" x14ac:dyDescent="0.25"/>
    <row r="5299" customFormat="1" ht="13.2" x14ac:dyDescent="0.25"/>
    <row r="5300" customFormat="1" ht="13.2" x14ac:dyDescent="0.25"/>
    <row r="5301" customFormat="1" ht="13.2" x14ac:dyDescent="0.25"/>
    <row r="5302" customFormat="1" ht="13.2" x14ac:dyDescent="0.25"/>
    <row r="5303" customFormat="1" ht="13.2" x14ac:dyDescent="0.25"/>
    <row r="5304" customFormat="1" ht="13.2" x14ac:dyDescent="0.25"/>
    <row r="5305" customFormat="1" ht="13.2" x14ac:dyDescent="0.25"/>
    <row r="5306" customFormat="1" ht="13.2" x14ac:dyDescent="0.25"/>
    <row r="5307" customFormat="1" ht="13.2" x14ac:dyDescent="0.25"/>
    <row r="5308" customFormat="1" ht="13.2" x14ac:dyDescent="0.25"/>
    <row r="5309" customFormat="1" ht="13.2" x14ac:dyDescent="0.25"/>
    <row r="5310" customFormat="1" ht="13.2" x14ac:dyDescent="0.25"/>
    <row r="5311" customFormat="1" ht="13.2" x14ac:dyDescent="0.25"/>
    <row r="5312" customFormat="1" ht="13.2" x14ac:dyDescent="0.25"/>
    <row r="5313" customFormat="1" ht="13.2" x14ac:dyDescent="0.25"/>
    <row r="5314" customFormat="1" ht="13.2" x14ac:dyDescent="0.25"/>
    <row r="5315" customFormat="1" ht="13.2" x14ac:dyDescent="0.25"/>
    <row r="5316" customFormat="1" ht="13.2" x14ac:dyDescent="0.25"/>
    <row r="5317" customFormat="1" ht="13.2" x14ac:dyDescent="0.25"/>
    <row r="5318" customFormat="1" ht="13.2" x14ac:dyDescent="0.25"/>
    <row r="5319" customFormat="1" ht="13.2" x14ac:dyDescent="0.25"/>
    <row r="5320" customFormat="1" ht="13.2" x14ac:dyDescent="0.25"/>
    <row r="5321" customFormat="1" ht="13.2" x14ac:dyDescent="0.25"/>
    <row r="5322" customFormat="1" ht="13.2" x14ac:dyDescent="0.25"/>
    <row r="5323" customFormat="1" ht="13.2" x14ac:dyDescent="0.25"/>
    <row r="5324" customFormat="1" ht="13.2" x14ac:dyDescent="0.25"/>
    <row r="5325" customFormat="1" ht="13.2" x14ac:dyDescent="0.25"/>
    <row r="5326" customFormat="1" ht="13.2" x14ac:dyDescent="0.25"/>
    <row r="5327" customFormat="1" ht="13.2" x14ac:dyDescent="0.25"/>
    <row r="5328" customFormat="1" ht="13.2" x14ac:dyDescent="0.25"/>
    <row r="5329" customFormat="1" ht="13.2" x14ac:dyDescent="0.25"/>
    <row r="5330" customFormat="1" ht="13.2" x14ac:dyDescent="0.25"/>
    <row r="5331" customFormat="1" ht="13.2" x14ac:dyDescent="0.25"/>
    <row r="5332" customFormat="1" ht="13.2" x14ac:dyDescent="0.25"/>
    <row r="5333" customFormat="1" ht="13.2" x14ac:dyDescent="0.25"/>
    <row r="5334" customFormat="1" ht="13.2" x14ac:dyDescent="0.25"/>
    <row r="5335" customFormat="1" ht="13.2" x14ac:dyDescent="0.25"/>
    <row r="5336" customFormat="1" ht="13.2" x14ac:dyDescent="0.25"/>
    <row r="5337" customFormat="1" ht="13.2" x14ac:dyDescent="0.25"/>
    <row r="5338" customFormat="1" ht="13.2" x14ac:dyDescent="0.25"/>
    <row r="5339" customFormat="1" ht="13.2" x14ac:dyDescent="0.25"/>
    <row r="5340" customFormat="1" ht="13.2" x14ac:dyDescent="0.25"/>
    <row r="5341" customFormat="1" ht="13.2" x14ac:dyDescent="0.25"/>
    <row r="5342" customFormat="1" ht="13.2" x14ac:dyDescent="0.25"/>
    <row r="5343" customFormat="1" ht="13.2" x14ac:dyDescent="0.25"/>
    <row r="5344" customFormat="1" ht="13.2" x14ac:dyDescent="0.25"/>
    <row r="5345" customFormat="1" ht="13.2" x14ac:dyDescent="0.25"/>
    <row r="5346" customFormat="1" ht="13.2" x14ac:dyDescent="0.25"/>
    <row r="5347" customFormat="1" ht="13.2" x14ac:dyDescent="0.25"/>
    <row r="5348" customFormat="1" ht="13.2" x14ac:dyDescent="0.25"/>
    <row r="5349" customFormat="1" ht="13.2" x14ac:dyDescent="0.25"/>
    <row r="5350" customFormat="1" ht="13.2" x14ac:dyDescent="0.25"/>
    <row r="5351" customFormat="1" ht="13.2" x14ac:dyDescent="0.25"/>
    <row r="5352" customFormat="1" ht="13.2" x14ac:dyDescent="0.25"/>
    <row r="5353" customFormat="1" ht="13.2" x14ac:dyDescent="0.25"/>
    <row r="5354" customFormat="1" ht="13.2" x14ac:dyDescent="0.25"/>
    <row r="5355" customFormat="1" ht="13.2" x14ac:dyDescent="0.25"/>
    <row r="5356" customFormat="1" ht="13.2" x14ac:dyDescent="0.25"/>
    <row r="5357" customFormat="1" ht="13.2" x14ac:dyDescent="0.25"/>
    <row r="5358" customFormat="1" ht="13.2" x14ac:dyDescent="0.25"/>
    <row r="5359" customFormat="1" ht="13.2" x14ac:dyDescent="0.25"/>
    <row r="5360" customFormat="1" ht="13.2" x14ac:dyDescent="0.25"/>
    <row r="5361" customFormat="1" ht="13.2" x14ac:dyDescent="0.25"/>
    <row r="5362" customFormat="1" ht="13.2" x14ac:dyDescent="0.25"/>
    <row r="5363" customFormat="1" ht="13.2" x14ac:dyDescent="0.25"/>
    <row r="5364" customFormat="1" ht="13.2" x14ac:dyDescent="0.25"/>
    <row r="5365" customFormat="1" ht="13.2" x14ac:dyDescent="0.25"/>
    <row r="5366" customFormat="1" ht="13.2" x14ac:dyDescent="0.25"/>
    <row r="5367" customFormat="1" ht="13.2" x14ac:dyDescent="0.25"/>
    <row r="5368" customFormat="1" ht="13.2" x14ac:dyDescent="0.25"/>
    <row r="5369" customFormat="1" ht="13.2" x14ac:dyDescent="0.25"/>
    <row r="5370" customFormat="1" ht="13.2" x14ac:dyDescent="0.25"/>
    <row r="5371" customFormat="1" ht="13.2" x14ac:dyDescent="0.25"/>
    <row r="5372" customFormat="1" ht="13.2" x14ac:dyDescent="0.25"/>
    <row r="5373" customFormat="1" ht="13.2" x14ac:dyDescent="0.25"/>
    <row r="5374" customFormat="1" ht="13.2" x14ac:dyDescent="0.25"/>
    <row r="5375" customFormat="1" ht="13.2" x14ac:dyDescent="0.25"/>
    <row r="5376" customFormat="1" ht="13.2" x14ac:dyDescent="0.25"/>
    <row r="5377" customFormat="1" ht="13.2" x14ac:dyDescent="0.25"/>
    <row r="5378" customFormat="1" ht="13.2" x14ac:dyDescent="0.25"/>
    <row r="5379" customFormat="1" ht="13.2" x14ac:dyDescent="0.25"/>
    <row r="5380" customFormat="1" ht="13.2" x14ac:dyDescent="0.25"/>
    <row r="5381" customFormat="1" ht="13.2" x14ac:dyDescent="0.25"/>
    <row r="5382" customFormat="1" ht="13.2" x14ac:dyDescent="0.25"/>
    <row r="5383" customFormat="1" ht="13.2" x14ac:dyDescent="0.25"/>
    <row r="5384" customFormat="1" ht="13.2" x14ac:dyDescent="0.25"/>
    <row r="5385" customFormat="1" ht="13.2" x14ac:dyDescent="0.25"/>
    <row r="5386" customFormat="1" ht="13.2" x14ac:dyDescent="0.25"/>
    <row r="5387" customFormat="1" ht="13.2" x14ac:dyDescent="0.25"/>
    <row r="5388" customFormat="1" ht="13.2" x14ac:dyDescent="0.25"/>
    <row r="5389" customFormat="1" ht="13.2" x14ac:dyDescent="0.25"/>
    <row r="5390" customFormat="1" ht="13.2" x14ac:dyDescent="0.25"/>
    <row r="5391" customFormat="1" ht="13.2" x14ac:dyDescent="0.25"/>
    <row r="5392" customFormat="1" ht="13.2" x14ac:dyDescent="0.25"/>
    <row r="5393" customFormat="1" ht="13.2" x14ac:dyDescent="0.25"/>
    <row r="5394" customFormat="1" ht="13.2" x14ac:dyDescent="0.25"/>
    <row r="5395" customFormat="1" ht="13.2" x14ac:dyDescent="0.25"/>
    <row r="5396" customFormat="1" ht="13.2" x14ac:dyDescent="0.25"/>
    <row r="5397" customFormat="1" ht="13.2" x14ac:dyDescent="0.25"/>
    <row r="5398" customFormat="1" ht="13.2" x14ac:dyDescent="0.25"/>
    <row r="5399" customFormat="1" ht="13.2" x14ac:dyDescent="0.25"/>
    <row r="5400" customFormat="1" ht="13.2" x14ac:dyDescent="0.25"/>
    <row r="5401" customFormat="1" ht="13.2" x14ac:dyDescent="0.25"/>
    <row r="5402" customFormat="1" ht="13.2" x14ac:dyDescent="0.25"/>
    <row r="5403" customFormat="1" ht="13.2" x14ac:dyDescent="0.25"/>
    <row r="5404" customFormat="1" ht="13.2" x14ac:dyDescent="0.25"/>
    <row r="5405" customFormat="1" ht="13.2" x14ac:dyDescent="0.25"/>
    <row r="5406" customFormat="1" ht="13.2" x14ac:dyDescent="0.25"/>
    <row r="5407" customFormat="1" ht="13.2" x14ac:dyDescent="0.25"/>
    <row r="5408" customFormat="1" ht="13.2" x14ac:dyDescent="0.25"/>
    <row r="5409" customFormat="1" ht="13.2" x14ac:dyDescent="0.25"/>
    <row r="5410" customFormat="1" ht="13.2" x14ac:dyDescent="0.25"/>
    <row r="5411" customFormat="1" ht="13.2" x14ac:dyDescent="0.25"/>
    <row r="5412" customFormat="1" ht="13.2" x14ac:dyDescent="0.25"/>
    <row r="5413" customFormat="1" ht="13.2" x14ac:dyDescent="0.25"/>
    <row r="5414" customFormat="1" ht="13.2" x14ac:dyDescent="0.25"/>
    <row r="5415" customFormat="1" ht="13.2" x14ac:dyDescent="0.25"/>
    <row r="5416" customFormat="1" ht="13.2" x14ac:dyDescent="0.25"/>
    <row r="5417" customFormat="1" ht="13.2" x14ac:dyDescent="0.25"/>
    <row r="5418" customFormat="1" ht="13.2" x14ac:dyDescent="0.25"/>
    <row r="5419" customFormat="1" ht="13.2" x14ac:dyDescent="0.25"/>
    <row r="5420" customFormat="1" ht="13.2" x14ac:dyDescent="0.25"/>
    <row r="5421" customFormat="1" ht="13.2" x14ac:dyDescent="0.25"/>
    <row r="5422" customFormat="1" ht="13.2" x14ac:dyDescent="0.25"/>
    <row r="5423" customFormat="1" ht="13.2" x14ac:dyDescent="0.25"/>
    <row r="5424" customFormat="1" ht="13.2" x14ac:dyDescent="0.25"/>
    <row r="5425" customFormat="1" ht="13.2" x14ac:dyDescent="0.25"/>
    <row r="5426" customFormat="1" ht="13.2" x14ac:dyDescent="0.25"/>
    <row r="5427" customFormat="1" ht="13.2" x14ac:dyDescent="0.25"/>
    <row r="5428" customFormat="1" ht="13.2" x14ac:dyDescent="0.25"/>
    <row r="5429" customFormat="1" ht="13.2" x14ac:dyDescent="0.25"/>
    <row r="5430" customFormat="1" ht="13.2" x14ac:dyDescent="0.25"/>
    <row r="5431" customFormat="1" ht="13.2" x14ac:dyDescent="0.25"/>
    <row r="5432" customFormat="1" ht="13.2" x14ac:dyDescent="0.25"/>
    <row r="5433" customFormat="1" ht="13.2" x14ac:dyDescent="0.25"/>
    <row r="5434" customFormat="1" ht="13.2" x14ac:dyDescent="0.25"/>
    <row r="5435" customFormat="1" ht="13.2" x14ac:dyDescent="0.25"/>
    <row r="5436" customFormat="1" ht="13.2" x14ac:dyDescent="0.25"/>
    <row r="5437" customFormat="1" ht="13.2" x14ac:dyDescent="0.25"/>
    <row r="5438" customFormat="1" ht="13.2" x14ac:dyDescent="0.25"/>
    <row r="5439" customFormat="1" ht="13.2" x14ac:dyDescent="0.25"/>
    <row r="5440" customFormat="1" ht="13.2" x14ac:dyDescent="0.25"/>
    <row r="5441" customFormat="1" ht="13.2" x14ac:dyDescent="0.25"/>
    <row r="5442" customFormat="1" ht="13.2" x14ac:dyDescent="0.25"/>
    <row r="5443" customFormat="1" ht="13.2" x14ac:dyDescent="0.25"/>
    <row r="5444" customFormat="1" ht="13.2" x14ac:dyDescent="0.25"/>
    <row r="5445" customFormat="1" ht="13.2" x14ac:dyDescent="0.25"/>
    <row r="5446" customFormat="1" ht="13.2" x14ac:dyDescent="0.25"/>
    <row r="5447" customFormat="1" ht="13.2" x14ac:dyDescent="0.25"/>
    <row r="5448" customFormat="1" ht="13.2" x14ac:dyDescent="0.25"/>
    <row r="5449" customFormat="1" ht="13.2" x14ac:dyDescent="0.25"/>
    <row r="5450" customFormat="1" ht="13.2" x14ac:dyDescent="0.25"/>
    <row r="5451" customFormat="1" ht="13.2" x14ac:dyDescent="0.25"/>
    <row r="5452" customFormat="1" ht="13.2" x14ac:dyDescent="0.25"/>
    <row r="5453" customFormat="1" ht="13.2" x14ac:dyDescent="0.25"/>
    <row r="5454" customFormat="1" ht="13.2" x14ac:dyDescent="0.25"/>
    <row r="5455" customFormat="1" ht="13.2" x14ac:dyDescent="0.25"/>
    <row r="5456" customFormat="1" ht="13.2" x14ac:dyDescent="0.25"/>
    <row r="5457" customFormat="1" ht="13.2" x14ac:dyDescent="0.25"/>
    <row r="5458" customFormat="1" ht="13.2" x14ac:dyDescent="0.25"/>
    <row r="5459" customFormat="1" ht="13.2" x14ac:dyDescent="0.25"/>
    <row r="5460" customFormat="1" ht="13.2" x14ac:dyDescent="0.25"/>
    <row r="5461" customFormat="1" ht="13.2" x14ac:dyDescent="0.25"/>
    <row r="5462" customFormat="1" ht="13.2" x14ac:dyDescent="0.25"/>
    <row r="5463" customFormat="1" ht="13.2" x14ac:dyDescent="0.25"/>
    <row r="5464" customFormat="1" ht="13.2" x14ac:dyDescent="0.25"/>
    <row r="5465" customFormat="1" ht="13.2" x14ac:dyDescent="0.25"/>
    <row r="5466" customFormat="1" ht="13.2" x14ac:dyDescent="0.25"/>
    <row r="5467" customFormat="1" ht="13.2" x14ac:dyDescent="0.25"/>
    <row r="5468" customFormat="1" ht="13.2" x14ac:dyDescent="0.25"/>
    <row r="5469" customFormat="1" ht="13.2" x14ac:dyDescent="0.25"/>
    <row r="5470" customFormat="1" ht="13.2" x14ac:dyDescent="0.25"/>
    <row r="5471" customFormat="1" ht="13.2" x14ac:dyDescent="0.25"/>
    <row r="5472" customFormat="1" ht="13.2" x14ac:dyDescent="0.25"/>
    <row r="5473" customFormat="1" ht="13.2" x14ac:dyDescent="0.25"/>
    <row r="5474" customFormat="1" ht="13.2" x14ac:dyDescent="0.25"/>
    <row r="5475" customFormat="1" ht="13.2" x14ac:dyDescent="0.25"/>
    <row r="5476" customFormat="1" ht="13.2" x14ac:dyDescent="0.25"/>
    <row r="5477" customFormat="1" ht="13.2" x14ac:dyDescent="0.25"/>
    <row r="5478" customFormat="1" ht="13.2" x14ac:dyDescent="0.25"/>
    <row r="5479" customFormat="1" ht="13.2" x14ac:dyDescent="0.25"/>
    <row r="5480" customFormat="1" ht="13.2" x14ac:dyDescent="0.25"/>
    <row r="5481" customFormat="1" ht="13.2" x14ac:dyDescent="0.25"/>
    <row r="5482" customFormat="1" ht="13.2" x14ac:dyDescent="0.25"/>
    <row r="5483" customFormat="1" ht="13.2" x14ac:dyDescent="0.25"/>
    <row r="5484" customFormat="1" ht="13.2" x14ac:dyDescent="0.25"/>
    <row r="5485" customFormat="1" ht="13.2" x14ac:dyDescent="0.25"/>
    <row r="5486" customFormat="1" ht="13.2" x14ac:dyDescent="0.25"/>
    <row r="5487" customFormat="1" ht="13.2" x14ac:dyDescent="0.25"/>
    <row r="5488" customFormat="1" ht="13.2" x14ac:dyDescent="0.25"/>
    <row r="5489" customFormat="1" ht="13.2" x14ac:dyDescent="0.25"/>
    <row r="5490" customFormat="1" ht="13.2" x14ac:dyDescent="0.25"/>
    <row r="5491" customFormat="1" ht="13.2" x14ac:dyDescent="0.25"/>
    <row r="5492" customFormat="1" ht="13.2" x14ac:dyDescent="0.25"/>
    <row r="5493" customFormat="1" ht="13.2" x14ac:dyDescent="0.25"/>
    <row r="5494" customFormat="1" ht="13.2" x14ac:dyDescent="0.25"/>
    <row r="5495" customFormat="1" ht="13.2" x14ac:dyDescent="0.25"/>
    <row r="5496" customFormat="1" ht="13.2" x14ac:dyDescent="0.25"/>
    <row r="5497" customFormat="1" ht="13.2" x14ac:dyDescent="0.25"/>
    <row r="5498" customFormat="1" ht="13.2" x14ac:dyDescent="0.25"/>
    <row r="5499" customFormat="1" ht="13.2" x14ac:dyDescent="0.25"/>
    <row r="5500" customFormat="1" ht="13.2" x14ac:dyDescent="0.25"/>
    <row r="5501" customFormat="1" ht="13.2" x14ac:dyDescent="0.25"/>
    <row r="5502" customFormat="1" ht="13.2" x14ac:dyDescent="0.25"/>
    <row r="5503" customFormat="1" ht="13.2" x14ac:dyDescent="0.25"/>
    <row r="5504" customFormat="1" ht="13.2" x14ac:dyDescent="0.25"/>
    <row r="5505" customFormat="1" ht="13.2" x14ac:dyDescent="0.25"/>
    <row r="5506" customFormat="1" ht="13.2" x14ac:dyDescent="0.25"/>
    <row r="5507" customFormat="1" ht="13.2" x14ac:dyDescent="0.25"/>
    <row r="5508" customFormat="1" ht="13.2" x14ac:dyDescent="0.25"/>
    <row r="5509" customFormat="1" ht="13.2" x14ac:dyDescent="0.25"/>
    <row r="5510" customFormat="1" ht="13.2" x14ac:dyDescent="0.25"/>
    <row r="5511" customFormat="1" ht="13.2" x14ac:dyDescent="0.25"/>
    <row r="5512" customFormat="1" ht="13.2" x14ac:dyDescent="0.25"/>
    <row r="5513" customFormat="1" ht="13.2" x14ac:dyDescent="0.25"/>
    <row r="5514" customFormat="1" ht="13.2" x14ac:dyDescent="0.25"/>
    <row r="5515" customFormat="1" ht="13.2" x14ac:dyDescent="0.25"/>
    <row r="5516" customFormat="1" ht="13.2" x14ac:dyDescent="0.25"/>
    <row r="5517" customFormat="1" ht="13.2" x14ac:dyDescent="0.25"/>
    <row r="5518" customFormat="1" ht="13.2" x14ac:dyDescent="0.25"/>
    <row r="5519" customFormat="1" ht="13.2" x14ac:dyDescent="0.25"/>
    <row r="5520" customFormat="1" ht="13.2" x14ac:dyDescent="0.25"/>
    <row r="5521" customFormat="1" ht="13.2" x14ac:dyDescent="0.25"/>
    <row r="5522" customFormat="1" ht="13.2" x14ac:dyDescent="0.25"/>
    <row r="5523" customFormat="1" ht="13.2" x14ac:dyDescent="0.25"/>
    <row r="5524" customFormat="1" ht="13.2" x14ac:dyDescent="0.25"/>
    <row r="5525" customFormat="1" ht="13.2" x14ac:dyDescent="0.25"/>
    <row r="5526" customFormat="1" ht="13.2" x14ac:dyDescent="0.25"/>
    <row r="5527" customFormat="1" ht="13.2" x14ac:dyDescent="0.25"/>
    <row r="5528" customFormat="1" ht="13.2" x14ac:dyDescent="0.25"/>
    <row r="5529" customFormat="1" ht="13.2" x14ac:dyDescent="0.25"/>
    <row r="5530" customFormat="1" ht="13.2" x14ac:dyDescent="0.25"/>
    <row r="5531" customFormat="1" ht="13.2" x14ac:dyDescent="0.25"/>
    <row r="5532" customFormat="1" ht="13.2" x14ac:dyDescent="0.25"/>
    <row r="5533" customFormat="1" ht="13.2" x14ac:dyDescent="0.25"/>
    <row r="5534" customFormat="1" ht="13.2" x14ac:dyDescent="0.25"/>
    <row r="5535" customFormat="1" ht="13.2" x14ac:dyDescent="0.25"/>
    <row r="5536" customFormat="1" ht="13.2" x14ac:dyDescent="0.25"/>
    <row r="5537" customFormat="1" ht="13.2" x14ac:dyDescent="0.25"/>
    <row r="5538" customFormat="1" ht="13.2" x14ac:dyDescent="0.25"/>
    <row r="5539" customFormat="1" ht="13.2" x14ac:dyDescent="0.25"/>
    <row r="5540" customFormat="1" ht="13.2" x14ac:dyDescent="0.25"/>
    <row r="5541" customFormat="1" ht="13.2" x14ac:dyDescent="0.25"/>
    <row r="5542" customFormat="1" ht="13.2" x14ac:dyDescent="0.25"/>
    <row r="5543" customFormat="1" ht="13.2" x14ac:dyDescent="0.25"/>
    <row r="5544" customFormat="1" ht="13.2" x14ac:dyDescent="0.25"/>
    <row r="5545" customFormat="1" ht="13.2" x14ac:dyDescent="0.25"/>
    <row r="5546" customFormat="1" ht="13.2" x14ac:dyDescent="0.25"/>
    <row r="5547" customFormat="1" ht="13.2" x14ac:dyDescent="0.25"/>
    <row r="5548" customFormat="1" ht="13.2" x14ac:dyDescent="0.25"/>
    <row r="5549" customFormat="1" ht="13.2" x14ac:dyDescent="0.25"/>
    <row r="5550" customFormat="1" ht="13.2" x14ac:dyDescent="0.25"/>
    <row r="5551" customFormat="1" ht="13.2" x14ac:dyDescent="0.25"/>
    <row r="5552" customFormat="1" ht="13.2" x14ac:dyDescent="0.25"/>
    <row r="5553" customFormat="1" ht="13.2" x14ac:dyDescent="0.25"/>
    <row r="5554" customFormat="1" ht="13.2" x14ac:dyDescent="0.25"/>
    <row r="5555" customFormat="1" ht="13.2" x14ac:dyDescent="0.25"/>
    <row r="5556" customFormat="1" ht="13.2" x14ac:dyDescent="0.25"/>
    <row r="5557" customFormat="1" ht="13.2" x14ac:dyDescent="0.25"/>
    <row r="5558" customFormat="1" ht="13.2" x14ac:dyDescent="0.25"/>
    <row r="5559" customFormat="1" ht="13.2" x14ac:dyDescent="0.25"/>
    <row r="5560" customFormat="1" ht="13.2" x14ac:dyDescent="0.25"/>
    <row r="5561" customFormat="1" ht="13.2" x14ac:dyDescent="0.25"/>
    <row r="5562" customFormat="1" ht="13.2" x14ac:dyDescent="0.25"/>
    <row r="5563" customFormat="1" ht="13.2" x14ac:dyDescent="0.25"/>
    <row r="5564" customFormat="1" ht="13.2" x14ac:dyDescent="0.25"/>
    <row r="5565" customFormat="1" ht="13.2" x14ac:dyDescent="0.25"/>
    <row r="5566" customFormat="1" ht="13.2" x14ac:dyDescent="0.25"/>
    <row r="5567" customFormat="1" ht="13.2" x14ac:dyDescent="0.25"/>
    <row r="5568" customFormat="1" ht="13.2" x14ac:dyDescent="0.25"/>
    <row r="5569" customFormat="1" ht="13.2" x14ac:dyDescent="0.25"/>
    <row r="5570" customFormat="1" ht="13.2" x14ac:dyDescent="0.25"/>
    <row r="5571" customFormat="1" ht="13.2" x14ac:dyDescent="0.25"/>
    <row r="5572" customFormat="1" ht="13.2" x14ac:dyDescent="0.25"/>
    <row r="5573" customFormat="1" ht="13.2" x14ac:dyDescent="0.25"/>
    <row r="5574" customFormat="1" ht="13.2" x14ac:dyDescent="0.25"/>
    <row r="5575" customFormat="1" ht="13.2" x14ac:dyDescent="0.25"/>
    <row r="5576" customFormat="1" ht="13.2" x14ac:dyDescent="0.25"/>
    <row r="5577" customFormat="1" ht="13.2" x14ac:dyDescent="0.25"/>
    <row r="5578" customFormat="1" ht="13.2" x14ac:dyDescent="0.25"/>
    <row r="5579" customFormat="1" ht="13.2" x14ac:dyDescent="0.25"/>
    <row r="5580" customFormat="1" ht="13.2" x14ac:dyDescent="0.25"/>
    <row r="5581" customFormat="1" ht="13.2" x14ac:dyDescent="0.25"/>
    <row r="5582" customFormat="1" ht="13.2" x14ac:dyDescent="0.25"/>
    <row r="5583" customFormat="1" ht="13.2" x14ac:dyDescent="0.25"/>
    <row r="5584" customFormat="1" ht="13.2" x14ac:dyDescent="0.25"/>
    <row r="5585" customFormat="1" ht="13.2" x14ac:dyDescent="0.25"/>
    <row r="5586" customFormat="1" ht="13.2" x14ac:dyDescent="0.25"/>
    <row r="5587" customFormat="1" ht="13.2" x14ac:dyDescent="0.25"/>
    <row r="5588" customFormat="1" ht="13.2" x14ac:dyDescent="0.25"/>
    <row r="5589" customFormat="1" ht="13.2" x14ac:dyDescent="0.25"/>
    <row r="5590" customFormat="1" ht="13.2" x14ac:dyDescent="0.25"/>
    <row r="5591" customFormat="1" ht="13.2" x14ac:dyDescent="0.25"/>
    <row r="5592" customFormat="1" ht="13.2" x14ac:dyDescent="0.25"/>
    <row r="5593" customFormat="1" ht="13.2" x14ac:dyDescent="0.25"/>
    <row r="5594" customFormat="1" ht="13.2" x14ac:dyDescent="0.25"/>
    <row r="5595" customFormat="1" ht="13.2" x14ac:dyDescent="0.25"/>
    <row r="5596" customFormat="1" ht="13.2" x14ac:dyDescent="0.25"/>
    <row r="5597" customFormat="1" ht="13.2" x14ac:dyDescent="0.25"/>
    <row r="5598" customFormat="1" ht="13.2" x14ac:dyDescent="0.25"/>
    <row r="5599" customFormat="1" ht="13.2" x14ac:dyDescent="0.25"/>
    <row r="5600" customFormat="1" ht="13.2" x14ac:dyDescent="0.25"/>
    <row r="5601" customFormat="1" ht="13.2" x14ac:dyDescent="0.25"/>
    <row r="5602" customFormat="1" ht="13.2" x14ac:dyDescent="0.25"/>
    <row r="5603" customFormat="1" ht="13.2" x14ac:dyDescent="0.25"/>
    <row r="5604" customFormat="1" ht="13.2" x14ac:dyDescent="0.25"/>
    <row r="5605" customFormat="1" ht="13.2" x14ac:dyDescent="0.25"/>
    <row r="5606" customFormat="1" ht="13.2" x14ac:dyDescent="0.25"/>
    <row r="5607" customFormat="1" ht="13.2" x14ac:dyDescent="0.25"/>
    <row r="5608" customFormat="1" ht="13.2" x14ac:dyDescent="0.25"/>
    <row r="5609" customFormat="1" ht="13.2" x14ac:dyDescent="0.25"/>
    <row r="5610" customFormat="1" ht="13.2" x14ac:dyDescent="0.25"/>
    <row r="5611" customFormat="1" ht="13.2" x14ac:dyDescent="0.25"/>
    <row r="5612" customFormat="1" ht="13.2" x14ac:dyDescent="0.25"/>
    <row r="5613" customFormat="1" ht="13.2" x14ac:dyDescent="0.25"/>
    <row r="5614" customFormat="1" ht="13.2" x14ac:dyDescent="0.25"/>
    <row r="5615" customFormat="1" ht="13.2" x14ac:dyDescent="0.25"/>
    <row r="5616" customFormat="1" ht="13.2" x14ac:dyDescent="0.25"/>
    <row r="5617" customFormat="1" ht="13.2" x14ac:dyDescent="0.25"/>
    <row r="5618" customFormat="1" ht="13.2" x14ac:dyDescent="0.25"/>
    <row r="5619" customFormat="1" ht="13.2" x14ac:dyDescent="0.25"/>
    <row r="5620" customFormat="1" ht="13.2" x14ac:dyDescent="0.25"/>
    <row r="5621" customFormat="1" ht="13.2" x14ac:dyDescent="0.25"/>
    <row r="5622" customFormat="1" ht="13.2" x14ac:dyDescent="0.25"/>
    <row r="5623" customFormat="1" ht="13.2" x14ac:dyDescent="0.25"/>
    <row r="5624" customFormat="1" ht="13.2" x14ac:dyDescent="0.25"/>
    <row r="5625" customFormat="1" ht="13.2" x14ac:dyDescent="0.25"/>
    <row r="5626" customFormat="1" ht="13.2" x14ac:dyDescent="0.25"/>
    <row r="5627" customFormat="1" ht="13.2" x14ac:dyDescent="0.25"/>
    <row r="5628" customFormat="1" ht="13.2" x14ac:dyDescent="0.25"/>
    <row r="5629" customFormat="1" ht="13.2" x14ac:dyDescent="0.25"/>
    <row r="5630" customFormat="1" ht="13.2" x14ac:dyDescent="0.25"/>
    <row r="5631" customFormat="1" ht="13.2" x14ac:dyDescent="0.25"/>
    <row r="5632" customFormat="1" ht="13.2" x14ac:dyDescent="0.25"/>
    <row r="5633" customFormat="1" ht="13.2" x14ac:dyDescent="0.25"/>
    <row r="5634" customFormat="1" ht="13.2" x14ac:dyDescent="0.25"/>
    <row r="5635" customFormat="1" ht="13.2" x14ac:dyDescent="0.25"/>
    <row r="5636" customFormat="1" ht="13.2" x14ac:dyDescent="0.25"/>
    <row r="5637" customFormat="1" ht="13.2" x14ac:dyDescent="0.25"/>
    <row r="5638" customFormat="1" ht="13.2" x14ac:dyDescent="0.25"/>
    <row r="5639" customFormat="1" ht="13.2" x14ac:dyDescent="0.25"/>
    <row r="5640" customFormat="1" ht="13.2" x14ac:dyDescent="0.25"/>
    <row r="5641" customFormat="1" ht="13.2" x14ac:dyDescent="0.25"/>
    <row r="5642" customFormat="1" ht="13.2" x14ac:dyDescent="0.25"/>
    <row r="5643" customFormat="1" ht="13.2" x14ac:dyDescent="0.25"/>
    <row r="5644" customFormat="1" ht="13.2" x14ac:dyDescent="0.25"/>
    <row r="5645" customFormat="1" ht="13.2" x14ac:dyDescent="0.25"/>
    <row r="5646" customFormat="1" ht="13.2" x14ac:dyDescent="0.25"/>
    <row r="5647" customFormat="1" ht="13.2" x14ac:dyDescent="0.25"/>
    <row r="5648" customFormat="1" ht="13.2" x14ac:dyDescent="0.25"/>
    <row r="5649" customFormat="1" ht="13.2" x14ac:dyDescent="0.25"/>
    <row r="5650" customFormat="1" ht="13.2" x14ac:dyDescent="0.25"/>
    <row r="5651" customFormat="1" ht="13.2" x14ac:dyDescent="0.25"/>
    <row r="5652" customFormat="1" ht="13.2" x14ac:dyDescent="0.25"/>
    <row r="5653" customFormat="1" ht="13.2" x14ac:dyDescent="0.25"/>
    <row r="5654" customFormat="1" ht="13.2" x14ac:dyDescent="0.25"/>
    <row r="5655" customFormat="1" ht="13.2" x14ac:dyDescent="0.25"/>
    <row r="5656" customFormat="1" ht="13.2" x14ac:dyDescent="0.25"/>
    <row r="5657" customFormat="1" ht="13.2" x14ac:dyDescent="0.25"/>
    <row r="5658" customFormat="1" ht="13.2" x14ac:dyDescent="0.25"/>
    <row r="5659" customFormat="1" ht="13.2" x14ac:dyDescent="0.25"/>
    <row r="5660" customFormat="1" ht="13.2" x14ac:dyDescent="0.25"/>
    <row r="5661" customFormat="1" ht="13.2" x14ac:dyDescent="0.25"/>
    <row r="5662" customFormat="1" ht="13.2" x14ac:dyDescent="0.25"/>
    <row r="5663" customFormat="1" ht="13.2" x14ac:dyDescent="0.25"/>
    <row r="5664" customFormat="1" ht="13.2" x14ac:dyDescent="0.25"/>
    <row r="5665" customFormat="1" ht="13.2" x14ac:dyDescent="0.25"/>
    <row r="5666" customFormat="1" ht="13.2" x14ac:dyDescent="0.25"/>
    <row r="5667" customFormat="1" ht="13.2" x14ac:dyDescent="0.25"/>
    <row r="5668" customFormat="1" ht="13.2" x14ac:dyDescent="0.25"/>
    <row r="5669" customFormat="1" ht="13.2" x14ac:dyDescent="0.25"/>
    <row r="5670" customFormat="1" ht="13.2" x14ac:dyDescent="0.25"/>
    <row r="5671" customFormat="1" ht="13.2" x14ac:dyDescent="0.25"/>
    <row r="5672" customFormat="1" ht="13.2" x14ac:dyDescent="0.25"/>
    <row r="5673" customFormat="1" ht="13.2" x14ac:dyDescent="0.25"/>
    <row r="5674" customFormat="1" ht="13.2" x14ac:dyDescent="0.25"/>
    <row r="5675" customFormat="1" ht="13.2" x14ac:dyDescent="0.25"/>
    <row r="5676" customFormat="1" ht="13.2" x14ac:dyDescent="0.25"/>
    <row r="5677" customFormat="1" ht="13.2" x14ac:dyDescent="0.25"/>
    <row r="5678" customFormat="1" ht="13.2" x14ac:dyDescent="0.25"/>
    <row r="5679" customFormat="1" ht="13.2" x14ac:dyDescent="0.25"/>
    <row r="5680" customFormat="1" ht="13.2" x14ac:dyDescent="0.25"/>
    <row r="5681" customFormat="1" ht="13.2" x14ac:dyDescent="0.25"/>
    <row r="5682" customFormat="1" ht="13.2" x14ac:dyDescent="0.25"/>
    <row r="5683" customFormat="1" ht="13.2" x14ac:dyDescent="0.25"/>
    <row r="5684" customFormat="1" ht="13.2" x14ac:dyDescent="0.25"/>
    <row r="5685" customFormat="1" ht="13.2" x14ac:dyDescent="0.25"/>
    <row r="5686" customFormat="1" ht="13.2" x14ac:dyDescent="0.25"/>
    <row r="5687" customFormat="1" ht="13.2" x14ac:dyDescent="0.25"/>
    <row r="5688" customFormat="1" ht="13.2" x14ac:dyDescent="0.25"/>
    <row r="5689" customFormat="1" ht="13.2" x14ac:dyDescent="0.25"/>
    <row r="5690" customFormat="1" ht="13.2" x14ac:dyDescent="0.25"/>
    <row r="5691" customFormat="1" ht="13.2" x14ac:dyDescent="0.25"/>
    <row r="5692" customFormat="1" ht="13.2" x14ac:dyDescent="0.25"/>
    <row r="5693" customFormat="1" ht="13.2" x14ac:dyDescent="0.25"/>
    <row r="5694" customFormat="1" ht="13.2" x14ac:dyDescent="0.25"/>
    <row r="5695" customFormat="1" ht="13.2" x14ac:dyDescent="0.25"/>
    <row r="5696" customFormat="1" ht="13.2" x14ac:dyDescent="0.25"/>
    <row r="5697" customFormat="1" ht="13.2" x14ac:dyDescent="0.25"/>
    <row r="5698" customFormat="1" ht="13.2" x14ac:dyDescent="0.25"/>
    <row r="5699" customFormat="1" ht="13.2" x14ac:dyDescent="0.25"/>
    <row r="5700" customFormat="1" ht="13.2" x14ac:dyDescent="0.25"/>
    <row r="5701" customFormat="1" ht="13.2" x14ac:dyDescent="0.25"/>
    <row r="5702" customFormat="1" ht="13.2" x14ac:dyDescent="0.25"/>
    <row r="5703" customFormat="1" ht="13.2" x14ac:dyDescent="0.25"/>
    <row r="5704" customFormat="1" ht="13.2" x14ac:dyDescent="0.25"/>
    <row r="5705" customFormat="1" ht="13.2" x14ac:dyDescent="0.25"/>
    <row r="5706" customFormat="1" ht="13.2" x14ac:dyDescent="0.25"/>
    <row r="5707" customFormat="1" ht="13.2" x14ac:dyDescent="0.25"/>
    <row r="5708" customFormat="1" ht="13.2" x14ac:dyDescent="0.25"/>
    <row r="5709" customFormat="1" ht="13.2" x14ac:dyDescent="0.25"/>
    <row r="5710" customFormat="1" ht="13.2" x14ac:dyDescent="0.25"/>
    <row r="5711" customFormat="1" ht="13.2" x14ac:dyDescent="0.25"/>
    <row r="5712" customFormat="1" ht="13.2" x14ac:dyDescent="0.25"/>
    <row r="5713" customFormat="1" ht="13.2" x14ac:dyDescent="0.25"/>
    <row r="5714" customFormat="1" ht="13.2" x14ac:dyDescent="0.25"/>
    <row r="5715" customFormat="1" ht="13.2" x14ac:dyDescent="0.25"/>
    <row r="5716" customFormat="1" ht="13.2" x14ac:dyDescent="0.25"/>
    <row r="5717" customFormat="1" ht="13.2" x14ac:dyDescent="0.25"/>
    <row r="5718" customFormat="1" ht="13.2" x14ac:dyDescent="0.25"/>
    <row r="5719" customFormat="1" ht="13.2" x14ac:dyDescent="0.25"/>
    <row r="5720" customFormat="1" ht="13.2" x14ac:dyDescent="0.25"/>
    <row r="5721" customFormat="1" ht="13.2" x14ac:dyDescent="0.25"/>
    <row r="5722" customFormat="1" ht="13.2" x14ac:dyDescent="0.25"/>
    <row r="5723" customFormat="1" ht="13.2" x14ac:dyDescent="0.25"/>
    <row r="5724" customFormat="1" ht="13.2" x14ac:dyDescent="0.25"/>
    <row r="5725" customFormat="1" ht="13.2" x14ac:dyDescent="0.25"/>
    <row r="5726" customFormat="1" ht="13.2" x14ac:dyDescent="0.25"/>
    <row r="5727" customFormat="1" ht="13.2" x14ac:dyDescent="0.25"/>
    <row r="5728" customFormat="1" ht="13.2" x14ac:dyDescent="0.25"/>
    <row r="5729" customFormat="1" ht="13.2" x14ac:dyDescent="0.25"/>
    <row r="5730" customFormat="1" ht="13.2" x14ac:dyDescent="0.25"/>
    <row r="5731" customFormat="1" ht="13.2" x14ac:dyDescent="0.25"/>
    <row r="5732" customFormat="1" ht="13.2" x14ac:dyDescent="0.25"/>
    <row r="5733" customFormat="1" ht="13.2" x14ac:dyDescent="0.25"/>
    <row r="5734" customFormat="1" ht="13.2" x14ac:dyDescent="0.25"/>
    <row r="5735" customFormat="1" ht="13.2" x14ac:dyDescent="0.25"/>
    <row r="5736" customFormat="1" ht="13.2" x14ac:dyDescent="0.25"/>
    <row r="5737" customFormat="1" ht="13.2" x14ac:dyDescent="0.25"/>
    <row r="5738" customFormat="1" ht="13.2" x14ac:dyDescent="0.25"/>
    <row r="5739" customFormat="1" ht="13.2" x14ac:dyDescent="0.25"/>
    <row r="5740" customFormat="1" ht="13.2" x14ac:dyDescent="0.25"/>
    <row r="5741" customFormat="1" ht="13.2" x14ac:dyDescent="0.25"/>
    <row r="5742" customFormat="1" ht="13.2" x14ac:dyDescent="0.25"/>
    <row r="5743" customFormat="1" ht="13.2" x14ac:dyDescent="0.25"/>
    <row r="5744" customFormat="1" ht="13.2" x14ac:dyDescent="0.25"/>
    <row r="5745" customFormat="1" ht="13.2" x14ac:dyDescent="0.25"/>
    <row r="5746" customFormat="1" ht="13.2" x14ac:dyDescent="0.25"/>
    <row r="5747" customFormat="1" ht="13.2" x14ac:dyDescent="0.25"/>
    <row r="5748" customFormat="1" ht="13.2" x14ac:dyDescent="0.25"/>
    <row r="5749" customFormat="1" ht="13.2" x14ac:dyDescent="0.25"/>
    <row r="5750" customFormat="1" ht="13.2" x14ac:dyDescent="0.25"/>
    <row r="5751" customFormat="1" ht="13.2" x14ac:dyDescent="0.25"/>
    <row r="5752" customFormat="1" ht="13.2" x14ac:dyDescent="0.25"/>
    <row r="5753" customFormat="1" ht="13.2" x14ac:dyDescent="0.25"/>
    <row r="5754" customFormat="1" ht="13.2" x14ac:dyDescent="0.25"/>
    <row r="5755" customFormat="1" ht="13.2" x14ac:dyDescent="0.25"/>
    <row r="5756" customFormat="1" ht="13.2" x14ac:dyDescent="0.25"/>
    <row r="5757" customFormat="1" ht="13.2" x14ac:dyDescent="0.25"/>
    <row r="5758" customFormat="1" ht="13.2" x14ac:dyDescent="0.25"/>
    <row r="5759" customFormat="1" ht="13.2" x14ac:dyDescent="0.25"/>
    <row r="5760" customFormat="1" ht="13.2" x14ac:dyDescent="0.25"/>
    <row r="5761" customFormat="1" ht="13.2" x14ac:dyDescent="0.25"/>
    <row r="5762" customFormat="1" ht="13.2" x14ac:dyDescent="0.25"/>
    <row r="5763" customFormat="1" ht="13.2" x14ac:dyDescent="0.25"/>
    <row r="5764" customFormat="1" ht="13.2" x14ac:dyDescent="0.25"/>
    <row r="5765" customFormat="1" ht="13.2" x14ac:dyDescent="0.25"/>
    <row r="5766" customFormat="1" ht="13.2" x14ac:dyDescent="0.25"/>
    <row r="5767" customFormat="1" ht="13.2" x14ac:dyDescent="0.25"/>
    <row r="5768" customFormat="1" ht="13.2" x14ac:dyDescent="0.25"/>
    <row r="5769" customFormat="1" ht="13.2" x14ac:dyDescent="0.25"/>
    <row r="5770" customFormat="1" ht="13.2" x14ac:dyDescent="0.25"/>
    <row r="5771" customFormat="1" ht="13.2" x14ac:dyDescent="0.25"/>
    <row r="5772" customFormat="1" ht="13.2" x14ac:dyDescent="0.25"/>
    <row r="5773" customFormat="1" ht="13.2" x14ac:dyDescent="0.25"/>
    <row r="5774" customFormat="1" ht="13.2" x14ac:dyDescent="0.25"/>
    <row r="5775" customFormat="1" ht="13.2" x14ac:dyDescent="0.25"/>
    <row r="5776" customFormat="1" ht="13.2" x14ac:dyDescent="0.25"/>
    <row r="5777" customFormat="1" ht="13.2" x14ac:dyDescent="0.25"/>
    <row r="5778" customFormat="1" ht="13.2" x14ac:dyDescent="0.25"/>
    <row r="5779" customFormat="1" ht="13.2" x14ac:dyDescent="0.25"/>
    <row r="5780" customFormat="1" ht="13.2" x14ac:dyDescent="0.25"/>
    <row r="5781" customFormat="1" ht="13.2" x14ac:dyDescent="0.25"/>
    <row r="5782" customFormat="1" ht="13.2" x14ac:dyDescent="0.25"/>
    <row r="5783" customFormat="1" ht="13.2" x14ac:dyDescent="0.25"/>
    <row r="5784" customFormat="1" ht="13.2" x14ac:dyDescent="0.25"/>
    <row r="5785" customFormat="1" ht="13.2" x14ac:dyDescent="0.25"/>
    <row r="5786" customFormat="1" ht="13.2" x14ac:dyDescent="0.25"/>
    <row r="5787" customFormat="1" ht="13.2" x14ac:dyDescent="0.25"/>
    <row r="5788" customFormat="1" ht="13.2" x14ac:dyDescent="0.25"/>
    <row r="5789" customFormat="1" ht="13.2" x14ac:dyDescent="0.25"/>
    <row r="5790" customFormat="1" ht="13.2" x14ac:dyDescent="0.25"/>
    <row r="5791" customFormat="1" ht="13.2" x14ac:dyDescent="0.25"/>
    <row r="5792" customFormat="1" ht="13.2" x14ac:dyDescent="0.25"/>
    <row r="5793" customFormat="1" ht="13.2" x14ac:dyDescent="0.25"/>
    <row r="5794" customFormat="1" ht="13.2" x14ac:dyDescent="0.25"/>
    <row r="5795" customFormat="1" ht="13.2" x14ac:dyDescent="0.25"/>
    <row r="5796" customFormat="1" ht="13.2" x14ac:dyDescent="0.25"/>
    <row r="5797" customFormat="1" ht="13.2" x14ac:dyDescent="0.25"/>
    <row r="5798" customFormat="1" ht="13.2" x14ac:dyDescent="0.25"/>
    <row r="5799" customFormat="1" ht="13.2" x14ac:dyDescent="0.25"/>
    <row r="5800" customFormat="1" ht="13.2" x14ac:dyDescent="0.25"/>
    <row r="5801" customFormat="1" ht="13.2" x14ac:dyDescent="0.25"/>
    <row r="5802" customFormat="1" ht="13.2" x14ac:dyDescent="0.25"/>
    <row r="5803" customFormat="1" ht="13.2" x14ac:dyDescent="0.25"/>
    <row r="5804" customFormat="1" ht="13.2" x14ac:dyDescent="0.25"/>
    <row r="5805" customFormat="1" ht="13.2" x14ac:dyDescent="0.25"/>
    <row r="5806" customFormat="1" ht="13.2" x14ac:dyDescent="0.25"/>
    <row r="5807" customFormat="1" ht="13.2" x14ac:dyDescent="0.25"/>
    <row r="5808" customFormat="1" ht="13.2" x14ac:dyDescent="0.25"/>
    <row r="5809" customFormat="1" ht="13.2" x14ac:dyDescent="0.25"/>
    <row r="5810" customFormat="1" ht="13.2" x14ac:dyDescent="0.25"/>
    <row r="5811" customFormat="1" ht="13.2" x14ac:dyDescent="0.25"/>
    <row r="5812" customFormat="1" ht="13.2" x14ac:dyDescent="0.25"/>
    <row r="5813" customFormat="1" ht="13.2" x14ac:dyDescent="0.25"/>
    <row r="5814" customFormat="1" ht="13.2" x14ac:dyDescent="0.25"/>
    <row r="5815" customFormat="1" ht="13.2" x14ac:dyDescent="0.25"/>
    <row r="5816" customFormat="1" ht="13.2" x14ac:dyDescent="0.25"/>
    <row r="5817" customFormat="1" ht="13.2" x14ac:dyDescent="0.25"/>
    <row r="5818" customFormat="1" ht="13.2" x14ac:dyDescent="0.25"/>
    <row r="5819" customFormat="1" ht="13.2" x14ac:dyDescent="0.25"/>
    <row r="5820" customFormat="1" ht="13.2" x14ac:dyDescent="0.25"/>
    <row r="5821" customFormat="1" ht="13.2" x14ac:dyDescent="0.25"/>
    <row r="5822" customFormat="1" ht="13.2" x14ac:dyDescent="0.25"/>
    <row r="5823" customFormat="1" ht="13.2" x14ac:dyDescent="0.25"/>
    <row r="5824" customFormat="1" ht="13.2" x14ac:dyDescent="0.25"/>
    <row r="5825" customFormat="1" ht="13.2" x14ac:dyDescent="0.25"/>
    <row r="5826" customFormat="1" ht="13.2" x14ac:dyDescent="0.25"/>
    <row r="5827" customFormat="1" ht="13.2" x14ac:dyDescent="0.25"/>
    <row r="5828" customFormat="1" ht="13.2" x14ac:dyDescent="0.25"/>
    <row r="5829" customFormat="1" ht="13.2" x14ac:dyDescent="0.25"/>
    <row r="5830" customFormat="1" ht="13.2" x14ac:dyDescent="0.25"/>
    <row r="5831" customFormat="1" ht="13.2" x14ac:dyDescent="0.25"/>
    <row r="5832" customFormat="1" ht="13.2" x14ac:dyDescent="0.25"/>
    <row r="5833" customFormat="1" ht="13.2" x14ac:dyDescent="0.25"/>
    <row r="5834" customFormat="1" ht="13.2" x14ac:dyDescent="0.25"/>
    <row r="5835" customFormat="1" ht="13.2" x14ac:dyDescent="0.25"/>
    <row r="5836" customFormat="1" ht="13.2" x14ac:dyDescent="0.25"/>
    <row r="5837" customFormat="1" ht="13.2" x14ac:dyDescent="0.25"/>
    <row r="5838" customFormat="1" ht="13.2" x14ac:dyDescent="0.25"/>
    <row r="5839" customFormat="1" ht="13.2" x14ac:dyDescent="0.25"/>
    <row r="5840" customFormat="1" ht="13.2" x14ac:dyDescent="0.25"/>
    <row r="5841" customFormat="1" ht="13.2" x14ac:dyDescent="0.25"/>
    <row r="5842" customFormat="1" ht="13.2" x14ac:dyDescent="0.25"/>
    <row r="5843" customFormat="1" ht="13.2" x14ac:dyDescent="0.25"/>
    <row r="5844" customFormat="1" ht="13.2" x14ac:dyDescent="0.25"/>
    <row r="5845" customFormat="1" ht="13.2" x14ac:dyDescent="0.25"/>
    <row r="5846" customFormat="1" ht="13.2" x14ac:dyDescent="0.25"/>
    <row r="5847" customFormat="1" ht="13.2" x14ac:dyDescent="0.25"/>
    <row r="5848" customFormat="1" ht="13.2" x14ac:dyDescent="0.25"/>
    <row r="5849" customFormat="1" ht="13.2" x14ac:dyDescent="0.25"/>
    <row r="5850" customFormat="1" ht="13.2" x14ac:dyDescent="0.25"/>
    <row r="5851" customFormat="1" ht="13.2" x14ac:dyDescent="0.25"/>
    <row r="5852" customFormat="1" ht="13.2" x14ac:dyDescent="0.25"/>
    <row r="5853" customFormat="1" ht="13.2" x14ac:dyDescent="0.25"/>
    <row r="5854" customFormat="1" ht="13.2" x14ac:dyDescent="0.25"/>
    <row r="5855" customFormat="1" ht="13.2" x14ac:dyDescent="0.25"/>
    <row r="5856" customFormat="1" ht="13.2" x14ac:dyDescent="0.25"/>
    <row r="5857" customFormat="1" ht="13.2" x14ac:dyDescent="0.25"/>
    <row r="5858" customFormat="1" ht="13.2" x14ac:dyDescent="0.25"/>
    <row r="5859" customFormat="1" ht="13.2" x14ac:dyDescent="0.25"/>
    <row r="5860" customFormat="1" ht="13.2" x14ac:dyDescent="0.25"/>
    <row r="5861" customFormat="1" ht="13.2" x14ac:dyDescent="0.25"/>
    <row r="5862" customFormat="1" ht="13.2" x14ac:dyDescent="0.25"/>
    <row r="5863" customFormat="1" ht="13.2" x14ac:dyDescent="0.25"/>
    <row r="5864" customFormat="1" ht="13.2" x14ac:dyDescent="0.25"/>
    <row r="5865" customFormat="1" ht="13.2" x14ac:dyDescent="0.25"/>
    <row r="5866" customFormat="1" ht="13.2" x14ac:dyDescent="0.25"/>
    <row r="5867" customFormat="1" ht="13.2" x14ac:dyDescent="0.25"/>
    <row r="5868" customFormat="1" ht="13.2" x14ac:dyDescent="0.25"/>
    <row r="5869" customFormat="1" ht="13.2" x14ac:dyDescent="0.25"/>
    <row r="5870" customFormat="1" ht="13.2" x14ac:dyDescent="0.25"/>
    <row r="5871" customFormat="1" ht="13.2" x14ac:dyDescent="0.25"/>
    <row r="5872" customFormat="1" ht="13.2" x14ac:dyDescent="0.25"/>
    <row r="5873" customFormat="1" ht="13.2" x14ac:dyDescent="0.25"/>
    <row r="5874" customFormat="1" ht="13.2" x14ac:dyDescent="0.25"/>
    <row r="5875" customFormat="1" ht="13.2" x14ac:dyDescent="0.25"/>
    <row r="5876" customFormat="1" ht="13.2" x14ac:dyDescent="0.25"/>
    <row r="5877" customFormat="1" ht="13.2" x14ac:dyDescent="0.25"/>
    <row r="5878" customFormat="1" ht="13.2" x14ac:dyDescent="0.25"/>
    <row r="5879" customFormat="1" ht="13.2" x14ac:dyDescent="0.25"/>
    <row r="5880" customFormat="1" ht="13.2" x14ac:dyDescent="0.25"/>
    <row r="5881" customFormat="1" ht="13.2" x14ac:dyDescent="0.25"/>
    <row r="5882" customFormat="1" ht="13.2" x14ac:dyDescent="0.25"/>
    <row r="5883" customFormat="1" ht="13.2" x14ac:dyDescent="0.25"/>
    <row r="5884" customFormat="1" ht="13.2" x14ac:dyDescent="0.25"/>
    <row r="5885" customFormat="1" ht="13.2" x14ac:dyDescent="0.25"/>
    <row r="5886" customFormat="1" ht="13.2" x14ac:dyDescent="0.25"/>
    <row r="5887" customFormat="1" ht="13.2" x14ac:dyDescent="0.25"/>
    <row r="5888" customFormat="1" ht="13.2" x14ac:dyDescent="0.25"/>
    <row r="5889" customFormat="1" ht="13.2" x14ac:dyDescent="0.25"/>
    <row r="5890" customFormat="1" ht="13.2" x14ac:dyDescent="0.25"/>
    <row r="5891" customFormat="1" ht="13.2" x14ac:dyDescent="0.25"/>
    <row r="5892" customFormat="1" ht="13.2" x14ac:dyDescent="0.25"/>
    <row r="5893" customFormat="1" ht="13.2" x14ac:dyDescent="0.25"/>
    <row r="5894" customFormat="1" ht="13.2" x14ac:dyDescent="0.25"/>
    <row r="5895" customFormat="1" ht="13.2" x14ac:dyDescent="0.25"/>
    <row r="5896" customFormat="1" ht="13.2" x14ac:dyDescent="0.25"/>
    <row r="5897" customFormat="1" ht="13.2" x14ac:dyDescent="0.25"/>
    <row r="5898" customFormat="1" ht="13.2" x14ac:dyDescent="0.25"/>
    <row r="5899" customFormat="1" ht="13.2" x14ac:dyDescent="0.25"/>
    <row r="5900" customFormat="1" ht="13.2" x14ac:dyDescent="0.25"/>
    <row r="5901" customFormat="1" ht="13.2" x14ac:dyDescent="0.25"/>
    <row r="5902" customFormat="1" ht="13.2" x14ac:dyDescent="0.25"/>
    <row r="5903" customFormat="1" ht="13.2" x14ac:dyDescent="0.25"/>
    <row r="5904" customFormat="1" ht="13.2" x14ac:dyDescent="0.25"/>
    <row r="5905" customFormat="1" ht="13.2" x14ac:dyDescent="0.25"/>
    <row r="5906" customFormat="1" ht="13.2" x14ac:dyDescent="0.25"/>
    <row r="5907" customFormat="1" ht="13.2" x14ac:dyDescent="0.25"/>
    <row r="5908" customFormat="1" ht="13.2" x14ac:dyDescent="0.25"/>
    <row r="5909" customFormat="1" ht="13.2" x14ac:dyDescent="0.25"/>
    <row r="5910" customFormat="1" ht="13.2" x14ac:dyDescent="0.25"/>
    <row r="5911" customFormat="1" ht="13.2" x14ac:dyDescent="0.25"/>
    <row r="5912" customFormat="1" ht="13.2" x14ac:dyDescent="0.25"/>
    <row r="5913" customFormat="1" ht="13.2" x14ac:dyDescent="0.25"/>
    <row r="5914" customFormat="1" ht="13.2" x14ac:dyDescent="0.25"/>
    <row r="5915" customFormat="1" ht="13.2" x14ac:dyDescent="0.25"/>
    <row r="5916" customFormat="1" ht="13.2" x14ac:dyDescent="0.25"/>
    <row r="5917" customFormat="1" ht="13.2" x14ac:dyDescent="0.25"/>
    <row r="5918" customFormat="1" ht="13.2" x14ac:dyDescent="0.25"/>
    <row r="5919" customFormat="1" ht="13.2" x14ac:dyDescent="0.25"/>
    <row r="5920" customFormat="1" ht="13.2" x14ac:dyDescent="0.25"/>
    <row r="5921" customFormat="1" ht="13.2" x14ac:dyDescent="0.25"/>
    <row r="5922" customFormat="1" ht="13.2" x14ac:dyDescent="0.25"/>
    <row r="5923" customFormat="1" ht="13.2" x14ac:dyDescent="0.25"/>
    <row r="5924" customFormat="1" ht="13.2" x14ac:dyDescent="0.25"/>
    <row r="5925" customFormat="1" ht="13.2" x14ac:dyDescent="0.25"/>
    <row r="5926" customFormat="1" ht="13.2" x14ac:dyDescent="0.25"/>
    <row r="5927" customFormat="1" ht="13.2" x14ac:dyDescent="0.25"/>
    <row r="5928" customFormat="1" ht="13.2" x14ac:dyDescent="0.25"/>
    <row r="5929" customFormat="1" ht="13.2" x14ac:dyDescent="0.25"/>
    <row r="5930" customFormat="1" ht="13.2" x14ac:dyDescent="0.25"/>
    <row r="5931" customFormat="1" ht="13.2" x14ac:dyDescent="0.25"/>
    <row r="5932" customFormat="1" ht="13.2" x14ac:dyDescent="0.25"/>
    <row r="5933" customFormat="1" ht="13.2" x14ac:dyDescent="0.25"/>
    <row r="5934" customFormat="1" ht="13.2" x14ac:dyDescent="0.25"/>
    <row r="5935" customFormat="1" ht="13.2" x14ac:dyDescent="0.25"/>
    <row r="5936" customFormat="1" ht="13.2" x14ac:dyDescent="0.25"/>
    <row r="5937" customFormat="1" ht="13.2" x14ac:dyDescent="0.25"/>
    <row r="5938" customFormat="1" ht="13.2" x14ac:dyDescent="0.25"/>
    <row r="5939" customFormat="1" ht="13.2" x14ac:dyDescent="0.25"/>
    <row r="5940" customFormat="1" ht="13.2" x14ac:dyDescent="0.25"/>
    <row r="5941" customFormat="1" ht="13.2" x14ac:dyDescent="0.25"/>
    <row r="5942" customFormat="1" ht="13.2" x14ac:dyDescent="0.25"/>
    <row r="5943" customFormat="1" ht="13.2" x14ac:dyDescent="0.25"/>
    <row r="5944" customFormat="1" ht="13.2" x14ac:dyDescent="0.25"/>
    <row r="5945" customFormat="1" ht="13.2" x14ac:dyDescent="0.25"/>
    <row r="5946" customFormat="1" ht="13.2" x14ac:dyDescent="0.25"/>
    <row r="5947" customFormat="1" ht="13.2" x14ac:dyDescent="0.25"/>
    <row r="5948" customFormat="1" ht="13.2" x14ac:dyDescent="0.25"/>
    <row r="5949" customFormat="1" ht="13.2" x14ac:dyDescent="0.25"/>
    <row r="5950" customFormat="1" ht="13.2" x14ac:dyDescent="0.25"/>
    <row r="5951" customFormat="1" ht="13.2" x14ac:dyDescent="0.25"/>
    <row r="5952" customFormat="1" ht="13.2" x14ac:dyDescent="0.25"/>
    <row r="5953" customFormat="1" ht="13.2" x14ac:dyDescent="0.25"/>
    <row r="5954" customFormat="1" ht="13.2" x14ac:dyDescent="0.25"/>
    <row r="5955" customFormat="1" ht="13.2" x14ac:dyDescent="0.25"/>
    <row r="5956" customFormat="1" ht="13.2" x14ac:dyDescent="0.25"/>
    <row r="5957" customFormat="1" ht="13.2" x14ac:dyDescent="0.25"/>
    <row r="5958" customFormat="1" ht="13.2" x14ac:dyDescent="0.25"/>
    <row r="5959" customFormat="1" ht="13.2" x14ac:dyDescent="0.25"/>
    <row r="5960" customFormat="1" ht="13.2" x14ac:dyDescent="0.25"/>
    <row r="5961" customFormat="1" ht="13.2" x14ac:dyDescent="0.25"/>
    <row r="5962" customFormat="1" ht="13.2" x14ac:dyDescent="0.25"/>
    <row r="5963" customFormat="1" ht="13.2" x14ac:dyDescent="0.25"/>
    <row r="5964" customFormat="1" ht="13.2" x14ac:dyDescent="0.25"/>
    <row r="5965" customFormat="1" ht="13.2" x14ac:dyDescent="0.25"/>
    <row r="5966" customFormat="1" ht="13.2" x14ac:dyDescent="0.25"/>
    <row r="5967" customFormat="1" ht="13.2" x14ac:dyDescent="0.25"/>
    <row r="5968" customFormat="1" ht="13.2" x14ac:dyDescent="0.25"/>
    <row r="5969" customFormat="1" ht="13.2" x14ac:dyDescent="0.25"/>
    <row r="5970" customFormat="1" ht="13.2" x14ac:dyDescent="0.25"/>
    <row r="5971" customFormat="1" ht="13.2" x14ac:dyDescent="0.25"/>
    <row r="5972" customFormat="1" ht="13.2" x14ac:dyDescent="0.25"/>
    <row r="5973" customFormat="1" ht="13.2" x14ac:dyDescent="0.25"/>
    <row r="5974" customFormat="1" ht="13.2" x14ac:dyDescent="0.25"/>
    <row r="5975" customFormat="1" ht="13.2" x14ac:dyDescent="0.25"/>
    <row r="5976" customFormat="1" ht="13.2" x14ac:dyDescent="0.25"/>
    <row r="5977" customFormat="1" ht="13.2" x14ac:dyDescent="0.25"/>
    <row r="5978" customFormat="1" ht="13.2" x14ac:dyDescent="0.25"/>
    <row r="5979" customFormat="1" ht="13.2" x14ac:dyDescent="0.25"/>
    <row r="5980" customFormat="1" ht="13.2" x14ac:dyDescent="0.25"/>
    <row r="5981" customFormat="1" ht="13.2" x14ac:dyDescent="0.25"/>
    <row r="5982" customFormat="1" ht="13.2" x14ac:dyDescent="0.25"/>
    <row r="5983" customFormat="1" ht="13.2" x14ac:dyDescent="0.25"/>
    <row r="5984" customFormat="1" ht="13.2" x14ac:dyDescent="0.25"/>
    <row r="5985" customFormat="1" ht="13.2" x14ac:dyDescent="0.25"/>
    <row r="5986" customFormat="1" ht="13.2" x14ac:dyDescent="0.25"/>
    <row r="5987" customFormat="1" ht="13.2" x14ac:dyDescent="0.25"/>
    <row r="5988" customFormat="1" ht="13.2" x14ac:dyDescent="0.25"/>
    <row r="5989" customFormat="1" ht="13.2" x14ac:dyDescent="0.25"/>
    <row r="5990" customFormat="1" ht="13.2" x14ac:dyDescent="0.25"/>
    <row r="5991" customFormat="1" ht="13.2" x14ac:dyDescent="0.25"/>
    <row r="5992" customFormat="1" ht="13.2" x14ac:dyDescent="0.25"/>
    <row r="5993" customFormat="1" ht="13.2" x14ac:dyDescent="0.25"/>
    <row r="5994" customFormat="1" ht="13.2" x14ac:dyDescent="0.25"/>
    <row r="5995" customFormat="1" ht="13.2" x14ac:dyDescent="0.25"/>
    <row r="5996" customFormat="1" ht="13.2" x14ac:dyDescent="0.25"/>
    <row r="5997" customFormat="1" ht="13.2" x14ac:dyDescent="0.25"/>
    <row r="5998" customFormat="1" ht="13.2" x14ac:dyDescent="0.25"/>
    <row r="5999" customFormat="1" ht="13.2" x14ac:dyDescent="0.25"/>
    <row r="6000" customFormat="1" ht="13.2" x14ac:dyDescent="0.25"/>
    <row r="6001" customFormat="1" ht="13.2" x14ac:dyDescent="0.25"/>
    <row r="6002" customFormat="1" ht="13.2" x14ac:dyDescent="0.25"/>
    <row r="6003" customFormat="1" ht="13.2" x14ac:dyDescent="0.25"/>
    <row r="6004" customFormat="1" ht="13.2" x14ac:dyDescent="0.25"/>
    <row r="6005" customFormat="1" ht="13.2" x14ac:dyDescent="0.25"/>
    <row r="6006" customFormat="1" ht="13.2" x14ac:dyDescent="0.25"/>
    <row r="6007" customFormat="1" ht="13.2" x14ac:dyDescent="0.25"/>
    <row r="6008" customFormat="1" ht="13.2" x14ac:dyDescent="0.25"/>
    <row r="6009" customFormat="1" ht="13.2" x14ac:dyDescent="0.25"/>
    <row r="6010" customFormat="1" ht="13.2" x14ac:dyDescent="0.25"/>
    <row r="6011" customFormat="1" ht="13.2" x14ac:dyDescent="0.25"/>
    <row r="6012" customFormat="1" ht="13.2" x14ac:dyDescent="0.25"/>
    <row r="6013" customFormat="1" ht="13.2" x14ac:dyDescent="0.25"/>
    <row r="6014" customFormat="1" ht="13.2" x14ac:dyDescent="0.25"/>
    <row r="6015" customFormat="1" ht="13.2" x14ac:dyDescent="0.25"/>
    <row r="6016" customFormat="1" ht="13.2" x14ac:dyDescent="0.25"/>
    <row r="6017" customFormat="1" ht="13.2" x14ac:dyDescent="0.25"/>
    <row r="6018" customFormat="1" ht="13.2" x14ac:dyDescent="0.25"/>
    <row r="6019" customFormat="1" ht="13.2" x14ac:dyDescent="0.25"/>
    <row r="6020" customFormat="1" ht="13.2" x14ac:dyDescent="0.25"/>
    <row r="6021" customFormat="1" ht="13.2" x14ac:dyDescent="0.25"/>
    <row r="6022" customFormat="1" ht="13.2" x14ac:dyDescent="0.25"/>
    <row r="6023" customFormat="1" ht="13.2" x14ac:dyDescent="0.25"/>
    <row r="6024" customFormat="1" ht="13.2" x14ac:dyDescent="0.25"/>
    <row r="6025" customFormat="1" ht="13.2" x14ac:dyDescent="0.25"/>
    <row r="6026" customFormat="1" ht="13.2" x14ac:dyDescent="0.25"/>
    <row r="6027" customFormat="1" ht="13.2" x14ac:dyDescent="0.25"/>
    <row r="6028" customFormat="1" ht="13.2" x14ac:dyDescent="0.25"/>
    <row r="6029" customFormat="1" ht="13.2" x14ac:dyDescent="0.25"/>
    <row r="6030" customFormat="1" ht="13.2" x14ac:dyDescent="0.25"/>
    <row r="6031" customFormat="1" ht="13.2" x14ac:dyDescent="0.25"/>
    <row r="6032" customFormat="1" ht="13.2" x14ac:dyDescent="0.25"/>
    <row r="6033" customFormat="1" ht="13.2" x14ac:dyDescent="0.25"/>
    <row r="6034" customFormat="1" ht="13.2" x14ac:dyDescent="0.25"/>
    <row r="6035" customFormat="1" ht="13.2" x14ac:dyDescent="0.25"/>
    <row r="6036" customFormat="1" ht="13.2" x14ac:dyDescent="0.25"/>
    <row r="6037" customFormat="1" ht="13.2" x14ac:dyDescent="0.25"/>
    <row r="6038" customFormat="1" ht="13.2" x14ac:dyDescent="0.25"/>
    <row r="6039" customFormat="1" ht="13.2" x14ac:dyDescent="0.25"/>
    <row r="6040" customFormat="1" ht="13.2" x14ac:dyDescent="0.25"/>
    <row r="6041" customFormat="1" ht="13.2" x14ac:dyDescent="0.25"/>
    <row r="6042" customFormat="1" ht="13.2" x14ac:dyDescent="0.25"/>
    <row r="6043" customFormat="1" ht="13.2" x14ac:dyDescent="0.25"/>
    <row r="6044" customFormat="1" ht="13.2" x14ac:dyDescent="0.25"/>
    <row r="6045" customFormat="1" ht="13.2" x14ac:dyDescent="0.25"/>
    <row r="6046" customFormat="1" ht="13.2" x14ac:dyDescent="0.25"/>
    <row r="6047" customFormat="1" ht="13.2" x14ac:dyDescent="0.25"/>
    <row r="6048" customFormat="1" ht="13.2" x14ac:dyDescent="0.25"/>
    <row r="6049" customFormat="1" ht="13.2" x14ac:dyDescent="0.25"/>
    <row r="6050" customFormat="1" ht="13.2" x14ac:dyDescent="0.25"/>
    <row r="6051" customFormat="1" ht="13.2" x14ac:dyDescent="0.25"/>
    <row r="6052" customFormat="1" ht="13.2" x14ac:dyDescent="0.25"/>
    <row r="6053" customFormat="1" ht="13.2" x14ac:dyDescent="0.25"/>
    <row r="6054" customFormat="1" ht="13.2" x14ac:dyDescent="0.25"/>
    <row r="6055" customFormat="1" ht="13.2" x14ac:dyDescent="0.25"/>
    <row r="6056" customFormat="1" ht="13.2" x14ac:dyDescent="0.25"/>
    <row r="6057" customFormat="1" ht="13.2" x14ac:dyDescent="0.25"/>
    <row r="6058" customFormat="1" ht="13.2" x14ac:dyDescent="0.25"/>
    <row r="6059" customFormat="1" ht="13.2" x14ac:dyDescent="0.25"/>
    <row r="6060" customFormat="1" ht="13.2" x14ac:dyDescent="0.25"/>
    <row r="6061" customFormat="1" ht="13.2" x14ac:dyDescent="0.25"/>
    <row r="6062" customFormat="1" ht="13.2" x14ac:dyDescent="0.25"/>
    <row r="6063" customFormat="1" ht="13.2" x14ac:dyDescent="0.25"/>
    <row r="6064" customFormat="1" ht="13.2" x14ac:dyDescent="0.25"/>
    <row r="6065" customFormat="1" ht="13.2" x14ac:dyDescent="0.25"/>
    <row r="6066" customFormat="1" ht="13.2" x14ac:dyDescent="0.25"/>
    <row r="6067" customFormat="1" ht="13.2" x14ac:dyDescent="0.25"/>
    <row r="6068" customFormat="1" ht="13.2" x14ac:dyDescent="0.25"/>
    <row r="6069" customFormat="1" ht="13.2" x14ac:dyDescent="0.25"/>
    <row r="6070" customFormat="1" ht="13.2" x14ac:dyDescent="0.25"/>
    <row r="6071" customFormat="1" ht="13.2" x14ac:dyDescent="0.25"/>
    <row r="6072" customFormat="1" ht="13.2" x14ac:dyDescent="0.25"/>
    <row r="6073" customFormat="1" ht="13.2" x14ac:dyDescent="0.25"/>
    <row r="6074" customFormat="1" ht="13.2" x14ac:dyDescent="0.25"/>
    <row r="6075" customFormat="1" ht="13.2" x14ac:dyDescent="0.25"/>
    <row r="6076" customFormat="1" ht="13.2" x14ac:dyDescent="0.25"/>
    <row r="6077" customFormat="1" ht="13.2" x14ac:dyDescent="0.25"/>
    <row r="6078" customFormat="1" ht="13.2" x14ac:dyDescent="0.25"/>
    <row r="6079" customFormat="1" ht="13.2" x14ac:dyDescent="0.25"/>
    <row r="6080" customFormat="1" ht="13.2" x14ac:dyDescent="0.25"/>
    <row r="6081" customFormat="1" ht="13.2" x14ac:dyDescent="0.25"/>
    <row r="6082" customFormat="1" ht="13.2" x14ac:dyDescent="0.25"/>
    <row r="6083" customFormat="1" ht="13.2" x14ac:dyDescent="0.25"/>
    <row r="6084" customFormat="1" ht="13.2" x14ac:dyDescent="0.25"/>
    <row r="6085" customFormat="1" ht="13.2" x14ac:dyDescent="0.25"/>
    <row r="6086" customFormat="1" ht="13.2" x14ac:dyDescent="0.25"/>
    <row r="6087" customFormat="1" ht="13.2" x14ac:dyDescent="0.25"/>
    <row r="6088" customFormat="1" ht="13.2" x14ac:dyDescent="0.25"/>
    <row r="6089" customFormat="1" ht="13.2" x14ac:dyDescent="0.25"/>
    <row r="6090" customFormat="1" ht="13.2" x14ac:dyDescent="0.25"/>
    <row r="6091" customFormat="1" ht="13.2" x14ac:dyDescent="0.25"/>
    <row r="6092" customFormat="1" ht="13.2" x14ac:dyDescent="0.25"/>
    <row r="6093" customFormat="1" ht="13.2" x14ac:dyDescent="0.25"/>
    <row r="6094" customFormat="1" ht="13.2" x14ac:dyDescent="0.25"/>
    <row r="6095" customFormat="1" ht="13.2" x14ac:dyDescent="0.25"/>
    <row r="6096" customFormat="1" ht="13.2" x14ac:dyDescent="0.25"/>
    <row r="6097" customFormat="1" ht="13.2" x14ac:dyDescent="0.25"/>
    <row r="6098" customFormat="1" ht="13.2" x14ac:dyDescent="0.25"/>
    <row r="6099" customFormat="1" ht="13.2" x14ac:dyDescent="0.25"/>
    <row r="6100" customFormat="1" ht="13.2" x14ac:dyDescent="0.25"/>
    <row r="6101" customFormat="1" ht="13.2" x14ac:dyDescent="0.25"/>
    <row r="6102" customFormat="1" ht="13.2" x14ac:dyDescent="0.25"/>
    <row r="6103" customFormat="1" ht="13.2" x14ac:dyDescent="0.25"/>
    <row r="6104" customFormat="1" ht="13.2" x14ac:dyDescent="0.25"/>
    <row r="6105" customFormat="1" ht="13.2" x14ac:dyDescent="0.25"/>
    <row r="6106" customFormat="1" ht="13.2" x14ac:dyDescent="0.25"/>
    <row r="6107" customFormat="1" ht="13.2" x14ac:dyDescent="0.25"/>
    <row r="6108" customFormat="1" ht="13.2" x14ac:dyDescent="0.25"/>
    <row r="6109" customFormat="1" ht="13.2" x14ac:dyDescent="0.25"/>
    <row r="6110" customFormat="1" ht="13.2" x14ac:dyDescent="0.25"/>
    <row r="6111" customFormat="1" ht="13.2" x14ac:dyDescent="0.25"/>
    <row r="6112" customFormat="1" ht="13.2" x14ac:dyDescent="0.25"/>
    <row r="6113" customFormat="1" ht="13.2" x14ac:dyDescent="0.25"/>
    <row r="6114" customFormat="1" ht="13.2" x14ac:dyDescent="0.25"/>
    <row r="6115" customFormat="1" ht="13.2" x14ac:dyDescent="0.25"/>
    <row r="6116" customFormat="1" ht="13.2" x14ac:dyDescent="0.25"/>
    <row r="6117" customFormat="1" ht="13.2" x14ac:dyDescent="0.25"/>
    <row r="6118" customFormat="1" ht="13.2" x14ac:dyDescent="0.25"/>
    <row r="6119" customFormat="1" ht="13.2" x14ac:dyDescent="0.25"/>
    <row r="6120" customFormat="1" ht="13.2" x14ac:dyDescent="0.25"/>
    <row r="6121" customFormat="1" ht="13.2" x14ac:dyDescent="0.25"/>
    <row r="6122" customFormat="1" ht="13.2" x14ac:dyDescent="0.25"/>
    <row r="6123" customFormat="1" ht="13.2" x14ac:dyDescent="0.25"/>
    <row r="6124" customFormat="1" ht="13.2" x14ac:dyDescent="0.25"/>
    <row r="6125" customFormat="1" ht="13.2" x14ac:dyDescent="0.25"/>
    <row r="6126" customFormat="1" ht="13.2" x14ac:dyDescent="0.25"/>
    <row r="6127" customFormat="1" ht="13.2" x14ac:dyDescent="0.25"/>
    <row r="6128" customFormat="1" ht="13.2" x14ac:dyDescent="0.25"/>
    <row r="6129" customFormat="1" ht="13.2" x14ac:dyDescent="0.25"/>
    <row r="6130" customFormat="1" ht="13.2" x14ac:dyDescent="0.25"/>
    <row r="6131" customFormat="1" ht="13.2" x14ac:dyDescent="0.25"/>
    <row r="6132" customFormat="1" ht="13.2" x14ac:dyDescent="0.25"/>
    <row r="6133" customFormat="1" ht="13.2" x14ac:dyDescent="0.25"/>
    <row r="6134" customFormat="1" ht="13.2" x14ac:dyDescent="0.25"/>
    <row r="6135" customFormat="1" ht="13.2" x14ac:dyDescent="0.25"/>
    <row r="6136" customFormat="1" ht="13.2" x14ac:dyDescent="0.25"/>
    <row r="6137" customFormat="1" ht="13.2" x14ac:dyDescent="0.25"/>
    <row r="6138" customFormat="1" ht="13.2" x14ac:dyDescent="0.25"/>
    <row r="6139" customFormat="1" ht="13.2" x14ac:dyDescent="0.25"/>
    <row r="6140" customFormat="1" ht="13.2" x14ac:dyDescent="0.25"/>
    <row r="6141" customFormat="1" ht="13.2" x14ac:dyDescent="0.25"/>
    <row r="6142" customFormat="1" ht="13.2" x14ac:dyDescent="0.25"/>
    <row r="6143" customFormat="1" ht="13.2" x14ac:dyDescent="0.25"/>
    <row r="6144" customFormat="1" ht="13.2" x14ac:dyDescent="0.25"/>
    <row r="6145" customFormat="1" ht="13.2" x14ac:dyDescent="0.25"/>
    <row r="6146" customFormat="1" ht="13.2" x14ac:dyDescent="0.25"/>
    <row r="6147" customFormat="1" ht="13.2" x14ac:dyDescent="0.25"/>
    <row r="6148" customFormat="1" ht="13.2" x14ac:dyDescent="0.25"/>
    <row r="6149" customFormat="1" ht="13.2" x14ac:dyDescent="0.25"/>
    <row r="6150" customFormat="1" ht="13.2" x14ac:dyDescent="0.25"/>
    <row r="6151" customFormat="1" ht="13.2" x14ac:dyDescent="0.25"/>
    <row r="6152" customFormat="1" ht="13.2" x14ac:dyDescent="0.25"/>
    <row r="6153" customFormat="1" ht="13.2" x14ac:dyDescent="0.25"/>
    <row r="6154" customFormat="1" ht="13.2" x14ac:dyDescent="0.25"/>
    <row r="6155" customFormat="1" ht="13.2" x14ac:dyDescent="0.25"/>
    <row r="6156" customFormat="1" ht="13.2" x14ac:dyDescent="0.25"/>
    <row r="6157" customFormat="1" ht="13.2" x14ac:dyDescent="0.25"/>
    <row r="6158" customFormat="1" ht="13.2" x14ac:dyDescent="0.25"/>
    <row r="6159" customFormat="1" ht="13.2" x14ac:dyDescent="0.25"/>
    <row r="6160" customFormat="1" ht="13.2" x14ac:dyDescent="0.25"/>
    <row r="6161" customFormat="1" ht="13.2" x14ac:dyDescent="0.25"/>
    <row r="6162" customFormat="1" ht="13.2" x14ac:dyDescent="0.25"/>
    <row r="6163" customFormat="1" ht="13.2" x14ac:dyDescent="0.25"/>
    <row r="6164" customFormat="1" ht="13.2" x14ac:dyDescent="0.25"/>
    <row r="6165" customFormat="1" ht="13.2" x14ac:dyDescent="0.25"/>
    <row r="6166" customFormat="1" ht="13.2" x14ac:dyDescent="0.25"/>
    <row r="6167" customFormat="1" ht="13.2" x14ac:dyDescent="0.25"/>
    <row r="6168" customFormat="1" ht="13.2" x14ac:dyDescent="0.25"/>
    <row r="6169" customFormat="1" ht="13.2" x14ac:dyDescent="0.25"/>
    <row r="6170" customFormat="1" ht="13.2" x14ac:dyDescent="0.25"/>
    <row r="6171" customFormat="1" ht="13.2" x14ac:dyDescent="0.25"/>
    <row r="6172" customFormat="1" ht="13.2" x14ac:dyDescent="0.25"/>
    <row r="6173" customFormat="1" ht="13.2" x14ac:dyDescent="0.25"/>
    <row r="6174" customFormat="1" ht="13.2" x14ac:dyDescent="0.25"/>
    <row r="6175" customFormat="1" ht="13.2" x14ac:dyDescent="0.25"/>
    <row r="6176" customFormat="1" ht="13.2" x14ac:dyDescent="0.25"/>
    <row r="6177" customFormat="1" ht="13.2" x14ac:dyDescent="0.25"/>
    <row r="6178" customFormat="1" ht="13.2" x14ac:dyDescent="0.25"/>
    <row r="6179" customFormat="1" ht="13.2" x14ac:dyDescent="0.25"/>
    <row r="6180" customFormat="1" ht="13.2" x14ac:dyDescent="0.25"/>
    <row r="6181" customFormat="1" ht="13.2" x14ac:dyDescent="0.25"/>
    <row r="6182" customFormat="1" ht="13.2" x14ac:dyDescent="0.25"/>
    <row r="6183" customFormat="1" ht="13.2" x14ac:dyDescent="0.25"/>
    <row r="6184" customFormat="1" ht="13.2" x14ac:dyDescent="0.25"/>
    <row r="6185" customFormat="1" ht="13.2" x14ac:dyDescent="0.25"/>
    <row r="6186" customFormat="1" ht="13.2" x14ac:dyDescent="0.25"/>
    <row r="6187" customFormat="1" ht="13.2" x14ac:dyDescent="0.25"/>
    <row r="6188" customFormat="1" ht="13.2" x14ac:dyDescent="0.25"/>
    <row r="6189" customFormat="1" ht="13.2" x14ac:dyDescent="0.25"/>
    <row r="6190" customFormat="1" ht="13.2" x14ac:dyDescent="0.25"/>
    <row r="6191" customFormat="1" ht="13.2" x14ac:dyDescent="0.25"/>
    <row r="6192" customFormat="1" ht="13.2" x14ac:dyDescent="0.25"/>
    <row r="6193" customFormat="1" ht="13.2" x14ac:dyDescent="0.25"/>
    <row r="6194" customFormat="1" ht="13.2" x14ac:dyDescent="0.25"/>
    <row r="6195" customFormat="1" ht="13.2" x14ac:dyDescent="0.25"/>
    <row r="6196" customFormat="1" ht="13.2" x14ac:dyDescent="0.25"/>
    <row r="6197" customFormat="1" ht="13.2" x14ac:dyDescent="0.25"/>
    <row r="6198" customFormat="1" ht="13.2" x14ac:dyDescent="0.25"/>
    <row r="6199" customFormat="1" ht="13.2" x14ac:dyDescent="0.25"/>
    <row r="6200" customFormat="1" ht="13.2" x14ac:dyDescent="0.25"/>
    <row r="6201" customFormat="1" ht="13.2" x14ac:dyDescent="0.25"/>
    <row r="6202" customFormat="1" ht="13.2" x14ac:dyDescent="0.25"/>
    <row r="6203" customFormat="1" ht="13.2" x14ac:dyDescent="0.25"/>
    <row r="6204" customFormat="1" ht="13.2" x14ac:dyDescent="0.25"/>
    <row r="6205" customFormat="1" ht="13.2" x14ac:dyDescent="0.25"/>
    <row r="6206" customFormat="1" ht="13.2" x14ac:dyDescent="0.25"/>
    <row r="6207" customFormat="1" ht="13.2" x14ac:dyDescent="0.25"/>
    <row r="6208" customFormat="1" ht="13.2" x14ac:dyDescent="0.25"/>
    <row r="6209" customFormat="1" ht="13.2" x14ac:dyDescent="0.25"/>
    <row r="6210" customFormat="1" ht="13.2" x14ac:dyDescent="0.25"/>
    <row r="6211" customFormat="1" ht="13.2" x14ac:dyDescent="0.25"/>
    <row r="6212" customFormat="1" ht="13.2" x14ac:dyDescent="0.25"/>
    <row r="6213" customFormat="1" ht="13.2" x14ac:dyDescent="0.25"/>
    <row r="6214" customFormat="1" ht="13.2" x14ac:dyDescent="0.25"/>
    <row r="6215" customFormat="1" ht="13.2" x14ac:dyDescent="0.25"/>
    <row r="6216" customFormat="1" ht="13.2" x14ac:dyDescent="0.25"/>
    <row r="6217" customFormat="1" ht="13.2" x14ac:dyDescent="0.25"/>
    <row r="6218" customFormat="1" ht="13.2" x14ac:dyDescent="0.25"/>
    <row r="6219" customFormat="1" ht="13.2" x14ac:dyDescent="0.25"/>
    <row r="6220" customFormat="1" ht="13.2" x14ac:dyDescent="0.25"/>
    <row r="6221" customFormat="1" ht="13.2" x14ac:dyDescent="0.25"/>
    <row r="6222" customFormat="1" ht="13.2" x14ac:dyDescent="0.25"/>
    <row r="6223" customFormat="1" ht="13.2" x14ac:dyDescent="0.25"/>
    <row r="6224" customFormat="1" ht="13.2" x14ac:dyDescent="0.25"/>
    <row r="6225" customFormat="1" ht="13.2" x14ac:dyDescent="0.25"/>
    <row r="6226" customFormat="1" ht="13.2" x14ac:dyDescent="0.25"/>
    <row r="6227" customFormat="1" ht="13.2" x14ac:dyDescent="0.25"/>
    <row r="6228" customFormat="1" ht="13.2" x14ac:dyDescent="0.25"/>
    <row r="6229" customFormat="1" ht="13.2" x14ac:dyDescent="0.25"/>
    <row r="6230" customFormat="1" ht="13.2" x14ac:dyDescent="0.25"/>
    <row r="6231" customFormat="1" ht="13.2" x14ac:dyDescent="0.25"/>
    <row r="6232" customFormat="1" ht="13.2" x14ac:dyDescent="0.25"/>
    <row r="6233" customFormat="1" ht="13.2" x14ac:dyDescent="0.25"/>
    <row r="6234" customFormat="1" ht="13.2" x14ac:dyDescent="0.25"/>
    <row r="6235" customFormat="1" ht="13.2" x14ac:dyDescent="0.25"/>
    <row r="6236" customFormat="1" ht="13.2" x14ac:dyDescent="0.25"/>
    <row r="6237" customFormat="1" ht="13.2" x14ac:dyDescent="0.25"/>
    <row r="6238" customFormat="1" ht="13.2" x14ac:dyDescent="0.25"/>
    <row r="6239" customFormat="1" ht="13.2" x14ac:dyDescent="0.25"/>
    <row r="6240" customFormat="1" ht="13.2" x14ac:dyDescent="0.25"/>
    <row r="6241" customFormat="1" ht="13.2" x14ac:dyDescent="0.25"/>
    <row r="6242" customFormat="1" ht="13.2" x14ac:dyDescent="0.25"/>
    <row r="6243" customFormat="1" ht="13.2" x14ac:dyDescent="0.25"/>
    <row r="6244" customFormat="1" ht="13.2" x14ac:dyDescent="0.25"/>
    <row r="6245" customFormat="1" ht="13.2" x14ac:dyDescent="0.25"/>
    <row r="6246" customFormat="1" ht="13.2" x14ac:dyDescent="0.25"/>
    <row r="6247" customFormat="1" ht="13.2" x14ac:dyDescent="0.25"/>
    <row r="6248" customFormat="1" ht="13.2" x14ac:dyDescent="0.25"/>
    <row r="6249" customFormat="1" ht="13.2" x14ac:dyDescent="0.25"/>
    <row r="6250" customFormat="1" ht="13.2" x14ac:dyDescent="0.25"/>
    <row r="6251" customFormat="1" ht="13.2" x14ac:dyDescent="0.25"/>
    <row r="6252" customFormat="1" ht="13.2" x14ac:dyDescent="0.25"/>
    <row r="6253" customFormat="1" ht="13.2" x14ac:dyDescent="0.25"/>
    <row r="6254" customFormat="1" ht="13.2" x14ac:dyDescent="0.25"/>
    <row r="6255" customFormat="1" ht="13.2" x14ac:dyDescent="0.25"/>
    <row r="6256" customFormat="1" ht="13.2" x14ac:dyDescent="0.25"/>
    <row r="6257" customFormat="1" ht="13.2" x14ac:dyDescent="0.25"/>
    <row r="6258" customFormat="1" ht="13.2" x14ac:dyDescent="0.25"/>
    <row r="6259" customFormat="1" ht="13.2" x14ac:dyDescent="0.25"/>
    <row r="6260" customFormat="1" ht="13.2" x14ac:dyDescent="0.25"/>
    <row r="6261" customFormat="1" ht="13.2" x14ac:dyDescent="0.25"/>
    <row r="6262" customFormat="1" ht="13.2" x14ac:dyDescent="0.25"/>
    <row r="6263" customFormat="1" ht="13.2" x14ac:dyDescent="0.25"/>
    <row r="6264" customFormat="1" ht="13.2" x14ac:dyDescent="0.25"/>
    <row r="6265" customFormat="1" ht="13.2" x14ac:dyDescent="0.25"/>
    <row r="6266" customFormat="1" ht="13.2" x14ac:dyDescent="0.25"/>
    <row r="6267" customFormat="1" ht="13.2" x14ac:dyDescent="0.25"/>
    <row r="6268" customFormat="1" ht="13.2" x14ac:dyDescent="0.25"/>
    <row r="6269" customFormat="1" ht="13.2" x14ac:dyDescent="0.25"/>
    <row r="6270" customFormat="1" ht="13.2" x14ac:dyDescent="0.25"/>
    <row r="6271" customFormat="1" ht="13.2" x14ac:dyDescent="0.25"/>
    <row r="6272" customFormat="1" ht="13.2" x14ac:dyDescent="0.25"/>
    <row r="6273" customFormat="1" ht="13.2" x14ac:dyDescent="0.25"/>
    <row r="6274" customFormat="1" ht="13.2" x14ac:dyDescent="0.25"/>
    <row r="6275" customFormat="1" ht="13.2" x14ac:dyDescent="0.25"/>
    <row r="6276" customFormat="1" ht="13.2" x14ac:dyDescent="0.25"/>
    <row r="6277" customFormat="1" ht="13.2" x14ac:dyDescent="0.25"/>
    <row r="6278" customFormat="1" ht="13.2" x14ac:dyDescent="0.25"/>
    <row r="6279" customFormat="1" ht="13.2" x14ac:dyDescent="0.25"/>
    <row r="6280" customFormat="1" ht="13.2" x14ac:dyDescent="0.25"/>
    <row r="6281" customFormat="1" ht="13.2" x14ac:dyDescent="0.25"/>
    <row r="6282" customFormat="1" ht="13.2" x14ac:dyDescent="0.25"/>
    <row r="6283" customFormat="1" ht="13.2" x14ac:dyDescent="0.25"/>
    <row r="6284" customFormat="1" ht="13.2" x14ac:dyDescent="0.25"/>
    <row r="6285" customFormat="1" ht="13.2" x14ac:dyDescent="0.25"/>
    <row r="6286" customFormat="1" ht="13.2" x14ac:dyDescent="0.25"/>
    <row r="6287" customFormat="1" ht="13.2" x14ac:dyDescent="0.25"/>
    <row r="6288" customFormat="1" ht="13.2" x14ac:dyDescent="0.25"/>
    <row r="6289" customFormat="1" ht="13.2" x14ac:dyDescent="0.25"/>
    <row r="6290" customFormat="1" ht="13.2" x14ac:dyDescent="0.25"/>
    <row r="6291" customFormat="1" ht="13.2" x14ac:dyDescent="0.25"/>
    <row r="6292" customFormat="1" ht="13.2" x14ac:dyDescent="0.25"/>
    <row r="6293" customFormat="1" ht="13.2" x14ac:dyDescent="0.25"/>
    <row r="6294" customFormat="1" ht="13.2" x14ac:dyDescent="0.25"/>
    <row r="6295" customFormat="1" ht="13.2" x14ac:dyDescent="0.25"/>
    <row r="6296" customFormat="1" ht="13.2" x14ac:dyDescent="0.25"/>
    <row r="6297" customFormat="1" ht="13.2" x14ac:dyDescent="0.25"/>
    <row r="6298" customFormat="1" ht="13.2" x14ac:dyDescent="0.25"/>
    <row r="6299" customFormat="1" ht="13.2" x14ac:dyDescent="0.25"/>
    <row r="6300" customFormat="1" ht="13.2" x14ac:dyDescent="0.25"/>
    <row r="6301" customFormat="1" ht="13.2" x14ac:dyDescent="0.25"/>
    <row r="6302" customFormat="1" ht="13.2" x14ac:dyDescent="0.25"/>
    <row r="6303" customFormat="1" ht="13.2" x14ac:dyDescent="0.25"/>
    <row r="6304" customFormat="1" ht="13.2" x14ac:dyDescent="0.25"/>
    <row r="6305" customFormat="1" ht="13.2" x14ac:dyDescent="0.25"/>
    <row r="6306" customFormat="1" ht="13.2" x14ac:dyDescent="0.25"/>
    <row r="6307" customFormat="1" ht="13.2" x14ac:dyDescent="0.25"/>
    <row r="6308" customFormat="1" ht="13.2" x14ac:dyDescent="0.25"/>
    <row r="6309" customFormat="1" ht="13.2" x14ac:dyDescent="0.25"/>
    <row r="6310" customFormat="1" ht="13.2" x14ac:dyDescent="0.25"/>
    <row r="6311" customFormat="1" ht="13.2" x14ac:dyDescent="0.25"/>
    <row r="6312" customFormat="1" ht="13.2" x14ac:dyDescent="0.25"/>
    <row r="6313" customFormat="1" ht="13.2" x14ac:dyDescent="0.25"/>
    <row r="6314" customFormat="1" ht="13.2" x14ac:dyDescent="0.25"/>
    <row r="6315" customFormat="1" ht="13.2" x14ac:dyDescent="0.25"/>
    <row r="6316" customFormat="1" ht="13.2" x14ac:dyDescent="0.25"/>
    <row r="6317" customFormat="1" ht="13.2" x14ac:dyDescent="0.25"/>
    <row r="6318" customFormat="1" ht="13.2" x14ac:dyDescent="0.25"/>
    <row r="6319" customFormat="1" ht="13.2" x14ac:dyDescent="0.25"/>
    <row r="6320" customFormat="1" ht="13.2" x14ac:dyDescent="0.25"/>
    <row r="6321" customFormat="1" ht="13.2" x14ac:dyDescent="0.25"/>
    <row r="6322" customFormat="1" ht="13.2" x14ac:dyDescent="0.25"/>
    <row r="6323" customFormat="1" ht="13.2" x14ac:dyDescent="0.25"/>
    <row r="6324" customFormat="1" ht="13.2" x14ac:dyDescent="0.25"/>
    <row r="6325" customFormat="1" ht="13.2" x14ac:dyDescent="0.25"/>
    <row r="6326" customFormat="1" ht="13.2" x14ac:dyDescent="0.25"/>
    <row r="6327" customFormat="1" ht="13.2" x14ac:dyDescent="0.25"/>
    <row r="6328" customFormat="1" ht="13.2" x14ac:dyDescent="0.25"/>
    <row r="6329" customFormat="1" ht="13.2" x14ac:dyDescent="0.25"/>
    <row r="6330" customFormat="1" ht="13.2" x14ac:dyDescent="0.25"/>
    <row r="6331" customFormat="1" ht="13.2" x14ac:dyDescent="0.25"/>
    <row r="6332" customFormat="1" ht="13.2" x14ac:dyDescent="0.25"/>
    <row r="6333" customFormat="1" ht="13.2" x14ac:dyDescent="0.25"/>
    <row r="6334" customFormat="1" ht="13.2" x14ac:dyDescent="0.25"/>
    <row r="6335" customFormat="1" ht="13.2" x14ac:dyDescent="0.25"/>
    <row r="6336" customFormat="1" ht="13.2" x14ac:dyDescent="0.25"/>
    <row r="6337" customFormat="1" ht="13.2" x14ac:dyDescent="0.25"/>
    <row r="6338" customFormat="1" ht="13.2" x14ac:dyDescent="0.25"/>
    <row r="6339" customFormat="1" ht="13.2" x14ac:dyDescent="0.25"/>
    <row r="6340" customFormat="1" ht="13.2" x14ac:dyDescent="0.25"/>
    <row r="6341" customFormat="1" ht="13.2" x14ac:dyDescent="0.25"/>
    <row r="6342" customFormat="1" ht="13.2" x14ac:dyDescent="0.25"/>
    <row r="6343" customFormat="1" ht="13.2" x14ac:dyDescent="0.25"/>
    <row r="6344" customFormat="1" ht="13.2" x14ac:dyDescent="0.25"/>
    <row r="6345" customFormat="1" ht="13.2" x14ac:dyDescent="0.25"/>
    <row r="6346" customFormat="1" ht="13.2" x14ac:dyDescent="0.25"/>
    <row r="6347" customFormat="1" ht="13.2" x14ac:dyDescent="0.25"/>
    <row r="6348" customFormat="1" ht="13.2" x14ac:dyDescent="0.25"/>
    <row r="6349" customFormat="1" ht="13.2" x14ac:dyDescent="0.25"/>
    <row r="6350" customFormat="1" ht="13.2" x14ac:dyDescent="0.25"/>
    <row r="6351" customFormat="1" ht="13.2" x14ac:dyDescent="0.25"/>
    <row r="6352" customFormat="1" ht="13.2" x14ac:dyDescent="0.25"/>
    <row r="6353" customFormat="1" ht="13.2" x14ac:dyDescent="0.25"/>
    <row r="6354" customFormat="1" ht="13.2" x14ac:dyDescent="0.25"/>
    <row r="6355" customFormat="1" ht="13.2" x14ac:dyDescent="0.25"/>
    <row r="6356" customFormat="1" ht="13.2" x14ac:dyDescent="0.25"/>
    <row r="6357" customFormat="1" ht="13.2" x14ac:dyDescent="0.25"/>
    <row r="6358" customFormat="1" ht="13.2" x14ac:dyDescent="0.25"/>
    <row r="6359" customFormat="1" ht="13.2" x14ac:dyDescent="0.25"/>
    <row r="6360" customFormat="1" ht="13.2" x14ac:dyDescent="0.25"/>
    <row r="6361" customFormat="1" ht="13.2" x14ac:dyDescent="0.25"/>
    <row r="6362" customFormat="1" ht="13.2" x14ac:dyDescent="0.25"/>
    <row r="6363" customFormat="1" ht="13.2" x14ac:dyDescent="0.25"/>
    <row r="6364" customFormat="1" ht="13.2" x14ac:dyDescent="0.25"/>
    <row r="6365" customFormat="1" ht="13.2" x14ac:dyDescent="0.25"/>
    <row r="6366" customFormat="1" ht="13.2" x14ac:dyDescent="0.25"/>
    <row r="6367" customFormat="1" ht="13.2" x14ac:dyDescent="0.25"/>
    <row r="6368" customFormat="1" ht="13.2" x14ac:dyDescent="0.25"/>
    <row r="6369" customFormat="1" ht="13.2" x14ac:dyDescent="0.25"/>
    <row r="6370" customFormat="1" ht="13.2" x14ac:dyDescent="0.25"/>
    <row r="6371" customFormat="1" ht="13.2" x14ac:dyDescent="0.25"/>
    <row r="6372" customFormat="1" ht="13.2" x14ac:dyDescent="0.25"/>
    <row r="6373" customFormat="1" ht="13.2" x14ac:dyDescent="0.25"/>
    <row r="6374" customFormat="1" ht="13.2" x14ac:dyDescent="0.25"/>
    <row r="6375" customFormat="1" ht="13.2" x14ac:dyDescent="0.25"/>
    <row r="6376" customFormat="1" ht="13.2" x14ac:dyDescent="0.25"/>
    <row r="6377" customFormat="1" ht="13.2" x14ac:dyDescent="0.25"/>
    <row r="6378" customFormat="1" ht="13.2" x14ac:dyDescent="0.25"/>
    <row r="6379" customFormat="1" ht="13.2" x14ac:dyDescent="0.25"/>
    <row r="6380" customFormat="1" ht="13.2" x14ac:dyDescent="0.25"/>
    <row r="6381" customFormat="1" ht="13.2" x14ac:dyDescent="0.25"/>
    <row r="6382" customFormat="1" ht="13.2" x14ac:dyDescent="0.25"/>
    <row r="6383" customFormat="1" ht="13.2" x14ac:dyDescent="0.25"/>
    <row r="6384" customFormat="1" ht="13.2" x14ac:dyDescent="0.25"/>
    <row r="6385" customFormat="1" ht="13.2" x14ac:dyDescent="0.25"/>
    <row r="6386" customFormat="1" ht="13.2" x14ac:dyDescent="0.25"/>
    <row r="6387" customFormat="1" ht="13.2" x14ac:dyDescent="0.25"/>
    <row r="6388" customFormat="1" ht="13.2" x14ac:dyDescent="0.25"/>
    <row r="6389" customFormat="1" ht="13.2" x14ac:dyDescent="0.25"/>
    <row r="6390" customFormat="1" ht="13.2" x14ac:dyDescent="0.25"/>
    <row r="6391" customFormat="1" ht="13.2" x14ac:dyDescent="0.25"/>
    <row r="6392" customFormat="1" ht="13.2" x14ac:dyDescent="0.25"/>
    <row r="6393" customFormat="1" ht="13.2" x14ac:dyDescent="0.25"/>
    <row r="6394" customFormat="1" ht="13.2" x14ac:dyDescent="0.25"/>
    <row r="6395" customFormat="1" ht="13.2" x14ac:dyDescent="0.25"/>
    <row r="6396" customFormat="1" ht="13.2" x14ac:dyDescent="0.25"/>
    <row r="6397" customFormat="1" ht="13.2" x14ac:dyDescent="0.25"/>
    <row r="6398" customFormat="1" ht="13.2" x14ac:dyDescent="0.25"/>
    <row r="6399" customFormat="1" ht="13.2" x14ac:dyDescent="0.25"/>
    <row r="6400" customFormat="1" ht="13.2" x14ac:dyDescent="0.25"/>
    <row r="6401" customFormat="1" ht="13.2" x14ac:dyDescent="0.25"/>
    <row r="6402" customFormat="1" ht="13.2" x14ac:dyDescent="0.25"/>
    <row r="6403" customFormat="1" ht="13.2" x14ac:dyDescent="0.25"/>
    <row r="6404" customFormat="1" ht="13.2" x14ac:dyDescent="0.25"/>
    <row r="6405" customFormat="1" ht="13.2" x14ac:dyDescent="0.25"/>
    <row r="6406" customFormat="1" ht="13.2" x14ac:dyDescent="0.25"/>
    <row r="6407" customFormat="1" ht="13.2" x14ac:dyDescent="0.25"/>
    <row r="6408" customFormat="1" ht="13.2" x14ac:dyDescent="0.25"/>
    <row r="6409" customFormat="1" ht="13.2" x14ac:dyDescent="0.25"/>
    <row r="6410" customFormat="1" ht="13.2" x14ac:dyDescent="0.25"/>
    <row r="6411" customFormat="1" ht="13.2" x14ac:dyDescent="0.25"/>
    <row r="6412" customFormat="1" ht="13.2" x14ac:dyDescent="0.25"/>
    <row r="6413" customFormat="1" ht="13.2" x14ac:dyDescent="0.25"/>
    <row r="6414" customFormat="1" ht="13.2" x14ac:dyDescent="0.25"/>
    <row r="6415" customFormat="1" ht="13.2" x14ac:dyDescent="0.25"/>
    <row r="6416" customFormat="1" ht="13.2" x14ac:dyDescent="0.25"/>
    <row r="6417" customFormat="1" ht="13.2" x14ac:dyDescent="0.25"/>
    <row r="6418" customFormat="1" ht="13.2" x14ac:dyDescent="0.25"/>
    <row r="6419" customFormat="1" ht="13.2" x14ac:dyDescent="0.25"/>
    <row r="6420" customFormat="1" ht="13.2" x14ac:dyDescent="0.25"/>
    <row r="6421" customFormat="1" ht="13.2" x14ac:dyDescent="0.25"/>
    <row r="6422" customFormat="1" ht="13.2" x14ac:dyDescent="0.25"/>
    <row r="6423" customFormat="1" ht="13.2" x14ac:dyDescent="0.25"/>
    <row r="6424" customFormat="1" ht="13.2" x14ac:dyDescent="0.25"/>
    <row r="6425" customFormat="1" ht="13.2" x14ac:dyDescent="0.25"/>
    <row r="6426" customFormat="1" ht="13.2" x14ac:dyDescent="0.25"/>
    <row r="6427" customFormat="1" ht="13.2" x14ac:dyDescent="0.25"/>
    <row r="6428" customFormat="1" ht="13.2" x14ac:dyDescent="0.25"/>
    <row r="6429" customFormat="1" ht="13.2" x14ac:dyDescent="0.25"/>
    <row r="6430" customFormat="1" ht="13.2" x14ac:dyDescent="0.25"/>
    <row r="6431" customFormat="1" ht="13.2" x14ac:dyDescent="0.25"/>
    <row r="6432" customFormat="1" ht="13.2" x14ac:dyDescent="0.25"/>
    <row r="6433" customFormat="1" ht="13.2" x14ac:dyDescent="0.25"/>
    <row r="6434" customFormat="1" ht="13.2" x14ac:dyDescent="0.25"/>
    <row r="6435" customFormat="1" ht="13.2" x14ac:dyDescent="0.25"/>
    <row r="6436" customFormat="1" ht="13.2" x14ac:dyDescent="0.25"/>
    <row r="6437" customFormat="1" ht="13.2" x14ac:dyDescent="0.25"/>
    <row r="6438" customFormat="1" ht="13.2" x14ac:dyDescent="0.25"/>
    <row r="6439" customFormat="1" ht="13.2" x14ac:dyDescent="0.25"/>
    <row r="6440" customFormat="1" ht="13.2" x14ac:dyDescent="0.25"/>
    <row r="6441" customFormat="1" ht="13.2" x14ac:dyDescent="0.25"/>
    <row r="6442" customFormat="1" ht="13.2" x14ac:dyDescent="0.25"/>
    <row r="6443" customFormat="1" ht="13.2" x14ac:dyDescent="0.25"/>
    <row r="6444" customFormat="1" ht="13.2" x14ac:dyDescent="0.25"/>
    <row r="6445" customFormat="1" ht="13.2" x14ac:dyDescent="0.25"/>
    <row r="6446" customFormat="1" ht="13.2" x14ac:dyDescent="0.25"/>
    <row r="6447" customFormat="1" ht="13.2" x14ac:dyDescent="0.25"/>
    <row r="6448" customFormat="1" ht="13.2" x14ac:dyDescent="0.25"/>
    <row r="6449" customFormat="1" ht="13.2" x14ac:dyDescent="0.25"/>
    <row r="6450" customFormat="1" ht="13.2" x14ac:dyDescent="0.25"/>
    <row r="6451" customFormat="1" ht="13.2" x14ac:dyDescent="0.25"/>
    <row r="6452" customFormat="1" ht="13.2" x14ac:dyDescent="0.25"/>
    <row r="6453" customFormat="1" ht="13.2" x14ac:dyDescent="0.25"/>
    <row r="6454" customFormat="1" ht="13.2" x14ac:dyDescent="0.25"/>
    <row r="6455" customFormat="1" ht="13.2" x14ac:dyDescent="0.25"/>
    <row r="6456" customFormat="1" ht="13.2" x14ac:dyDescent="0.25"/>
    <row r="6457" customFormat="1" ht="13.2" x14ac:dyDescent="0.25"/>
    <row r="6458" customFormat="1" ht="13.2" x14ac:dyDescent="0.25"/>
    <row r="6459" customFormat="1" ht="13.2" x14ac:dyDescent="0.25"/>
    <row r="6460" customFormat="1" ht="13.2" x14ac:dyDescent="0.25"/>
    <row r="6461" customFormat="1" ht="13.2" x14ac:dyDescent="0.25"/>
    <row r="6462" customFormat="1" ht="13.2" x14ac:dyDescent="0.25"/>
    <row r="6463" customFormat="1" ht="13.2" x14ac:dyDescent="0.25"/>
    <row r="6464" customFormat="1" ht="13.2" x14ac:dyDescent="0.25"/>
    <row r="6465" customFormat="1" ht="13.2" x14ac:dyDescent="0.25"/>
    <row r="6466" customFormat="1" ht="13.2" x14ac:dyDescent="0.25"/>
    <row r="6467" customFormat="1" ht="13.2" x14ac:dyDescent="0.25"/>
    <row r="6468" customFormat="1" ht="13.2" x14ac:dyDescent="0.25"/>
    <row r="6469" customFormat="1" ht="13.2" x14ac:dyDescent="0.25"/>
    <row r="6470" customFormat="1" ht="13.2" x14ac:dyDescent="0.25"/>
    <row r="6471" customFormat="1" ht="13.2" x14ac:dyDescent="0.25"/>
    <row r="6472" customFormat="1" ht="13.2" x14ac:dyDescent="0.25"/>
    <row r="6473" customFormat="1" ht="13.2" x14ac:dyDescent="0.25"/>
    <row r="6474" customFormat="1" ht="13.2" x14ac:dyDescent="0.25"/>
    <row r="6475" customFormat="1" ht="13.2" x14ac:dyDescent="0.25"/>
    <row r="6476" customFormat="1" ht="13.2" x14ac:dyDescent="0.25"/>
    <row r="6477" customFormat="1" ht="13.2" x14ac:dyDescent="0.25"/>
    <row r="6478" customFormat="1" ht="13.2" x14ac:dyDescent="0.25"/>
    <row r="6479" customFormat="1" ht="13.2" x14ac:dyDescent="0.25"/>
    <row r="6480" customFormat="1" ht="13.2" x14ac:dyDescent="0.25"/>
    <row r="6481" customFormat="1" ht="13.2" x14ac:dyDescent="0.25"/>
    <row r="6482" customFormat="1" ht="13.2" x14ac:dyDescent="0.25"/>
    <row r="6483" customFormat="1" ht="13.2" x14ac:dyDescent="0.25"/>
    <row r="6484" customFormat="1" ht="13.2" x14ac:dyDescent="0.25"/>
    <row r="6485" customFormat="1" ht="13.2" x14ac:dyDescent="0.25"/>
    <row r="6486" customFormat="1" ht="13.2" x14ac:dyDescent="0.25"/>
    <row r="6487" customFormat="1" ht="13.2" x14ac:dyDescent="0.25"/>
    <row r="6488" customFormat="1" ht="13.2" x14ac:dyDescent="0.25"/>
    <row r="6489" customFormat="1" ht="13.2" x14ac:dyDescent="0.25"/>
    <row r="6490" customFormat="1" ht="13.2" x14ac:dyDescent="0.25"/>
    <row r="6491" customFormat="1" ht="13.2" x14ac:dyDescent="0.25"/>
    <row r="6492" customFormat="1" ht="13.2" x14ac:dyDescent="0.25"/>
    <row r="6493" customFormat="1" ht="13.2" x14ac:dyDescent="0.25"/>
    <row r="6494" customFormat="1" ht="13.2" x14ac:dyDescent="0.25"/>
    <row r="6495" customFormat="1" ht="13.2" x14ac:dyDescent="0.25"/>
    <row r="6496" customFormat="1" ht="13.2" x14ac:dyDescent="0.25"/>
    <row r="6497" customFormat="1" ht="13.2" x14ac:dyDescent="0.25"/>
    <row r="6498" customFormat="1" ht="13.2" x14ac:dyDescent="0.25"/>
    <row r="6499" customFormat="1" ht="13.2" x14ac:dyDescent="0.25"/>
    <row r="6500" customFormat="1" ht="13.2" x14ac:dyDescent="0.25"/>
    <row r="6501" customFormat="1" ht="13.2" x14ac:dyDescent="0.25"/>
    <row r="6502" customFormat="1" ht="13.2" x14ac:dyDescent="0.25"/>
    <row r="6503" customFormat="1" ht="13.2" x14ac:dyDescent="0.25"/>
    <row r="6504" customFormat="1" ht="13.2" x14ac:dyDescent="0.25"/>
    <row r="6505" customFormat="1" ht="13.2" x14ac:dyDescent="0.25"/>
    <row r="6506" customFormat="1" ht="13.2" x14ac:dyDescent="0.25"/>
    <row r="6507" customFormat="1" ht="13.2" x14ac:dyDescent="0.25"/>
    <row r="6508" customFormat="1" ht="13.2" x14ac:dyDescent="0.25"/>
    <row r="6509" customFormat="1" ht="13.2" x14ac:dyDescent="0.25"/>
    <row r="6510" customFormat="1" ht="13.2" x14ac:dyDescent="0.25"/>
    <row r="6511" customFormat="1" ht="13.2" x14ac:dyDescent="0.25"/>
    <row r="6512" customFormat="1" ht="13.2" x14ac:dyDescent="0.25"/>
    <row r="6513" customFormat="1" ht="13.2" x14ac:dyDescent="0.25"/>
    <row r="6514" customFormat="1" ht="13.2" x14ac:dyDescent="0.25"/>
    <row r="6515" customFormat="1" ht="13.2" x14ac:dyDescent="0.25"/>
    <row r="6516" customFormat="1" ht="13.2" x14ac:dyDescent="0.25"/>
    <row r="6517" customFormat="1" ht="13.2" x14ac:dyDescent="0.25"/>
    <row r="6518" customFormat="1" ht="13.2" x14ac:dyDescent="0.25"/>
    <row r="6519" customFormat="1" ht="13.2" x14ac:dyDescent="0.25"/>
    <row r="6520" customFormat="1" ht="13.2" x14ac:dyDescent="0.25"/>
    <row r="6521" customFormat="1" ht="13.2" x14ac:dyDescent="0.25"/>
    <row r="6522" customFormat="1" ht="13.2" x14ac:dyDescent="0.25"/>
    <row r="6523" customFormat="1" ht="13.2" x14ac:dyDescent="0.25"/>
    <row r="6524" customFormat="1" ht="13.2" x14ac:dyDescent="0.25"/>
    <row r="6525" customFormat="1" ht="13.2" x14ac:dyDescent="0.25"/>
    <row r="6526" customFormat="1" ht="13.2" x14ac:dyDescent="0.25"/>
    <row r="6527" customFormat="1" ht="13.2" x14ac:dyDescent="0.25"/>
    <row r="6528" customFormat="1" ht="13.2" x14ac:dyDescent="0.25"/>
    <row r="6529" customFormat="1" ht="13.2" x14ac:dyDescent="0.25"/>
    <row r="6530" customFormat="1" ht="13.2" x14ac:dyDescent="0.25"/>
    <row r="6531" customFormat="1" ht="13.2" x14ac:dyDescent="0.25"/>
    <row r="6532" customFormat="1" ht="13.2" x14ac:dyDescent="0.25"/>
    <row r="6533" customFormat="1" ht="13.2" x14ac:dyDescent="0.25"/>
    <row r="6534" customFormat="1" ht="13.2" x14ac:dyDescent="0.25"/>
    <row r="6535" customFormat="1" ht="13.2" x14ac:dyDescent="0.25"/>
    <row r="6536" customFormat="1" ht="13.2" x14ac:dyDescent="0.25"/>
    <row r="6537" customFormat="1" ht="13.2" x14ac:dyDescent="0.25"/>
    <row r="6538" customFormat="1" ht="13.2" x14ac:dyDescent="0.25"/>
    <row r="6539" customFormat="1" ht="13.2" x14ac:dyDescent="0.25"/>
    <row r="6540" customFormat="1" ht="13.2" x14ac:dyDescent="0.25"/>
    <row r="6541" customFormat="1" ht="13.2" x14ac:dyDescent="0.25"/>
    <row r="6542" customFormat="1" ht="13.2" x14ac:dyDescent="0.25"/>
    <row r="6543" customFormat="1" ht="13.2" x14ac:dyDescent="0.25"/>
    <row r="6544" customFormat="1" ht="13.2" x14ac:dyDescent="0.25"/>
    <row r="6545" customFormat="1" ht="13.2" x14ac:dyDescent="0.25"/>
    <row r="6546" customFormat="1" ht="13.2" x14ac:dyDescent="0.25"/>
    <row r="6547" customFormat="1" ht="13.2" x14ac:dyDescent="0.25"/>
    <row r="6548" customFormat="1" ht="13.2" x14ac:dyDescent="0.25"/>
    <row r="6549" customFormat="1" ht="13.2" x14ac:dyDescent="0.25"/>
    <row r="6550" customFormat="1" ht="13.2" x14ac:dyDescent="0.25"/>
    <row r="6551" customFormat="1" ht="13.2" x14ac:dyDescent="0.25"/>
    <row r="6552" customFormat="1" ht="13.2" x14ac:dyDescent="0.25"/>
    <row r="6553" customFormat="1" ht="13.2" x14ac:dyDescent="0.25"/>
    <row r="6554" customFormat="1" ht="13.2" x14ac:dyDescent="0.25"/>
    <row r="6555" customFormat="1" ht="13.2" x14ac:dyDescent="0.25"/>
    <row r="6556" customFormat="1" ht="13.2" x14ac:dyDescent="0.25"/>
    <row r="6557" customFormat="1" ht="13.2" x14ac:dyDescent="0.25"/>
    <row r="6558" customFormat="1" ht="13.2" x14ac:dyDescent="0.25"/>
    <row r="6559" customFormat="1" ht="13.2" x14ac:dyDescent="0.25"/>
    <row r="6560" customFormat="1" ht="13.2" x14ac:dyDescent="0.25"/>
    <row r="6561" customFormat="1" ht="13.2" x14ac:dyDescent="0.25"/>
    <row r="6562" customFormat="1" ht="13.2" x14ac:dyDescent="0.25"/>
    <row r="6563" customFormat="1" ht="13.2" x14ac:dyDescent="0.25"/>
    <row r="6564" customFormat="1" ht="13.2" x14ac:dyDescent="0.25"/>
    <row r="6565" customFormat="1" ht="13.2" x14ac:dyDescent="0.25"/>
    <row r="6566" customFormat="1" ht="13.2" x14ac:dyDescent="0.25"/>
    <row r="6567" customFormat="1" ht="13.2" x14ac:dyDescent="0.25"/>
    <row r="6568" customFormat="1" ht="13.2" x14ac:dyDescent="0.25"/>
    <row r="6569" customFormat="1" ht="13.2" x14ac:dyDescent="0.25"/>
    <row r="6570" customFormat="1" ht="13.2" x14ac:dyDescent="0.25"/>
    <row r="6571" customFormat="1" ht="13.2" x14ac:dyDescent="0.25"/>
    <row r="6572" customFormat="1" ht="13.2" x14ac:dyDescent="0.25"/>
    <row r="6573" customFormat="1" ht="13.2" x14ac:dyDescent="0.25"/>
    <row r="6574" customFormat="1" ht="13.2" x14ac:dyDescent="0.25"/>
    <row r="6575" customFormat="1" ht="13.2" x14ac:dyDescent="0.25"/>
    <row r="6576" customFormat="1" ht="13.2" x14ac:dyDescent="0.25"/>
    <row r="6577" customFormat="1" ht="13.2" x14ac:dyDescent="0.25"/>
    <row r="6578" customFormat="1" ht="13.2" x14ac:dyDescent="0.25"/>
    <row r="6579" customFormat="1" ht="13.2" x14ac:dyDescent="0.25"/>
    <row r="6580" customFormat="1" ht="13.2" x14ac:dyDescent="0.25"/>
    <row r="6581" customFormat="1" ht="13.2" x14ac:dyDescent="0.25"/>
    <row r="6582" customFormat="1" ht="13.2" x14ac:dyDescent="0.25"/>
    <row r="6583" customFormat="1" ht="13.2" x14ac:dyDescent="0.25"/>
    <row r="6584" customFormat="1" ht="13.2" x14ac:dyDescent="0.25"/>
    <row r="6585" customFormat="1" ht="13.2" x14ac:dyDescent="0.25"/>
    <row r="6586" customFormat="1" ht="13.2" x14ac:dyDescent="0.25"/>
    <row r="6587" customFormat="1" ht="13.2" x14ac:dyDescent="0.25"/>
    <row r="6588" customFormat="1" ht="13.2" x14ac:dyDescent="0.25"/>
    <row r="6589" customFormat="1" ht="13.2" x14ac:dyDescent="0.25"/>
    <row r="6590" customFormat="1" ht="13.2" x14ac:dyDescent="0.25"/>
    <row r="6591" customFormat="1" ht="13.2" x14ac:dyDescent="0.25"/>
    <row r="6592" customFormat="1" ht="13.2" x14ac:dyDescent="0.25"/>
    <row r="6593" customFormat="1" ht="13.2" x14ac:dyDescent="0.25"/>
    <row r="6594" customFormat="1" ht="13.2" x14ac:dyDescent="0.25"/>
    <row r="6595" customFormat="1" ht="13.2" x14ac:dyDescent="0.25"/>
    <row r="6596" customFormat="1" ht="13.2" x14ac:dyDescent="0.25"/>
    <row r="6597" customFormat="1" ht="13.2" x14ac:dyDescent="0.25"/>
    <row r="6598" customFormat="1" ht="13.2" x14ac:dyDescent="0.25"/>
    <row r="6599" customFormat="1" ht="13.2" x14ac:dyDescent="0.25"/>
    <row r="6600" customFormat="1" ht="13.2" x14ac:dyDescent="0.25"/>
    <row r="6601" customFormat="1" ht="13.2" x14ac:dyDescent="0.25"/>
    <row r="6602" customFormat="1" ht="13.2" x14ac:dyDescent="0.25"/>
    <row r="6603" customFormat="1" ht="13.2" x14ac:dyDescent="0.25"/>
    <row r="6604" customFormat="1" ht="13.2" x14ac:dyDescent="0.25"/>
    <row r="6605" customFormat="1" ht="13.2" x14ac:dyDescent="0.25"/>
    <row r="6606" customFormat="1" ht="13.2" x14ac:dyDescent="0.25"/>
    <row r="6607" customFormat="1" ht="13.2" x14ac:dyDescent="0.25"/>
    <row r="6608" customFormat="1" ht="13.2" x14ac:dyDescent="0.25"/>
    <row r="6609" customFormat="1" ht="13.2" x14ac:dyDescent="0.25"/>
    <row r="6610" customFormat="1" ht="13.2" x14ac:dyDescent="0.25"/>
    <row r="6611" customFormat="1" ht="13.2" x14ac:dyDescent="0.25"/>
    <row r="6612" customFormat="1" ht="13.2" x14ac:dyDescent="0.25"/>
    <row r="6613" customFormat="1" ht="13.2" x14ac:dyDescent="0.25"/>
    <row r="6614" customFormat="1" ht="13.2" x14ac:dyDescent="0.25"/>
    <row r="6615" customFormat="1" ht="13.2" x14ac:dyDescent="0.25"/>
    <row r="6616" customFormat="1" ht="13.2" x14ac:dyDescent="0.25"/>
    <row r="6617" customFormat="1" ht="13.2" x14ac:dyDescent="0.25"/>
    <row r="6618" customFormat="1" ht="13.2" x14ac:dyDescent="0.25"/>
    <row r="6619" customFormat="1" ht="13.2" x14ac:dyDescent="0.25"/>
    <row r="6620" customFormat="1" ht="13.2" x14ac:dyDescent="0.25"/>
    <row r="6621" customFormat="1" ht="13.2" x14ac:dyDescent="0.25"/>
    <row r="6622" customFormat="1" ht="13.2" x14ac:dyDescent="0.25"/>
    <row r="6623" customFormat="1" ht="13.2" x14ac:dyDescent="0.25"/>
    <row r="6624" customFormat="1" ht="13.2" x14ac:dyDescent="0.25"/>
    <row r="6625" customFormat="1" ht="13.2" x14ac:dyDescent="0.25"/>
    <row r="6626" customFormat="1" ht="13.2" x14ac:dyDescent="0.25"/>
    <row r="6627" customFormat="1" ht="13.2" x14ac:dyDescent="0.25"/>
    <row r="6628" customFormat="1" ht="13.2" x14ac:dyDescent="0.25"/>
    <row r="6629" customFormat="1" ht="13.2" x14ac:dyDescent="0.25"/>
    <row r="6630" customFormat="1" ht="13.2" x14ac:dyDescent="0.25"/>
    <row r="6631" customFormat="1" ht="13.2" x14ac:dyDescent="0.25"/>
    <row r="6632" customFormat="1" ht="13.2" x14ac:dyDescent="0.25"/>
    <row r="6633" customFormat="1" ht="13.2" x14ac:dyDescent="0.25"/>
    <row r="6634" customFormat="1" ht="13.2" x14ac:dyDescent="0.25"/>
    <row r="6635" customFormat="1" ht="13.2" x14ac:dyDescent="0.25"/>
    <row r="6636" customFormat="1" ht="13.2" x14ac:dyDescent="0.25"/>
    <row r="6637" customFormat="1" ht="13.2" x14ac:dyDescent="0.25"/>
    <row r="6638" customFormat="1" ht="13.2" x14ac:dyDescent="0.25"/>
    <row r="6639" customFormat="1" ht="13.2" x14ac:dyDescent="0.25"/>
    <row r="6640" customFormat="1" ht="13.2" x14ac:dyDescent="0.25"/>
    <row r="6641" customFormat="1" ht="13.2" x14ac:dyDescent="0.25"/>
    <row r="6642" customFormat="1" ht="13.2" x14ac:dyDescent="0.25"/>
    <row r="6643" customFormat="1" ht="13.2" x14ac:dyDescent="0.25"/>
    <row r="6644" customFormat="1" ht="13.2" x14ac:dyDescent="0.25"/>
    <row r="6645" customFormat="1" ht="13.2" x14ac:dyDescent="0.25"/>
    <row r="6646" customFormat="1" ht="13.2" x14ac:dyDescent="0.25"/>
    <row r="6647" customFormat="1" ht="13.2" x14ac:dyDescent="0.25"/>
    <row r="6648" customFormat="1" ht="13.2" x14ac:dyDescent="0.25"/>
    <row r="6649" customFormat="1" ht="13.2" x14ac:dyDescent="0.25"/>
    <row r="6650" customFormat="1" ht="13.2" x14ac:dyDescent="0.25"/>
    <row r="6651" customFormat="1" ht="13.2" x14ac:dyDescent="0.25"/>
    <row r="6652" customFormat="1" ht="13.2" x14ac:dyDescent="0.25"/>
    <row r="6653" customFormat="1" ht="13.2" x14ac:dyDescent="0.25"/>
    <row r="6654" customFormat="1" ht="13.2" x14ac:dyDescent="0.25"/>
    <row r="6655" customFormat="1" ht="13.2" x14ac:dyDescent="0.25"/>
    <row r="6656" customFormat="1" ht="13.2" x14ac:dyDescent="0.25"/>
    <row r="6657" customFormat="1" ht="13.2" x14ac:dyDescent="0.25"/>
    <row r="6658" customFormat="1" ht="13.2" x14ac:dyDescent="0.25"/>
    <row r="6659" customFormat="1" ht="13.2" x14ac:dyDescent="0.25"/>
    <row r="6660" customFormat="1" ht="13.2" x14ac:dyDescent="0.25"/>
    <row r="6661" customFormat="1" ht="13.2" x14ac:dyDescent="0.25"/>
    <row r="6662" customFormat="1" ht="13.2" x14ac:dyDescent="0.25"/>
    <row r="6663" customFormat="1" ht="13.2" x14ac:dyDescent="0.25"/>
    <row r="6664" customFormat="1" ht="13.2" x14ac:dyDescent="0.25"/>
    <row r="6665" customFormat="1" ht="13.2" x14ac:dyDescent="0.25"/>
    <row r="6666" customFormat="1" ht="13.2" x14ac:dyDescent="0.25"/>
    <row r="6667" customFormat="1" ht="13.2" x14ac:dyDescent="0.25"/>
    <row r="6668" customFormat="1" ht="13.2" x14ac:dyDescent="0.25"/>
    <row r="6669" customFormat="1" ht="13.2" x14ac:dyDescent="0.25"/>
    <row r="6670" customFormat="1" ht="13.2" x14ac:dyDescent="0.25"/>
    <row r="6671" customFormat="1" ht="13.2" x14ac:dyDescent="0.25"/>
    <row r="6672" customFormat="1" ht="13.2" x14ac:dyDescent="0.25"/>
    <row r="6673" customFormat="1" ht="13.2" x14ac:dyDescent="0.25"/>
    <row r="6674" customFormat="1" ht="13.2" x14ac:dyDescent="0.25"/>
    <row r="6675" customFormat="1" ht="13.2" x14ac:dyDescent="0.25"/>
    <row r="6676" customFormat="1" ht="13.2" x14ac:dyDescent="0.25"/>
    <row r="6677" customFormat="1" ht="13.2" x14ac:dyDescent="0.25"/>
    <row r="6678" customFormat="1" ht="13.2" x14ac:dyDescent="0.25"/>
    <row r="6679" customFormat="1" ht="13.2" x14ac:dyDescent="0.25"/>
    <row r="6680" customFormat="1" ht="13.2" x14ac:dyDescent="0.25"/>
    <row r="6681" customFormat="1" ht="13.2" x14ac:dyDescent="0.25"/>
    <row r="6682" customFormat="1" ht="13.2" x14ac:dyDescent="0.25"/>
    <row r="6683" customFormat="1" ht="13.2" x14ac:dyDescent="0.25"/>
    <row r="6684" customFormat="1" ht="13.2" x14ac:dyDescent="0.25"/>
    <row r="6685" customFormat="1" ht="13.2" x14ac:dyDescent="0.25"/>
    <row r="6686" customFormat="1" ht="13.2" x14ac:dyDescent="0.25"/>
    <row r="6687" customFormat="1" ht="13.2" x14ac:dyDescent="0.25"/>
    <row r="6688" customFormat="1" ht="13.2" x14ac:dyDescent="0.25"/>
    <row r="6689" customFormat="1" ht="13.2" x14ac:dyDescent="0.25"/>
    <row r="6690" customFormat="1" ht="13.2" x14ac:dyDescent="0.25"/>
    <row r="6691" customFormat="1" ht="13.2" x14ac:dyDescent="0.25"/>
    <row r="6692" customFormat="1" ht="13.2" x14ac:dyDescent="0.25"/>
    <row r="6693" customFormat="1" ht="13.2" x14ac:dyDescent="0.25"/>
    <row r="6694" customFormat="1" ht="13.2" x14ac:dyDescent="0.25"/>
    <row r="6695" customFormat="1" ht="13.2" x14ac:dyDescent="0.25"/>
    <row r="6696" customFormat="1" ht="13.2" x14ac:dyDescent="0.25"/>
    <row r="6697" customFormat="1" ht="13.2" x14ac:dyDescent="0.25"/>
    <row r="6698" customFormat="1" ht="13.2" x14ac:dyDescent="0.25"/>
    <row r="6699" customFormat="1" ht="13.2" x14ac:dyDescent="0.25"/>
    <row r="6700" customFormat="1" ht="13.2" x14ac:dyDescent="0.25"/>
    <row r="6701" customFormat="1" ht="13.2" x14ac:dyDescent="0.25"/>
    <row r="6702" customFormat="1" ht="13.2" x14ac:dyDescent="0.25"/>
    <row r="6703" customFormat="1" ht="13.2" x14ac:dyDescent="0.25"/>
    <row r="6704" customFormat="1" ht="13.2" x14ac:dyDescent="0.25"/>
    <row r="6705" customFormat="1" ht="13.2" x14ac:dyDescent="0.25"/>
    <row r="6706" customFormat="1" ht="13.2" x14ac:dyDescent="0.25"/>
    <row r="6707" customFormat="1" ht="13.2" x14ac:dyDescent="0.25"/>
    <row r="6708" customFormat="1" ht="13.2" x14ac:dyDescent="0.25"/>
    <row r="6709" customFormat="1" ht="13.2" x14ac:dyDescent="0.25"/>
    <row r="6710" customFormat="1" ht="13.2" x14ac:dyDescent="0.25"/>
    <row r="6711" customFormat="1" ht="13.2" x14ac:dyDescent="0.25"/>
    <row r="6712" customFormat="1" ht="13.2" x14ac:dyDescent="0.25"/>
    <row r="6713" customFormat="1" ht="13.2" x14ac:dyDescent="0.25"/>
    <row r="6714" customFormat="1" ht="13.2" x14ac:dyDescent="0.25"/>
    <row r="6715" customFormat="1" ht="13.2" x14ac:dyDescent="0.25"/>
    <row r="6716" customFormat="1" ht="13.2" x14ac:dyDescent="0.25"/>
    <row r="6717" customFormat="1" ht="13.2" x14ac:dyDescent="0.25"/>
    <row r="6718" customFormat="1" ht="13.2" x14ac:dyDescent="0.25"/>
    <row r="6719" customFormat="1" ht="13.2" x14ac:dyDescent="0.25"/>
    <row r="6720" customFormat="1" ht="13.2" x14ac:dyDescent="0.25"/>
    <row r="6721" customFormat="1" ht="13.2" x14ac:dyDescent="0.25"/>
    <row r="6722" customFormat="1" ht="13.2" x14ac:dyDescent="0.25"/>
    <row r="6723" customFormat="1" ht="13.2" x14ac:dyDescent="0.25"/>
    <row r="6724" customFormat="1" ht="13.2" x14ac:dyDescent="0.25"/>
    <row r="6725" customFormat="1" ht="13.2" x14ac:dyDescent="0.25"/>
    <row r="6726" customFormat="1" ht="13.2" x14ac:dyDescent="0.25"/>
    <row r="6727" customFormat="1" ht="13.2" x14ac:dyDescent="0.25"/>
    <row r="6728" customFormat="1" ht="13.2" x14ac:dyDescent="0.25"/>
    <row r="6729" customFormat="1" ht="13.2" x14ac:dyDescent="0.25"/>
    <row r="6730" customFormat="1" ht="13.2" x14ac:dyDescent="0.25"/>
    <row r="6731" customFormat="1" ht="13.2" x14ac:dyDescent="0.25"/>
    <row r="6732" customFormat="1" ht="13.2" x14ac:dyDescent="0.25"/>
    <row r="6733" customFormat="1" ht="13.2" x14ac:dyDescent="0.25"/>
    <row r="6734" customFormat="1" ht="13.2" x14ac:dyDescent="0.25"/>
    <row r="6735" customFormat="1" ht="13.2" x14ac:dyDescent="0.25"/>
    <row r="6736" customFormat="1" ht="13.2" x14ac:dyDescent="0.25"/>
    <row r="6737" customFormat="1" ht="13.2" x14ac:dyDescent="0.25"/>
    <row r="6738" customFormat="1" ht="13.2" x14ac:dyDescent="0.25"/>
    <row r="6739" customFormat="1" ht="13.2" x14ac:dyDescent="0.25"/>
    <row r="6740" customFormat="1" ht="13.2" x14ac:dyDescent="0.25"/>
    <row r="6741" customFormat="1" ht="13.2" x14ac:dyDescent="0.25"/>
    <row r="6742" customFormat="1" ht="13.2" x14ac:dyDescent="0.25"/>
    <row r="6743" customFormat="1" ht="13.2" x14ac:dyDescent="0.25"/>
    <row r="6744" customFormat="1" ht="13.2" x14ac:dyDescent="0.25"/>
    <row r="6745" customFormat="1" ht="13.2" x14ac:dyDescent="0.25"/>
    <row r="6746" customFormat="1" ht="13.2" x14ac:dyDescent="0.25"/>
    <row r="6747" customFormat="1" ht="13.2" x14ac:dyDescent="0.25"/>
    <row r="6748" customFormat="1" ht="13.2" x14ac:dyDescent="0.25"/>
    <row r="6749" customFormat="1" ht="13.2" x14ac:dyDescent="0.25"/>
    <row r="6750" customFormat="1" ht="13.2" x14ac:dyDescent="0.25"/>
    <row r="6751" customFormat="1" ht="13.2" x14ac:dyDescent="0.25"/>
    <row r="6752" customFormat="1" ht="13.2" x14ac:dyDescent="0.25"/>
    <row r="6753" customFormat="1" ht="13.2" x14ac:dyDescent="0.25"/>
    <row r="6754" customFormat="1" ht="13.2" x14ac:dyDescent="0.25"/>
    <row r="6755" customFormat="1" ht="13.2" x14ac:dyDescent="0.25"/>
    <row r="6756" customFormat="1" ht="13.2" x14ac:dyDescent="0.25"/>
    <row r="6757" customFormat="1" ht="13.2" x14ac:dyDescent="0.25"/>
    <row r="6758" customFormat="1" ht="13.2" x14ac:dyDescent="0.25"/>
    <row r="6759" customFormat="1" ht="13.2" x14ac:dyDescent="0.25"/>
    <row r="6760" customFormat="1" ht="13.2" x14ac:dyDescent="0.25"/>
    <row r="6761" customFormat="1" ht="13.2" x14ac:dyDescent="0.25"/>
    <row r="6762" customFormat="1" ht="13.2" x14ac:dyDescent="0.25"/>
    <row r="6763" customFormat="1" ht="13.2" x14ac:dyDescent="0.25"/>
    <row r="6764" customFormat="1" ht="13.2" x14ac:dyDescent="0.25"/>
    <row r="6765" customFormat="1" ht="13.2" x14ac:dyDescent="0.25"/>
    <row r="6766" customFormat="1" ht="13.2" x14ac:dyDescent="0.25"/>
    <row r="6767" customFormat="1" ht="13.2" x14ac:dyDescent="0.25"/>
    <row r="6768" customFormat="1" ht="13.2" x14ac:dyDescent="0.25"/>
    <row r="6769" customFormat="1" ht="13.2" x14ac:dyDescent="0.25"/>
    <row r="6770" customFormat="1" ht="13.2" x14ac:dyDescent="0.25"/>
    <row r="6771" customFormat="1" ht="13.2" x14ac:dyDescent="0.25"/>
    <row r="6772" customFormat="1" ht="13.2" x14ac:dyDescent="0.25"/>
    <row r="6773" customFormat="1" ht="13.2" x14ac:dyDescent="0.25"/>
    <row r="6774" customFormat="1" ht="13.2" x14ac:dyDescent="0.25"/>
    <row r="6775" customFormat="1" ht="13.2" x14ac:dyDescent="0.25"/>
    <row r="6776" customFormat="1" ht="13.2" x14ac:dyDescent="0.25"/>
    <row r="6777" customFormat="1" ht="13.2" x14ac:dyDescent="0.25"/>
    <row r="6778" customFormat="1" ht="13.2" x14ac:dyDescent="0.25"/>
    <row r="6779" customFormat="1" ht="13.2" x14ac:dyDescent="0.25"/>
    <row r="6780" customFormat="1" ht="13.2" x14ac:dyDescent="0.25"/>
    <row r="6781" customFormat="1" ht="13.2" x14ac:dyDescent="0.25"/>
    <row r="6782" customFormat="1" ht="13.2" x14ac:dyDescent="0.25"/>
    <row r="6783" customFormat="1" ht="13.2" x14ac:dyDescent="0.25"/>
    <row r="6784" customFormat="1" ht="13.2" x14ac:dyDescent="0.25"/>
    <row r="6785" customFormat="1" ht="13.2" x14ac:dyDescent="0.25"/>
    <row r="6786" customFormat="1" ht="13.2" x14ac:dyDescent="0.25"/>
    <row r="6787" customFormat="1" ht="13.2" x14ac:dyDescent="0.25"/>
    <row r="6788" customFormat="1" ht="13.2" x14ac:dyDescent="0.25"/>
    <row r="6789" customFormat="1" ht="13.2" x14ac:dyDescent="0.25"/>
    <row r="6790" customFormat="1" ht="13.2" x14ac:dyDescent="0.25"/>
    <row r="6791" customFormat="1" ht="13.2" x14ac:dyDescent="0.25"/>
    <row r="6792" customFormat="1" ht="13.2" x14ac:dyDescent="0.25"/>
    <row r="6793" customFormat="1" ht="13.2" x14ac:dyDescent="0.25"/>
    <row r="6794" customFormat="1" ht="13.2" x14ac:dyDescent="0.25"/>
    <row r="6795" customFormat="1" ht="13.2" x14ac:dyDescent="0.25"/>
    <row r="6796" customFormat="1" ht="13.2" x14ac:dyDescent="0.25"/>
    <row r="6797" customFormat="1" ht="13.2" x14ac:dyDescent="0.25"/>
    <row r="6798" customFormat="1" ht="13.2" x14ac:dyDescent="0.25"/>
    <row r="6799" customFormat="1" ht="13.2" x14ac:dyDescent="0.25"/>
    <row r="6800" customFormat="1" ht="13.2" x14ac:dyDescent="0.25"/>
    <row r="6801" customFormat="1" ht="13.2" x14ac:dyDescent="0.25"/>
    <row r="6802" customFormat="1" ht="13.2" x14ac:dyDescent="0.25"/>
    <row r="6803" customFormat="1" ht="13.2" x14ac:dyDescent="0.25"/>
    <row r="6804" customFormat="1" ht="13.2" x14ac:dyDescent="0.25"/>
    <row r="6805" customFormat="1" ht="13.2" x14ac:dyDescent="0.25"/>
    <row r="6806" customFormat="1" ht="13.2" x14ac:dyDescent="0.25"/>
    <row r="6807" customFormat="1" ht="13.2" x14ac:dyDescent="0.25"/>
    <row r="6808" customFormat="1" ht="13.2" x14ac:dyDescent="0.25"/>
    <row r="6809" customFormat="1" ht="13.2" x14ac:dyDescent="0.25"/>
    <row r="6810" customFormat="1" ht="13.2" x14ac:dyDescent="0.25"/>
    <row r="6811" customFormat="1" ht="13.2" x14ac:dyDescent="0.25"/>
    <row r="6812" customFormat="1" ht="13.2" x14ac:dyDescent="0.25"/>
    <row r="6813" customFormat="1" ht="13.2" x14ac:dyDescent="0.25"/>
    <row r="6814" customFormat="1" ht="13.2" x14ac:dyDescent="0.25"/>
    <row r="6815" customFormat="1" ht="13.2" x14ac:dyDescent="0.25"/>
    <row r="6816" customFormat="1" ht="13.2" x14ac:dyDescent="0.25"/>
    <row r="6817" customFormat="1" ht="13.2" x14ac:dyDescent="0.25"/>
    <row r="6818" customFormat="1" ht="13.2" x14ac:dyDescent="0.25"/>
    <row r="6819" customFormat="1" ht="13.2" x14ac:dyDescent="0.25"/>
    <row r="6820" customFormat="1" ht="13.2" x14ac:dyDescent="0.25"/>
    <row r="6821" customFormat="1" ht="13.2" x14ac:dyDescent="0.25"/>
    <row r="6822" customFormat="1" ht="13.2" x14ac:dyDescent="0.25"/>
    <row r="6823" customFormat="1" ht="13.2" x14ac:dyDescent="0.25"/>
    <row r="6824" customFormat="1" ht="13.2" x14ac:dyDescent="0.25"/>
    <row r="6825" customFormat="1" ht="13.2" x14ac:dyDescent="0.25"/>
    <row r="6826" customFormat="1" ht="13.2" x14ac:dyDescent="0.25"/>
    <row r="6827" customFormat="1" ht="13.2" x14ac:dyDescent="0.25"/>
    <row r="6828" customFormat="1" ht="13.2" x14ac:dyDescent="0.25"/>
    <row r="6829" customFormat="1" ht="13.2" x14ac:dyDescent="0.25"/>
    <row r="6830" customFormat="1" ht="13.2" x14ac:dyDescent="0.25"/>
    <row r="6831" customFormat="1" ht="13.2" x14ac:dyDescent="0.25"/>
    <row r="6832" customFormat="1" ht="13.2" x14ac:dyDescent="0.25"/>
    <row r="6833" customFormat="1" ht="13.2" x14ac:dyDescent="0.25"/>
    <row r="6834" customFormat="1" ht="13.2" x14ac:dyDescent="0.25"/>
    <row r="6835" customFormat="1" ht="13.2" x14ac:dyDescent="0.25"/>
    <row r="6836" customFormat="1" ht="13.2" x14ac:dyDescent="0.25"/>
    <row r="6837" customFormat="1" ht="13.2" x14ac:dyDescent="0.25"/>
    <row r="6838" customFormat="1" ht="13.2" x14ac:dyDescent="0.25"/>
    <row r="6839" customFormat="1" ht="13.2" x14ac:dyDescent="0.25"/>
    <row r="6840" customFormat="1" ht="13.2" x14ac:dyDescent="0.25"/>
    <row r="6841" customFormat="1" ht="13.2" x14ac:dyDescent="0.25"/>
    <row r="6842" customFormat="1" ht="13.2" x14ac:dyDescent="0.25"/>
    <row r="6843" customFormat="1" ht="13.2" x14ac:dyDescent="0.25"/>
    <row r="6844" customFormat="1" ht="13.2" x14ac:dyDescent="0.25"/>
    <row r="6845" customFormat="1" ht="13.2" x14ac:dyDescent="0.25"/>
    <row r="6846" customFormat="1" ht="13.2" x14ac:dyDescent="0.25"/>
    <row r="6847" customFormat="1" ht="13.2" x14ac:dyDescent="0.25"/>
    <row r="6848" customFormat="1" ht="13.2" x14ac:dyDescent="0.25"/>
    <row r="6849" customFormat="1" ht="13.2" x14ac:dyDescent="0.25"/>
    <row r="6850" customFormat="1" ht="13.2" x14ac:dyDescent="0.25"/>
    <row r="6851" customFormat="1" ht="13.2" x14ac:dyDescent="0.25"/>
    <row r="6852" customFormat="1" ht="13.2" x14ac:dyDescent="0.25"/>
    <row r="6853" customFormat="1" ht="13.2" x14ac:dyDescent="0.25"/>
    <row r="6854" customFormat="1" ht="13.2" x14ac:dyDescent="0.25"/>
    <row r="6855" customFormat="1" ht="13.2" x14ac:dyDescent="0.25"/>
    <row r="6856" customFormat="1" ht="13.2" x14ac:dyDescent="0.25"/>
    <row r="6857" customFormat="1" ht="13.2" x14ac:dyDescent="0.25"/>
    <row r="6858" customFormat="1" ht="13.2" x14ac:dyDescent="0.25"/>
    <row r="6859" customFormat="1" ht="13.2" x14ac:dyDescent="0.25"/>
    <row r="6860" customFormat="1" ht="13.2" x14ac:dyDescent="0.25"/>
    <row r="6861" customFormat="1" ht="13.2" x14ac:dyDescent="0.25"/>
    <row r="6862" customFormat="1" ht="13.2" x14ac:dyDescent="0.25"/>
    <row r="6863" customFormat="1" ht="13.2" x14ac:dyDescent="0.25"/>
    <row r="6864" customFormat="1" ht="13.2" x14ac:dyDescent="0.25"/>
    <row r="6865" customFormat="1" ht="13.2" x14ac:dyDescent="0.25"/>
    <row r="6866" customFormat="1" ht="13.2" x14ac:dyDescent="0.25"/>
    <row r="6867" customFormat="1" ht="13.2" x14ac:dyDescent="0.25"/>
    <row r="6868" customFormat="1" ht="13.2" x14ac:dyDescent="0.25"/>
    <row r="6869" customFormat="1" ht="13.2" x14ac:dyDescent="0.25"/>
    <row r="6870" customFormat="1" ht="13.2" x14ac:dyDescent="0.25"/>
    <row r="6871" customFormat="1" ht="13.2" x14ac:dyDescent="0.25"/>
    <row r="6872" customFormat="1" ht="13.2" x14ac:dyDescent="0.25"/>
    <row r="6873" customFormat="1" ht="13.2" x14ac:dyDescent="0.25"/>
    <row r="6874" customFormat="1" ht="13.2" x14ac:dyDescent="0.25"/>
    <row r="6875" customFormat="1" ht="13.2" x14ac:dyDescent="0.25"/>
    <row r="6876" customFormat="1" ht="13.2" x14ac:dyDescent="0.25"/>
    <row r="6877" customFormat="1" ht="13.2" x14ac:dyDescent="0.25"/>
    <row r="6878" customFormat="1" ht="13.2" x14ac:dyDescent="0.25"/>
    <row r="6879" customFormat="1" ht="13.2" x14ac:dyDescent="0.25"/>
    <row r="6880" customFormat="1" ht="13.2" x14ac:dyDescent="0.25"/>
    <row r="6881" customFormat="1" ht="13.2" x14ac:dyDescent="0.25"/>
    <row r="6882" customFormat="1" ht="13.2" x14ac:dyDescent="0.25"/>
    <row r="6883" customFormat="1" ht="13.2" x14ac:dyDescent="0.25"/>
    <row r="6884" customFormat="1" ht="13.2" x14ac:dyDescent="0.25"/>
    <row r="6885" customFormat="1" ht="13.2" x14ac:dyDescent="0.25"/>
    <row r="6886" customFormat="1" ht="13.2" x14ac:dyDescent="0.25"/>
    <row r="6887" customFormat="1" ht="13.2" x14ac:dyDescent="0.25"/>
    <row r="6888" customFormat="1" ht="13.2" x14ac:dyDescent="0.25"/>
    <row r="6889" customFormat="1" ht="13.2" x14ac:dyDescent="0.25"/>
    <row r="6890" customFormat="1" ht="13.2" x14ac:dyDescent="0.25"/>
    <row r="6891" customFormat="1" ht="13.2" x14ac:dyDescent="0.25"/>
    <row r="6892" customFormat="1" ht="13.2" x14ac:dyDescent="0.25"/>
    <row r="6893" customFormat="1" ht="13.2" x14ac:dyDescent="0.25"/>
    <row r="6894" customFormat="1" ht="13.2" x14ac:dyDescent="0.25"/>
    <row r="6895" customFormat="1" ht="13.2" x14ac:dyDescent="0.25"/>
    <row r="6896" customFormat="1" ht="13.2" x14ac:dyDescent="0.25"/>
    <row r="6897" customFormat="1" ht="13.2" x14ac:dyDescent="0.25"/>
    <row r="6898" customFormat="1" ht="13.2" x14ac:dyDescent="0.25"/>
    <row r="6899" customFormat="1" ht="13.2" x14ac:dyDescent="0.25"/>
    <row r="6900" customFormat="1" ht="13.2" x14ac:dyDescent="0.25"/>
    <row r="6901" customFormat="1" ht="13.2" x14ac:dyDescent="0.25"/>
    <row r="6902" customFormat="1" ht="13.2" x14ac:dyDescent="0.25"/>
    <row r="6903" customFormat="1" ht="13.2" x14ac:dyDescent="0.25"/>
    <row r="6904" customFormat="1" ht="13.2" x14ac:dyDescent="0.25"/>
    <row r="6905" customFormat="1" ht="13.2" x14ac:dyDescent="0.25"/>
    <row r="6906" customFormat="1" ht="13.2" x14ac:dyDescent="0.25"/>
    <row r="6907" customFormat="1" ht="13.2" x14ac:dyDescent="0.25"/>
    <row r="6908" customFormat="1" ht="13.2" x14ac:dyDescent="0.25"/>
    <row r="6909" customFormat="1" ht="13.2" x14ac:dyDescent="0.25"/>
    <row r="6910" customFormat="1" ht="13.2" x14ac:dyDescent="0.25"/>
    <row r="6911" customFormat="1" ht="13.2" x14ac:dyDescent="0.25"/>
    <row r="6912" customFormat="1" ht="13.2" x14ac:dyDescent="0.25"/>
    <row r="6913" customFormat="1" ht="13.2" x14ac:dyDescent="0.25"/>
    <row r="6914" customFormat="1" ht="13.2" x14ac:dyDescent="0.25"/>
    <row r="6915" customFormat="1" ht="13.2" x14ac:dyDescent="0.25"/>
    <row r="6916" customFormat="1" ht="13.2" x14ac:dyDescent="0.25"/>
    <row r="6917" customFormat="1" ht="13.2" x14ac:dyDescent="0.25"/>
    <row r="6918" customFormat="1" ht="13.2" x14ac:dyDescent="0.25"/>
    <row r="6919" customFormat="1" ht="13.2" x14ac:dyDescent="0.25"/>
    <row r="6920" customFormat="1" ht="13.2" x14ac:dyDescent="0.25"/>
    <row r="6921" customFormat="1" ht="13.2" x14ac:dyDescent="0.25"/>
    <row r="6922" customFormat="1" ht="13.2" x14ac:dyDescent="0.25"/>
    <row r="6923" customFormat="1" ht="13.2" x14ac:dyDescent="0.25"/>
    <row r="6924" customFormat="1" ht="13.2" x14ac:dyDescent="0.25"/>
    <row r="6925" customFormat="1" ht="13.2" x14ac:dyDescent="0.25"/>
    <row r="6926" customFormat="1" ht="13.2" x14ac:dyDescent="0.25"/>
    <row r="6927" customFormat="1" ht="13.2" x14ac:dyDescent="0.25"/>
    <row r="6928" customFormat="1" ht="13.2" x14ac:dyDescent="0.25"/>
    <row r="6929" customFormat="1" ht="13.2" x14ac:dyDescent="0.25"/>
    <row r="6930" customFormat="1" ht="13.2" x14ac:dyDescent="0.25"/>
    <row r="6931" customFormat="1" ht="13.2" x14ac:dyDescent="0.25"/>
    <row r="6932" customFormat="1" ht="13.2" x14ac:dyDescent="0.25"/>
    <row r="6933" customFormat="1" ht="13.2" x14ac:dyDescent="0.25"/>
    <row r="6934" customFormat="1" ht="13.2" x14ac:dyDescent="0.25"/>
    <row r="6935" customFormat="1" ht="13.2" x14ac:dyDescent="0.25"/>
    <row r="6936" customFormat="1" ht="13.2" x14ac:dyDescent="0.25"/>
    <row r="6937" customFormat="1" ht="13.2" x14ac:dyDescent="0.25"/>
    <row r="6938" customFormat="1" ht="13.2" x14ac:dyDescent="0.25"/>
    <row r="6939" customFormat="1" ht="13.2" x14ac:dyDescent="0.25"/>
    <row r="6940" customFormat="1" ht="13.2" x14ac:dyDescent="0.25"/>
    <row r="6941" customFormat="1" ht="13.2" x14ac:dyDescent="0.25"/>
    <row r="6942" customFormat="1" ht="13.2" x14ac:dyDescent="0.25"/>
    <row r="6943" customFormat="1" ht="13.2" x14ac:dyDescent="0.25"/>
    <row r="6944" customFormat="1" ht="13.2" x14ac:dyDescent="0.25"/>
    <row r="6945" customFormat="1" ht="13.2" x14ac:dyDescent="0.25"/>
    <row r="6946" customFormat="1" ht="13.2" x14ac:dyDescent="0.25"/>
    <row r="6947" customFormat="1" ht="13.2" x14ac:dyDescent="0.25"/>
    <row r="6948" customFormat="1" ht="13.2" x14ac:dyDescent="0.25"/>
    <row r="6949" customFormat="1" ht="13.2" x14ac:dyDescent="0.25"/>
    <row r="6950" customFormat="1" ht="13.2" x14ac:dyDescent="0.25"/>
    <row r="6951" customFormat="1" ht="13.2" x14ac:dyDescent="0.25"/>
    <row r="6952" customFormat="1" ht="13.2" x14ac:dyDescent="0.25"/>
    <row r="6953" customFormat="1" ht="13.2" x14ac:dyDescent="0.25"/>
    <row r="6954" customFormat="1" ht="13.2" x14ac:dyDescent="0.25"/>
    <row r="6955" customFormat="1" ht="13.2" x14ac:dyDescent="0.25"/>
    <row r="6956" customFormat="1" ht="13.2" x14ac:dyDescent="0.25"/>
    <row r="6957" customFormat="1" ht="13.2" x14ac:dyDescent="0.25"/>
    <row r="6958" customFormat="1" ht="13.2" x14ac:dyDescent="0.25"/>
    <row r="6959" customFormat="1" ht="13.2" x14ac:dyDescent="0.25"/>
    <row r="6960" customFormat="1" ht="13.2" x14ac:dyDescent="0.25"/>
    <row r="6961" customFormat="1" ht="13.2" x14ac:dyDescent="0.25"/>
    <row r="6962" customFormat="1" ht="13.2" x14ac:dyDescent="0.25"/>
    <row r="6963" customFormat="1" ht="13.2" x14ac:dyDescent="0.25"/>
    <row r="6964" customFormat="1" ht="13.2" x14ac:dyDescent="0.25"/>
    <row r="6965" customFormat="1" ht="13.2" x14ac:dyDescent="0.25"/>
    <row r="6966" customFormat="1" ht="13.2" x14ac:dyDescent="0.25"/>
    <row r="6967" customFormat="1" ht="13.2" x14ac:dyDescent="0.25"/>
    <row r="6968" customFormat="1" ht="13.2" x14ac:dyDescent="0.25"/>
    <row r="6969" customFormat="1" ht="13.2" x14ac:dyDescent="0.25"/>
    <row r="6970" customFormat="1" ht="13.2" x14ac:dyDescent="0.25"/>
    <row r="6971" customFormat="1" ht="13.2" x14ac:dyDescent="0.25"/>
    <row r="6972" customFormat="1" ht="13.2" x14ac:dyDescent="0.25"/>
    <row r="6973" customFormat="1" ht="13.2" x14ac:dyDescent="0.25"/>
    <row r="6974" customFormat="1" ht="13.2" x14ac:dyDescent="0.25"/>
    <row r="6975" customFormat="1" ht="13.2" x14ac:dyDescent="0.25"/>
    <row r="6976" customFormat="1" ht="13.2" x14ac:dyDescent="0.25"/>
    <row r="6977" customFormat="1" ht="13.2" x14ac:dyDescent="0.25"/>
    <row r="6978" customFormat="1" ht="13.2" x14ac:dyDescent="0.25"/>
    <row r="6979" customFormat="1" ht="13.2" x14ac:dyDescent="0.25"/>
    <row r="6980" customFormat="1" ht="13.2" x14ac:dyDescent="0.25"/>
    <row r="6981" customFormat="1" ht="13.2" x14ac:dyDescent="0.25"/>
    <row r="6982" customFormat="1" ht="13.2" x14ac:dyDescent="0.25"/>
    <row r="6983" customFormat="1" ht="13.2" x14ac:dyDescent="0.25"/>
    <row r="6984" customFormat="1" ht="13.2" x14ac:dyDescent="0.25"/>
    <row r="6985" customFormat="1" ht="13.2" x14ac:dyDescent="0.25"/>
    <row r="6986" customFormat="1" ht="13.2" x14ac:dyDescent="0.25"/>
    <row r="6987" customFormat="1" ht="13.2" x14ac:dyDescent="0.25"/>
    <row r="6988" customFormat="1" ht="13.2" x14ac:dyDescent="0.25"/>
    <row r="6989" customFormat="1" ht="13.2" x14ac:dyDescent="0.25"/>
    <row r="6990" customFormat="1" ht="13.2" x14ac:dyDescent="0.25"/>
    <row r="6991" customFormat="1" ht="13.2" x14ac:dyDescent="0.25"/>
    <row r="6992" customFormat="1" ht="13.2" x14ac:dyDescent="0.25"/>
    <row r="6993" customFormat="1" ht="13.2" x14ac:dyDescent="0.25"/>
    <row r="6994" customFormat="1" ht="13.2" x14ac:dyDescent="0.25"/>
    <row r="6995" customFormat="1" ht="13.2" x14ac:dyDescent="0.25"/>
    <row r="6996" customFormat="1" ht="13.2" x14ac:dyDescent="0.25"/>
    <row r="6997" customFormat="1" ht="13.2" x14ac:dyDescent="0.25"/>
    <row r="6998" customFormat="1" ht="13.2" x14ac:dyDescent="0.25"/>
    <row r="6999" customFormat="1" ht="13.2" x14ac:dyDescent="0.25"/>
    <row r="7000" customFormat="1" ht="13.2" x14ac:dyDescent="0.25"/>
    <row r="7001" customFormat="1" ht="13.2" x14ac:dyDescent="0.25"/>
    <row r="7002" customFormat="1" ht="13.2" x14ac:dyDescent="0.25"/>
    <row r="7003" customFormat="1" ht="13.2" x14ac:dyDescent="0.25"/>
    <row r="7004" customFormat="1" ht="13.2" x14ac:dyDescent="0.25"/>
    <row r="7005" customFormat="1" ht="13.2" x14ac:dyDescent="0.25"/>
    <row r="7006" customFormat="1" ht="13.2" x14ac:dyDescent="0.25"/>
    <row r="7007" customFormat="1" ht="13.2" x14ac:dyDescent="0.25"/>
    <row r="7008" customFormat="1" ht="13.2" x14ac:dyDescent="0.25"/>
    <row r="7009" customFormat="1" ht="13.2" x14ac:dyDescent="0.25"/>
    <row r="7010" customFormat="1" ht="13.2" x14ac:dyDescent="0.25"/>
    <row r="7011" customFormat="1" ht="13.2" x14ac:dyDescent="0.25"/>
    <row r="7012" customFormat="1" ht="13.2" x14ac:dyDescent="0.25"/>
    <row r="7013" customFormat="1" ht="13.2" x14ac:dyDescent="0.25"/>
    <row r="7014" customFormat="1" ht="13.2" x14ac:dyDescent="0.25"/>
    <row r="7015" customFormat="1" ht="13.2" x14ac:dyDescent="0.25"/>
    <row r="7016" customFormat="1" ht="13.2" x14ac:dyDescent="0.25"/>
    <row r="7017" customFormat="1" ht="13.2" x14ac:dyDescent="0.25"/>
    <row r="7018" customFormat="1" ht="13.2" x14ac:dyDescent="0.25"/>
    <row r="7019" customFormat="1" ht="13.2" x14ac:dyDescent="0.25"/>
    <row r="7020" customFormat="1" ht="13.2" x14ac:dyDescent="0.25"/>
    <row r="7021" customFormat="1" ht="13.2" x14ac:dyDescent="0.25"/>
    <row r="7022" customFormat="1" ht="13.2" x14ac:dyDescent="0.25"/>
    <row r="7023" customFormat="1" ht="13.2" x14ac:dyDescent="0.25"/>
    <row r="7024" customFormat="1" ht="13.2" x14ac:dyDescent="0.25"/>
    <row r="7025" customFormat="1" ht="13.2" x14ac:dyDescent="0.25"/>
    <row r="7026" customFormat="1" ht="13.2" x14ac:dyDescent="0.25"/>
    <row r="7027" customFormat="1" ht="13.2" x14ac:dyDescent="0.25"/>
    <row r="7028" customFormat="1" ht="13.2" x14ac:dyDescent="0.25"/>
    <row r="7029" customFormat="1" ht="13.2" x14ac:dyDescent="0.25"/>
    <row r="7030" customFormat="1" ht="13.2" x14ac:dyDescent="0.25"/>
    <row r="7031" customFormat="1" ht="13.2" x14ac:dyDescent="0.25"/>
    <row r="7032" customFormat="1" ht="13.2" x14ac:dyDescent="0.25"/>
    <row r="7033" customFormat="1" ht="13.2" x14ac:dyDescent="0.25"/>
    <row r="7034" customFormat="1" ht="13.2" x14ac:dyDescent="0.25"/>
    <row r="7035" customFormat="1" ht="13.2" x14ac:dyDescent="0.25"/>
    <row r="7036" customFormat="1" ht="13.2" x14ac:dyDescent="0.25"/>
    <row r="7037" customFormat="1" ht="13.2" x14ac:dyDescent="0.25"/>
    <row r="7038" customFormat="1" ht="13.2" x14ac:dyDescent="0.25"/>
    <row r="7039" customFormat="1" ht="13.2" x14ac:dyDescent="0.25"/>
    <row r="7040" customFormat="1" ht="13.2" x14ac:dyDescent="0.25"/>
    <row r="7041" customFormat="1" ht="13.2" x14ac:dyDescent="0.25"/>
    <row r="7042" customFormat="1" ht="13.2" x14ac:dyDescent="0.25"/>
    <row r="7043" customFormat="1" ht="13.2" x14ac:dyDescent="0.25"/>
    <row r="7044" customFormat="1" ht="13.2" x14ac:dyDescent="0.25"/>
    <row r="7045" customFormat="1" ht="13.2" x14ac:dyDescent="0.25"/>
    <row r="7046" customFormat="1" ht="13.2" x14ac:dyDescent="0.25"/>
    <row r="7047" customFormat="1" ht="13.2" x14ac:dyDescent="0.25"/>
    <row r="7048" customFormat="1" ht="13.2" x14ac:dyDescent="0.25"/>
    <row r="7049" customFormat="1" ht="13.2" x14ac:dyDescent="0.25"/>
    <row r="7050" customFormat="1" ht="13.2" x14ac:dyDescent="0.25"/>
    <row r="7051" customFormat="1" ht="13.2" x14ac:dyDescent="0.25"/>
    <row r="7052" customFormat="1" ht="13.2" x14ac:dyDescent="0.25"/>
    <row r="7053" customFormat="1" ht="13.2" x14ac:dyDescent="0.25"/>
    <row r="7054" customFormat="1" ht="13.2" x14ac:dyDescent="0.25"/>
    <row r="7055" customFormat="1" ht="13.2" x14ac:dyDescent="0.25"/>
    <row r="7056" customFormat="1" ht="13.2" x14ac:dyDescent="0.25"/>
    <row r="7057" customFormat="1" ht="13.2" x14ac:dyDescent="0.25"/>
    <row r="7058" customFormat="1" ht="13.2" x14ac:dyDescent="0.25"/>
    <row r="7059" customFormat="1" ht="13.2" x14ac:dyDescent="0.25"/>
    <row r="7060" customFormat="1" ht="13.2" x14ac:dyDescent="0.25"/>
    <row r="7061" customFormat="1" ht="13.2" x14ac:dyDescent="0.25"/>
    <row r="7062" customFormat="1" ht="13.2" x14ac:dyDescent="0.25"/>
    <row r="7063" customFormat="1" ht="13.2" x14ac:dyDescent="0.25"/>
    <row r="7064" customFormat="1" ht="13.2" x14ac:dyDescent="0.25"/>
    <row r="7065" customFormat="1" ht="13.2" x14ac:dyDescent="0.25"/>
    <row r="7066" customFormat="1" ht="13.2" x14ac:dyDescent="0.25"/>
    <row r="7067" customFormat="1" ht="13.2" x14ac:dyDescent="0.25"/>
    <row r="7068" customFormat="1" ht="13.2" x14ac:dyDescent="0.25"/>
    <row r="7069" customFormat="1" ht="13.2" x14ac:dyDescent="0.25"/>
    <row r="7070" customFormat="1" ht="13.2" x14ac:dyDescent="0.25"/>
    <row r="7071" customFormat="1" ht="13.2" x14ac:dyDescent="0.25"/>
    <row r="7072" customFormat="1" ht="13.2" x14ac:dyDescent="0.25"/>
    <row r="7073" customFormat="1" ht="13.2" x14ac:dyDescent="0.25"/>
    <row r="7074" customFormat="1" ht="13.2" x14ac:dyDescent="0.25"/>
    <row r="7075" customFormat="1" ht="13.2" x14ac:dyDescent="0.25"/>
    <row r="7076" customFormat="1" ht="13.2" x14ac:dyDescent="0.25"/>
    <row r="7077" customFormat="1" ht="13.2" x14ac:dyDescent="0.25"/>
    <row r="7078" customFormat="1" ht="13.2" x14ac:dyDescent="0.25"/>
    <row r="7079" customFormat="1" ht="13.2" x14ac:dyDescent="0.25"/>
    <row r="7080" customFormat="1" ht="13.2" x14ac:dyDescent="0.25"/>
    <row r="7081" customFormat="1" ht="13.2" x14ac:dyDescent="0.25"/>
    <row r="7082" customFormat="1" ht="13.2" x14ac:dyDescent="0.25"/>
    <row r="7083" customFormat="1" ht="13.2" x14ac:dyDescent="0.25"/>
    <row r="7084" customFormat="1" ht="13.2" x14ac:dyDescent="0.25"/>
    <row r="7085" customFormat="1" ht="13.2" x14ac:dyDescent="0.25"/>
    <row r="7086" customFormat="1" ht="13.2" x14ac:dyDescent="0.25"/>
    <row r="7087" customFormat="1" ht="13.2" x14ac:dyDescent="0.25"/>
    <row r="7088" customFormat="1" ht="13.2" x14ac:dyDescent="0.25"/>
    <row r="7089" customFormat="1" ht="13.2" x14ac:dyDescent="0.25"/>
    <row r="7090" customFormat="1" ht="13.2" x14ac:dyDescent="0.25"/>
    <row r="7091" customFormat="1" ht="13.2" x14ac:dyDescent="0.25"/>
    <row r="7092" customFormat="1" ht="13.2" x14ac:dyDescent="0.25"/>
    <row r="7093" customFormat="1" ht="13.2" x14ac:dyDescent="0.25"/>
    <row r="7094" customFormat="1" ht="13.2" x14ac:dyDescent="0.25"/>
    <row r="7095" customFormat="1" ht="13.2" x14ac:dyDescent="0.25"/>
    <row r="7096" customFormat="1" ht="13.2" x14ac:dyDescent="0.25"/>
    <row r="7097" customFormat="1" ht="13.2" x14ac:dyDescent="0.25"/>
    <row r="7098" customFormat="1" ht="13.2" x14ac:dyDescent="0.25"/>
    <row r="7099" customFormat="1" ht="13.2" x14ac:dyDescent="0.25"/>
    <row r="7100" customFormat="1" ht="13.2" x14ac:dyDescent="0.25"/>
    <row r="7101" customFormat="1" ht="13.2" x14ac:dyDescent="0.25"/>
    <row r="7102" customFormat="1" ht="13.2" x14ac:dyDescent="0.25"/>
    <row r="7103" customFormat="1" ht="13.2" x14ac:dyDescent="0.25"/>
    <row r="7104" customFormat="1" ht="13.2" x14ac:dyDescent="0.25"/>
    <row r="7105" customFormat="1" ht="13.2" x14ac:dyDescent="0.25"/>
    <row r="7106" customFormat="1" ht="13.2" x14ac:dyDescent="0.25"/>
    <row r="7107" customFormat="1" ht="13.2" x14ac:dyDescent="0.25"/>
    <row r="7108" customFormat="1" ht="13.2" x14ac:dyDescent="0.25"/>
    <row r="7109" customFormat="1" ht="13.2" x14ac:dyDescent="0.25"/>
    <row r="7110" customFormat="1" ht="13.2" x14ac:dyDescent="0.25"/>
    <row r="7111" customFormat="1" ht="13.2" x14ac:dyDescent="0.25"/>
    <row r="7112" customFormat="1" ht="13.2" x14ac:dyDescent="0.25"/>
    <row r="7113" customFormat="1" ht="13.2" x14ac:dyDescent="0.25"/>
    <row r="7114" customFormat="1" ht="13.2" x14ac:dyDescent="0.25"/>
    <row r="7115" customFormat="1" ht="13.2" x14ac:dyDescent="0.25"/>
    <row r="7116" customFormat="1" ht="13.2" x14ac:dyDescent="0.25"/>
    <row r="7117" customFormat="1" ht="13.2" x14ac:dyDescent="0.25"/>
    <row r="7118" customFormat="1" ht="13.2" x14ac:dyDescent="0.25"/>
    <row r="7119" customFormat="1" ht="13.2" x14ac:dyDescent="0.25"/>
    <row r="7120" customFormat="1" ht="13.2" x14ac:dyDescent="0.25"/>
    <row r="7121" customFormat="1" ht="13.2" x14ac:dyDescent="0.25"/>
    <row r="7122" customFormat="1" ht="13.2" x14ac:dyDescent="0.25"/>
    <row r="7123" customFormat="1" ht="13.2" x14ac:dyDescent="0.25"/>
    <row r="7124" customFormat="1" ht="13.2" x14ac:dyDescent="0.25"/>
    <row r="7125" customFormat="1" ht="13.2" x14ac:dyDescent="0.25"/>
    <row r="7126" customFormat="1" ht="13.2" x14ac:dyDescent="0.25"/>
    <row r="7127" customFormat="1" ht="13.2" x14ac:dyDescent="0.25"/>
    <row r="7128" customFormat="1" ht="13.2" x14ac:dyDescent="0.25"/>
    <row r="7129" customFormat="1" ht="13.2" x14ac:dyDescent="0.25"/>
    <row r="7130" customFormat="1" ht="13.2" x14ac:dyDescent="0.25"/>
    <row r="7131" customFormat="1" ht="13.2" x14ac:dyDescent="0.25"/>
    <row r="7132" customFormat="1" ht="13.2" x14ac:dyDescent="0.25"/>
    <row r="7133" customFormat="1" ht="13.2" x14ac:dyDescent="0.25"/>
    <row r="7134" customFormat="1" ht="13.2" x14ac:dyDescent="0.25"/>
    <row r="7135" customFormat="1" ht="13.2" x14ac:dyDescent="0.25"/>
    <row r="7136" customFormat="1" ht="13.2" x14ac:dyDescent="0.25"/>
    <row r="7137" customFormat="1" ht="13.2" x14ac:dyDescent="0.25"/>
    <row r="7138" customFormat="1" ht="13.2" x14ac:dyDescent="0.25"/>
    <row r="7139" customFormat="1" ht="13.2" x14ac:dyDescent="0.25"/>
    <row r="7140" customFormat="1" ht="13.2" x14ac:dyDescent="0.25"/>
    <row r="7141" customFormat="1" ht="13.2" x14ac:dyDescent="0.25"/>
    <row r="7142" customFormat="1" ht="13.2" x14ac:dyDescent="0.25"/>
    <row r="7143" customFormat="1" ht="13.2" x14ac:dyDescent="0.25"/>
    <row r="7144" customFormat="1" ht="13.2" x14ac:dyDescent="0.25"/>
    <row r="7145" customFormat="1" ht="13.2" x14ac:dyDescent="0.25"/>
    <row r="7146" customFormat="1" ht="13.2" x14ac:dyDescent="0.25"/>
    <row r="7147" customFormat="1" ht="13.2" x14ac:dyDescent="0.25"/>
    <row r="7148" customFormat="1" ht="13.2" x14ac:dyDescent="0.25"/>
    <row r="7149" customFormat="1" ht="13.2" x14ac:dyDescent="0.25"/>
    <row r="7150" customFormat="1" ht="13.2" x14ac:dyDescent="0.25"/>
    <row r="7151" customFormat="1" ht="13.2" x14ac:dyDescent="0.25"/>
    <row r="7152" customFormat="1" ht="13.2" x14ac:dyDescent="0.25"/>
    <row r="7153" customFormat="1" ht="13.2" x14ac:dyDescent="0.25"/>
    <row r="7154" customFormat="1" ht="13.2" x14ac:dyDescent="0.25"/>
    <row r="7155" customFormat="1" ht="13.2" x14ac:dyDescent="0.25"/>
    <row r="7156" customFormat="1" ht="13.2" x14ac:dyDescent="0.25"/>
    <row r="7157" customFormat="1" ht="13.2" x14ac:dyDescent="0.25"/>
    <row r="7158" customFormat="1" ht="13.2" x14ac:dyDescent="0.25"/>
    <row r="7159" customFormat="1" ht="13.2" x14ac:dyDescent="0.25"/>
    <row r="7160" customFormat="1" ht="13.2" x14ac:dyDescent="0.25"/>
    <row r="7161" customFormat="1" ht="13.2" x14ac:dyDescent="0.25"/>
    <row r="7162" customFormat="1" ht="13.2" x14ac:dyDescent="0.25"/>
    <row r="7163" customFormat="1" ht="13.2" x14ac:dyDescent="0.25"/>
    <row r="7164" customFormat="1" ht="13.2" x14ac:dyDescent="0.25"/>
    <row r="7165" customFormat="1" ht="13.2" x14ac:dyDescent="0.25"/>
    <row r="7166" customFormat="1" ht="13.2" x14ac:dyDescent="0.25"/>
    <row r="7167" customFormat="1" ht="13.2" x14ac:dyDescent="0.25"/>
    <row r="7168" customFormat="1" ht="13.2" x14ac:dyDescent="0.25"/>
    <row r="7169" customFormat="1" ht="13.2" x14ac:dyDescent="0.25"/>
    <row r="7170" customFormat="1" ht="13.2" x14ac:dyDescent="0.25"/>
    <row r="7171" customFormat="1" ht="13.2" x14ac:dyDescent="0.25"/>
    <row r="7172" customFormat="1" ht="13.2" x14ac:dyDescent="0.25"/>
    <row r="7173" customFormat="1" ht="13.2" x14ac:dyDescent="0.25"/>
    <row r="7174" customFormat="1" ht="13.2" x14ac:dyDescent="0.25"/>
    <row r="7175" customFormat="1" ht="13.2" x14ac:dyDescent="0.25"/>
    <row r="7176" customFormat="1" ht="13.2" x14ac:dyDescent="0.25"/>
    <row r="7177" customFormat="1" ht="13.2" x14ac:dyDescent="0.25"/>
    <row r="7178" customFormat="1" ht="13.2" x14ac:dyDescent="0.25"/>
    <row r="7179" customFormat="1" ht="13.2" x14ac:dyDescent="0.25"/>
    <row r="7180" customFormat="1" ht="13.2" x14ac:dyDescent="0.25"/>
    <row r="7181" customFormat="1" ht="13.2" x14ac:dyDescent="0.25"/>
    <row r="7182" customFormat="1" ht="13.2" x14ac:dyDescent="0.25"/>
    <row r="7183" customFormat="1" ht="13.2" x14ac:dyDescent="0.25"/>
    <row r="7184" customFormat="1" ht="13.2" x14ac:dyDescent="0.25"/>
    <row r="7185" customFormat="1" ht="13.2" x14ac:dyDescent="0.25"/>
    <row r="7186" customFormat="1" ht="13.2" x14ac:dyDescent="0.25"/>
    <row r="7187" customFormat="1" ht="13.2" x14ac:dyDescent="0.25"/>
    <row r="7188" customFormat="1" ht="13.2" x14ac:dyDescent="0.25"/>
    <row r="7189" customFormat="1" ht="13.2" x14ac:dyDescent="0.25"/>
    <row r="7190" customFormat="1" ht="13.2" x14ac:dyDescent="0.25"/>
    <row r="7191" customFormat="1" ht="13.2" x14ac:dyDescent="0.25"/>
    <row r="7192" customFormat="1" ht="13.2" x14ac:dyDescent="0.25"/>
    <row r="7193" customFormat="1" ht="13.2" x14ac:dyDescent="0.25"/>
    <row r="7194" customFormat="1" ht="13.2" x14ac:dyDescent="0.25"/>
    <row r="7195" customFormat="1" ht="13.2" x14ac:dyDescent="0.25"/>
    <row r="7196" customFormat="1" ht="13.2" x14ac:dyDescent="0.25"/>
    <row r="7197" customFormat="1" ht="13.2" x14ac:dyDescent="0.25"/>
    <row r="7198" customFormat="1" ht="13.2" x14ac:dyDescent="0.25"/>
    <row r="7199" customFormat="1" ht="13.2" x14ac:dyDescent="0.25"/>
    <row r="7200" customFormat="1" ht="13.2" x14ac:dyDescent="0.25"/>
    <row r="7201" customFormat="1" ht="13.2" x14ac:dyDescent="0.25"/>
    <row r="7202" customFormat="1" ht="13.2" x14ac:dyDescent="0.25"/>
    <row r="7203" customFormat="1" ht="13.2" x14ac:dyDescent="0.25"/>
    <row r="7204" customFormat="1" ht="13.2" x14ac:dyDescent="0.25"/>
    <row r="7205" customFormat="1" ht="13.2" x14ac:dyDescent="0.25"/>
    <row r="7206" customFormat="1" ht="13.2" x14ac:dyDescent="0.25"/>
    <row r="7207" customFormat="1" ht="13.2" x14ac:dyDescent="0.25"/>
    <row r="7208" customFormat="1" ht="13.2" x14ac:dyDescent="0.25"/>
    <row r="7209" customFormat="1" ht="13.2" x14ac:dyDescent="0.25"/>
    <row r="7210" customFormat="1" ht="13.2" x14ac:dyDescent="0.25"/>
    <row r="7211" customFormat="1" ht="13.2" x14ac:dyDescent="0.25"/>
    <row r="7212" customFormat="1" ht="13.2" x14ac:dyDescent="0.25"/>
    <row r="7213" customFormat="1" ht="13.2" x14ac:dyDescent="0.25"/>
    <row r="7214" customFormat="1" ht="13.2" x14ac:dyDescent="0.25"/>
    <row r="7215" customFormat="1" ht="13.2" x14ac:dyDescent="0.25"/>
    <row r="7216" customFormat="1" ht="13.2" x14ac:dyDescent="0.25"/>
    <row r="7217" customFormat="1" ht="13.2" x14ac:dyDescent="0.25"/>
    <row r="7218" customFormat="1" ht="13.2" x14ac:dyDescent="0.25"/>
    <row r="7219" customFormat="1" ht="13.2" x14ac:dyDescent="0.25"/>
    <row r="7220" customFormat="1" ht="13.2" x14ac:dyDescent="0.25"/>
    <row r="7221" customFormat="1" ht="13.2" x14ac:dyDescent="0.25"/>
    <row r="7222" customFormat="1" ht="13.2" x14ac:dyDescent="0.25"/>
    <row r="7223" customFormat="1" ht="13.2" x14ac:dyDescent="0.25"/>
    <row r="7224" customFormat="1" ht="13.2" x14ac:dyDescent="0.25"/>
    <row r="7225" customFormat="1" ht="13.2" x14ac:dyDescent="0.25"/>
    <row r="7226" customFormat="1" ht="13.2" x14ac:dyDescent="0.25"/>
    <row r="7227" customFormat="1" ht="13.2" x14ac:dyDescent="0.25"/>
    <row r="7228" customFormat="1" ht="13.2" x14ac:dyDescent="0.25"/>
    <row r="7229" customFormat="1" ht="13.2" x14ac:dyDescent="0.25"/>
    <row r="7230" customFormat="1" ht="13.2" x14ac:dyDescent="0.25"/>
    <row r="7231" customFormat="1" ht="13.2" x14ac:dyDescent="0.25"/>
    <row r="7232" customFormat="1" ht="13.2" x14ac:dyDescent="0.25"/>
    <row r="7233" customFormat="1" ht="13.2" x14ac:dyDescent="0.25"/>
    <row r="7234" customFormat="1" ht="13.2" x14ac:dyDescent="0.25"/>
    <row r="7235" customFormat="1" ht="13.2" x14ac:dyDescent="0.25"/>
    <row r="7236" customFormat="1" ht="13.2" x14ac:dyDescent="0.25"/>
    <row r="7237" customFormat="1" ht="13.2" x14ac:dyDescent="0.25"/>
    <row r="7238" customFormat="1" ht="13.2" x14ac:dyDescent="0.25"/>
    <row r="7239" customFormat="1" ht="13.2" x14ac:dyDescent="0.25"/>
    <row r="7240" customFormat="1" ht="13.2" x14ac:dyDescent="0.25"/>
    <row r="7241" customFormat="1" ht="13.2" x14ac:dyDescent="0.25"/>
    <row r="7242" customFormat="1" ht="13.2" x14ac:dyDescent="0.25"/>
    <row r="7243" customFormat="1" ht="13.2" x14ac:dyDescent="0.25"/>
    <row r="7244" customFormat="1" ht="13.2" x14ac:dyDescent="0.25"/>
    <row r="7245" customFormat="1" ht="13.2" x14ac:dyDescent="0.25"/>
    <row r="7246" customFormat="1" ht="13.2" x14ac:dyDescent="0.25"/>
    <row r="7247" customFormat="1" ht="13.2" x14ac:dyDescent="0.25"/>
    <row r="7248" customFormat="1" ht="13.2" x14ac:dyDescent="0.25"/>
    <row r="7249" customFormat="1" ht="13.2" x14ac:dyDescent="0.25"/>
    <row r="7250" customFormat="1" ht="13.2" x14ac:dyDescent="0.25"/>
    <row r="7251" customFormat="1" ht="13.2" x14ac:dyDescent="0.25"/>
    <row r="7252" customFormat="1" ht="13.2" x14ac:dyDescent="0.25"/>
    <row r="7253" customFormat="1" ht="13.2" x14ac:dyDescent="0.25"/>
    <row r="7254" customFormat="1" ht="13.2" x14ac:dyDescent="0.25"/>
    <row r="7255" customFormat="1" ht="13.2" x14ac:dyDescent="0.25"/>
    <row r="7256" customFormat="1" ht="13.2" x14ac:dyDescent="0.25"/>
    <row r="7257" customFormat="1" ht="13.2" x14ac:dyDescent="0.25"/>
    <row r="7258" customFormat="1" ht="13.2" x14ac:dyDescent="0.25"/>
    <row r="7259" customFormat="1" ht="13.2" x14ac:dyDescent="0.25"/>
    <row r="7260" customFormat="1" ht="13.2" x14ac:dyDescent="0.25"/>
    <row r="7261" customFormat="1" ht="13.2" x14ac:dyDescent="0.25"/>
    <row r="7262" customFormat="1" ht="13.2" x14ac:dyDescent="0.25"/>
    <row r="7263" customFormat="1" ht="13.2" x14ac:dyDescent="0.25"/>
    <row r="7264" customFormat="1" ht="13.2" x14ac:dyDescent="0.25"/>
    <row r="7265" customFormat="1" ht="13.2" x14ac:dyDescent="0.25"/>
    <row r="7266" customFormat="1" ht="13.2" x14ac:dyDescent="0.25"/>
    <row r="7267" customFormat="1" ht="13.2" x14ac:dyDescent="0.25"/>
    <row r="7268" customFormat="1" ht="13.2" x14ac:dyDescent="0.25"/>
    <row r="7269" customFormat="1" ht="13.2" x14ac:dyDescent="0.25"/>
    <row r="7270" customFormat="1" ht="13.2" x14ac:dyDescent="0.25"/>
    <row r="7271" customFormat="1" ht="13.2" x14ac:dyDescent="0.25"/>
    <row r="7272" customFormat="1" ht="13.2" x14ac:dyDescent="0.25"/>
    <row r="7273" customFormat="1" ht="13.2" x14ac:dyDescent="0.25"/>
    <row r="7274" customFormat="1" ht="13.2" x14ac:dyDescent="0.25"/>
    <row r="7275" customFormat="1" ht="13.2" x14ac:dyDescent="0.25"/>
    <row r="7276" customFormat="1" ht="13.2" x14ac:dyDescent="0.25"/>
    <row r="7277" customFormat="1" ht="13.2" x14ac:dyDescent="0.25"/>
    <row r="7278" customFormat="1" ht="13.2" x14ac:dyDescent="0.25"/>
    <row r="7279" customFormat="1" ht="13.2" x14ac:dyDescent="0.25"/>
    <row r="7280" customFormat="1" ht="13.2" x14ac:dyDescent="0.25"/>
    <row r="7281" customFormat="1" ht="13.2" x14ac:dyDescent="0.25"/>
    <row r="7282" customFormat="1" ht="13.2" x14ac:dyDescent="0.25"/>
    <row r="7283" customFormat="1" ht="13.2" x14ac:dyDescent="0.25"/>
    <row r="7284" customFormat="1" ht="13.2" x14ac:dyDescent="0.25"/>
    <row r="7285" customFormat="1" ht="13.2" x14ac:dyDescent="0.25"/>
    <row r="7286" customFormat="1" ht="13.2" x14ac:dyDescent="0.25"/>
    <row r="7287" customFormat="1" ht="13.2" x14ac:dyDescent="0.25"/>
    <row r="7288" customFormat="1" ht="13.2" x14ac:dyDescent="0.25"/>
    <row r="7289" customFormat="1" ht="13.2" x14ac:dyDescent="0.25"/>
    <row r="7290" customFormat="1" ht="13.2" x14ac:dyDescent="0.25"/>
    <row r="7291" customFormat="1" ht="13.2" x14ac:dyDescent="0.25"/>
    <row r="7292" customFormat="1" ht="13.2" x14ac:dyDescent="0.25"/>
    <row r="7293" customFormat="1" ht="13.2" x14ac:dyDescent="0.25"/>
    <row r="7294" customFormat="1" ht="13.2" x14ac:dyDescent="0.25"/>
    <row r="7295" customFormat="1" ht="13.2" x14ac:dyDescent="0.25"/>
    <row r="7296" customFormat="1" ht="13.2" x14ac:dyDescent="0.25"/>
    <row r="7297" customFormat="1" ht="13.2" x14ac:dyDescent="0.25"/>
    <row r="7298" customFormat="1" ht="13.2" x14ac:dyDescent="0.25"/>
    <row r="7299" customFormat="1" ht="13.2" x14ac:dyDescent="0.25"/>
    <row r="7300" customFormat="1" ht="13.2" x14ac:dyDescent="0.25"/>
    <row r="7301" customFormat="1" ht="13.2" x14ac:dyDescent="0.25"/>
    <row r="7302" customFormat="1" ht="13.2" x14ac:dyDescent="0.25"/>
    <row r="7303" customFormat="1" ht="13.2" x14ac:dyDescent="0.25"/>
    <row r="7304" customFormat="1" ht="13.2" x14ac:dyDescent="0.25"/>
    <row r="7305" customFormat="1" ht="13.2" x14ac:dyDescent="0.25"/>
    <row r="7306" customFormat="1" ht="13.2" x14ac:dyDescent="0.25"/>
    <row r="7307" customFormat="1" ht="13.2" x14ac:dyDescent="0.25"/>
    <row r="7308" customFormat="1" ht="13.2" x14ac:dyDescent="0.25"/>
    <row r="7309" customFormat="1" ht="13.2" x14ac:dyDescent="0.25"/>
    <row r="7310" customFormat="1" ht="13.2" x14ac:dyDescent="0.25"/>
    <row r="7311" customFormat="1" ht="13.2" x14ac:dyDescent="0.25"/>
    <row r="7312" customFormat="1" ht="13.2" x14ac:dyDescent="0.25"/>
    <row r="7313" customFormat="1" ht="13.2" x14ac:dyDescent="0.25"/>
    <row r="7314" customFormat="1" ht="13.2" x14ac:dyDescent="0.25"/>
    <row r="7315" customFormat="1" ht="13.2" x14ac:dyDescent="0.25"/>
    <row r="7316" customFormat="1" ht="13.2" x14ac:dyDescent="0.25"/>
    <row r="7317" customFormat="1" ht="13.2" x14ac:dyDescent="0.25"/>
    <row r="7318" customFormat="1" ht="13.2" x14ac:dyDescent="0.25"/>
    <row r="7319" customFormat="1" ht="13.2" x14ac:dyDescent="0.25"/>
    <row r="7320" customFormat="1" ht="13.2" x14ac:dyDescent="0.25"/>
    <row r="7321" customFormat="1" ht="13.2" x14ac:dyDescent="0.25"/>
    <row r="7322" customFormat="1" ht="13.2" x14ac:dyDescent="0.25"/>
    <row r="7323" customFormat="1" ht="13.2" x14ac:dyDescent="0.25"/>
    <row r="7324" customFormat="1" ht="13.2" x14ac:dyDescent="0.25"/>
    <row r="7325" customFormat="1" ht="13.2" x14ac:dyDescent="0.25"/>
    <row r="7326" customFormat="1" ht="13.2" x14ac:dyDescent="0.25"/>
    <row r="7327" customFormat="1" ht="13.2" x14ac:dyDescent="0.25"/>
    <row r="7328" customFormat="1" ht="13.2" x14ac:dyDescent="0.25"/>
    <row r="7329" customFormat="1" ht="13.2" x14ac:dyDescent="0.25"/>
    <row r="7330" customFormat="1" ht="13.2" x14ac:dyDescent="0.25"/>
    <row r="7331" customFormat="1" ht="13.2" x14ac:dyDescent="0.25"/>
    <row r="7332" customFormat="1" ht="13.2" x14ac:dyDescent="0.25"/>
    <row r="7333" customFormat="1" ht="13.2" x14ac:dyDescent="0.25"/>
    <row r="7334" customFormat="1" ht="13.2" x14ac:dyDescent="0.25"/>
    <row r="7335" customFormat="1" ht="13.2" x14ac:dyDescent="0.25"/>
    <row r="7336" customFormat="1" ht="13.2" x14ac:dyDescent="0.25"/>
    <row r="7337" customFormat="1" ht="13.2" x14ac:dyDescent="0.25"/>
    <row r="7338" customFormat="1" ht="13.2" x14ac:dyDescent="0.25"/>
    <row r="7339" customFormat="1" ht="13.2" x14ac:dyDescent="0.25"/>
    <row r="7340" customFormat="1" ht="13.2" x14ac:dyDescent="0.25"/>
    <row r="7341" customFormat="1" ht="13.2" x14ac:dyDescent="0.25"/>
    <row r="7342" customFormat="1" ht="13.2" x14ac:dyDescent="0.25"/>
    <row r="7343" customFormat="1" ht="13.2" x14ac:dyDescent="0.25"/>
    <row r="7344" customFormat="1" ht="13.2" x14ac:dyDescent="0.25"/>
    <row r="7345" customFormat="1" ht="13.2" x14ac:dyDescent="0.25"/>
    <row r="7346" customFormat="1" ht="13.2" x14ac:dyDescent="0.25"/>
    <row r="7347" customFormat="1" ht="13.2" x14ac:dyDescent="0.25"/>
    <row r="7348" customFormat="1" ht="13.2" x14ac:dyDescent="0.25"/>
    <row r="7349" customFormat="1" ht="13.2" x14ac:dyDescent="0.25"/>
    <row r="7350" customFormat="1" ht="13.2" x14ac:dyDescent="0.25"/>
    <row r="7351" customFormat="1" ht="13.2" x14ac:dyDescent="0.25"/>
    <row r="7352" customFormat="1" ht="13.2" x14ac:dyDescent="0.25"/>
    <row r="7353" customFormat="1" ht="13.2" x14ac:dyDescent="0.25"/>
    <row r="7354" customFormat="1" ht="13.2" x14ac:dyDescent="0.25"/>
    <row r="7355" customFormat="1" ht="13.2" x14ac:dyDescent="0.25"/>
    <row r="7356" customFormat="1" ht="13.2" x14ac:dyDescent="0.25"/>
    <row r="7357" customFormat="1" ht="13.2" x14ac:dyDescent="0.25"/>
    <row r="7358" customFormat="1" ht="13.2" x14ac:dyDescent="0.25"/>
    <row r="7359" customFormat="1" ht="13.2" x14ac:dyDescent="0.25"/>
    <row r="7360" customFormat="1" ht="13.2" x14ac:dyDescent="0.25"/>
    <row r="7361" customFormat="1" ht="13.2" x14ac:dyDescent="0.25"/>
    <row r="7362" customFormat="1" ht="13.2" x14ac:dyDescent="0.25"/>
    <row r="7363" customFormat="1" ht="13.2" x14ac:dyDescent="0.25"/>
    <row r="7364" customFormat="1" ht="13.2" x14ac:dyDescent="0.25"/>
    <row r="7365" customFormat="1" ht="13.2" x14ac:dyDescent="0.25"/>
    <row r="7366" customFormat="1" ht="13.2" x14ac:dyDescent="0.25"/>
    <row r="7367" customFormat="1" ht="13.2" x14ac:dyDescent="0.25"/>
    <row r="7368" customFormat="1" ht="13.2" x14ac:dyDescent="0.25"/>
    <row r="7369" customFormat="1" ht="13.2" x14ac:dyDescent="0.25"/>
    <row r="7370" customFormat="1" ht="13.2" x14ac:dyDescent="0.25"/>
    <row r="7371" customFormat="1" ht="13.2" x14ac:dyDescent="0.25"/>
    <row r="7372" customFormat="1" ht="13.2" x14ac:dyDescent="0.25"/>
    <row r="7373" customFormat="1" ht="13.2" x14ac:dyDescent="0.25"/>
    <row r="7374" customFormat="1" ht="13.2" x14ac:dyDescent="0.25"/>
    <row r="7375" customFormat="1" ht="13.2" x14ac:dyDescent="0.25"/>
    <row r="7376" customFormat="1" ht="13.2" x14ac:dyDescent="0.25"/>
    <row r="7377" customFormat="1" ht="13.2" x14ac:dyDescent="0.25"/>
    <row r="7378" customFormat="1" ht="13.2" x14ac:dyDescent="0.25"/>
    <row r="7379" customFormat="1" ht="13.2" x14ac:dyDescent="0.25"/>
    <row r="7380" customFormat="1" ht="13.2" x14ac:dyDescent="0.25"/>
    <row r="7381" customFormat="1" ht="13.2" x14ac:dyDescent="0.25"/>
    <row r="7382" customFormat="1" ht="13.2" x14ac:dyDescent="0.25"/>
    <row r="7383" customFormat="1" ht="13.2" x14ac:dyDescent="0.25"/>
    <row r="7384" customFormat="1" ht="13.2" x14ac:dyDescent="0.25"/>
    <row r="7385" customFormat="1" ht="13.2" x14ac:dyDescent="0.25"/>
    <row r="7386" customFormat="1" ht="13.2" x14ac:dyDescent="0.25"/>
    <row r="7387" customFormat="1" ht="13.2" x14ac:dyDescent="0.25"/>
    <row r="7388" customFormat="1" ht="13.2" x14ac:dyDescent="0.25"/>
    <row r="7389" customFormat="1" ht="13.2" x14ac:dyDescent="0.25"/>
    <row r="7390" customFormat="1" ht="13.2" x14ac:dyDescent="0.25"/>
    <row r="7391" customFormat="1" ht="13.2" x14ac:dyDescent="0.25"/>
    <row r="7392" customFormat="1" ht="13.2" x14ac:dyDescent="0.25"/>
    <row r="7393" customFormat="1" ht="13.2" x14ac:dyDescent="0.25"/>
    <row r="7394" customFormat="1" ht="13.2" x14ac:dyDescent="0.25"/>
    <row r="7395" customFormat="1" ht="13.2" x14ac:dyDescent="0.25"/>
    <row r="7396" customFormat="1" ht="13.2" x14ac:dyDescent="0.25"/>
    <row r="7397" customFormat="1" ht="13.2" x14ac:dyDescent="0.25"/>
    <row r="7398" customFormat="1" ht="13.2" x14ac:dyDescent="0.25"/>
    <row r="7399" customFormat="1" ht="13.2" x14ac:dyDescent="0.25"/>
    <row r="7400" customFormat="1" ht="13.2" x14ac:dyDescent="0.25"/>
    <row r="7401" customFormat="1" ht="13.2" x14ac:dyDescent="0.25"/>
    <row r="7402" customFormat="1" ht="13.2" x14ac:dyDescent="0.25"/>
    <row r="7403" customFormat="1" ht="13.2" x14ac:dyDescent="0.25"/>
    <row r="7404" customFormat="1" ht="13.2" x14ac:dyDescent="0.25"/>
    <row r="7405" customFormat="1" ht="13.2" x14ac:dyDescent="0.25"/>
    <row r="7406" customFormat="1" ht="13.2" x14ac:dyDescent="0.25"/>
    <row r="7407" customFormat="1" ht="13.2" x14ac:dyDescent="0.25"/>
    <row r="7408" customFormat="1" ht="13.2" x14ac:dyDescent="0.25"/>
    <row r="7409" customFormat="1" ht="13.2" x14ac:dyDescent="0.25"/>
    <row r="7410" customFormat="1" ht="13.2" x14ac:dyDescent="0.25"/>
    <row r="7411" customFormat="1" ht="13.2" x14ac:dyDescent="0.25"/>
    <row r="7412" customFormat="1" ht="13.2" x14ac:dyDescent="0.25"/>
    <row r="7413" customFormat="1" ht="13.2" x14ac:dyDescent="0.25"/>
    <row r="7414" customFormat="1" ht="13.2" x14ac:dyDescent="0.25"/>
    <row r="7415" customFormat="1" ht="13.2" x14ac:dyDescent="0.25"/>
    <row r="7416" customFormat="1" ht="13.2" x14ac:dyDescent="0.25"/>
    <row r="7417" customFormat="1" ht="13.2" x14ac:dyDescent="0.25"/>
    <row r="7418" customFormat="1" ht="13.2" x14ac:dyDescent="0.25"/>
    <row r="7419" customFormat="1" ht="13.2" x14ac:dyDescent="0.25"/>
    <row r="7420" customFormat="1" ht="13.2" x14ac:dyDescent="0.25"/>
    <row r="7421" customFormat="1" ht="13.2" x14ac:dyDescent="0.25"/>
    <row r="7422" customFormat="1" ht="13.2" x14ac:dyDescent="0.25"/>
    <row r="7423" customFormat="1" ht="13.2" x14ac:dyDescent="0.25"/>
    <row r="7424" customFormat="1" ht="13.2" x14ac:dyDescent="0.25"/>
    <row r="7425" customFormat="1" ht="13.2" x14ac:dyDescent="0.25"/>
    <row r="7426" customFormat="1" ht="13.2" x14ac:dyDescent="0.25"/>
    <row r="7427" customFormat="1" ht="13.2" x14ac:dyDescent="0.25"/>
    <row r="7428" customFormat="1" ht="13.2" x14ac:dyDescent="0.25"/>
    <row r="7429" customFormat="1" ht="13.2" x14ac:dyDescent="0.25"/>
    <row r="7430" customFormat="1" ht="13.2" x14ac:dyDescent="0.25"/>
    <row r="7431" customFormat="1" ht="13.2" x14ac:dyDescent="0.25"/>
    <row r="7432" customFormat="1" ht="13.2" x14ac:dyDescent="0.25"/>
    <row r="7433" customFormat="1" ht="13.2" x14ac:dyDescent="0.25"/>
    <row r="7434" customFormat="1" ht="13.2" x14ac:dyDescent="0.25"/>
    <row r="7435" customFormat="1" ht="13.2" x14ac:dyDescent="0.25"/>
    <row r="7436" customFormat="1" ht="13.2" x14ac:dyDescent="0.25"/>
    <row r="7437" customFormat="1" ht="13.2" x14ac:dyDescent="0.25"/>
    <row r="7438" customFormat="1" ht="13.2" x14ac:dyDescent="0.25"/>
    <row r="7439" customFormat="1" ht="13.2" x14ac:dyDescent="0.25"/>
    <row r="7440" customFormat="1" ht="13.2" x14ac:dyDescent="0.25"/>
    <row r="7441" customFormat="1" ht="13.2" x14ac:dyDescent="0.25"/>
    <row r="7442" customFormat="1" ht="13.2" x14ac:dyDescent="0.25"/>
    <row r="7443" customFormat="1" ht="13.2" x14ac:dyDescent="0.25"/>
    <row r="7444" customFormat="1" ht="13.2" x14ac:dyDescent="0.25"/>
    <row r="7445" customFormat="1" ht="13.2" x14ac:dyDescent="0.25"/>
    <row r="7446" customFormat="1" ht="13.2" x14ac:dyDescent="0.25"/>
    <row r="7447" customFormat="1" ht="13.2" x14ac:dyDescent="0.25"/>
    <row r="7448" customFormat="1" ht="13.2" x14ac:dyDescent="0.25"/>
    <row r="7449" customFormat="1" ht="13.2" x14ac:dyDescent="0.25"/>
    <row r="7450" customFormat="1" ht="13.2" x14ac:dyDescent="0.25"/>
    <row r="7451" customFormat="1" ht="13.2" x14ac:dyDescent="0.25"/>
    <row r="7452" customFormat="1" ht="13.2" x14ac:dyDescent="0.25"/>
    <row r="7453" customFormat="1" ht="13.2" x14ac:dyDescent="0.25"/>
    <row r="7454" customFormat="1" ht="13.2" x14ac:dyDescent="0.25"/>
    <row r="7455" customFormat="1" ht="13.2" x14ac:dyDescent="0.25"/>
    <row r="7456" customFormat="1" ht="13.2" x14ac:dyDescent="0.25"/>
    <row r="7457" customFormat="1" ht="13.2" x14ac:dyDescent="0.25"/>
    <row r="7458" customFormat="1" ht="13.2" x14ac:dyDescent="0.25"/>
    <row r="7459" customFormat="1" ht="13.2" x14ac:dyDescent="0.25"/>
    <row r="7460" customFormat="1" ht="13.2" x14ac:dyDescent="0.25"/>
    <row r="7461" customFormat="1" ht="13.2" x14ac:dyDescent="0.25"/>
    <row r="7462" customFormat="1" ht="13.2" x14ac:dyDescent="0.25"/>
    <row r="7463" customFormat="1" ht="13.2" x14ac:dyDescent="0.25"/>
    <row r="7464" customFormat="1" ht="13.2" x14ac:dyDescent="0.25"/>
    <row r="7465" customFormat="1" ht="13.2" x14ac:dyDescent="0.25"/>
    <row r="7466" customFormat="1" ht="13.2" x14ac:dyDescent="0.25"/>
    <row r="7467" customFormat="1" ht="13.2" x14ac:dyDescent="0.25"/>
    <row r="7468" customFormat="1" ht="13.2" x14ac:dyDescent="0.25"/>
    <row r="7469" customFormat="1" ht="13.2" x14ac:dyDescent="0.25"/>
    <row r="7470" customFormat="1" ht="13.2" x14ac:dyDescent="0.25"/>
    <row r="7471" customFormat="1" ht="13.2" x14ac:dyDescent="0.25"/>
    <row r="7472" customFormat="1" ht="13.2" x14ac:dyDescent="0.25"/>
    <row r="7473" customFormat="1" ht="13.2" x14ac:dyDescent="0.25"/>
    <row r="7474" customFormat="1" ht="13.2" x14ac:dyDescent="0.25"/>
    <row r="7475" customFormat="1" ht="13.2" x14ac:dyDescent="0.25"/>
    <row r="7476" customFormat="1" ht="13.2" x14ac:dyDescent="0.25"/>
    <row r="7477" customFormat="1" ht="13.2" x14ac:dyDescent="0.25"/>
    <row r="7478" customFormat="1" ht="13.2" x14ac:dyDescent="0.25"/>
    <row r="7479" customFormat="1" ht="13.2" x14ac:dyDescent="0.25"/>
    <row r="7480" customFormat="1" ht="13.2" x14ac:dyDescent="0.25"/>
    <row r="7481" customFormat="1" ht="13.2" x14ac:dyDescent="0.25"/>
    <row r="7482" customFormat="1" ht="13.2" x14ac:dyDescent="0.25"/>
    <row r="7483" customFormat="1" ht="13.2" x14ac:dyDescent="0.25"/>
    <row r="7484" customFormat="1" ht="13.2" x14ac:dyDescent="0.25"/>
    <row r="7485" customFormat="1" ht="13.2" x14ac:dyDescent="0.25"/>
    <row r="7486" customFormat="1" ht="13.2" x14ac:dyDescent="0.25"/>
    <row r="7487" customFormat="1" ht="13.2" x14ac:dyDescent="0.25"/>
    <row r="7488" customFormat="1" ht="13.2" x14ac:dyDescent="0.25"/>
    <row r="7489" customFormat="1" ht="13.2" x14ac:dyDescent="0.25"/>
    <row r="7490" customFormat="1" ht="13.2" x14ac:dyDescent="0.25"/>
    <row r="7491" customFormat="1" ht="13.2" x14ac:dyDescent="0.25"/>
    <row r="7492" customFormat="1" ht="13.2" x14ac:dyDescent="0.25"/>
    <row r="7493" customFormat="1" ht="13.2" x14ac:dyDescent="0.25"/>
    <row r="7494" customFormat="1" ht="13.2" x14ac:dyDescent="0.25"/>
    <row r="7495" customFormat="1" ht="13.2" x14ac:dyDescent="0.25"/>
    <row r="7496" customFormat="1" ht="13.2" x14ac:dyDescent="0.25"/>
    <row r="7497" customFormat="1" ht="13.2" x14ac:dyDescent="0.25"/>
    <row r="7498" customFormat="1" ht="13.2" x14ac:dyDescent="0.25"/>
    <row r="7499" customFormat="1" ht="13.2" x14ac:dyDescent="0.25"/>
    <row r="7500" customFormat="1" ht="13.2" x14ac:dyDescent="0.25"/>
    <row r="7501" customFormat="1" ht="13.2" x14ac:dyDescent="0.25"/>
    <row r="7502" customFormat="1" ht="13.2" x14ac:dyDescent="0.25"/>
    <row r="7503" customFormat="1" ht="13.2" x14ac:dyDescent="0.25"/>
    <row r="7504" customFormat="1" ht="13.2" x14ac:dyDescent="0.25"/>
    <row r="7505" customFormat="1" ht="13.2" x14ac:dyDescent="0.25"/>
    <row r="7506" customFormat="1" ht="13.2" x14ac:dyDescent="0.25"/>
    <row r="7507" customFormat="1" ht="13.2" x14ac:dyDescent="0.25"/>
    <row r="7508" customFormat="1" ht="13.2" x14ac:dyDescent="0.25"/>
    <row r="7509" customFormat="1" ht="13.2" x14ac:dyDescent="0.25"/>
    <row r="7510" customFormat="1" ht="13.2" x14ac:dyDescent="0.25"/>
    <row r="7511" customFormat="1" ht="13.2" x14ac:dyDescent="0.25"/>
    <row r="7512" customFormat="1" ht="13.2" x14ac:dyDescent="0.25"/>
    <row r="7513" customFormat="1" ht="13.2" x14ac:dyDescent="0.25"/>
    <row r="7514" customFormat="1" ht="13.2" x14ac:dyDescent="0.25"/>
    <row r="7515" customFormat="1" ht="13.2" x14ac:dyDescent="0.25"/>
    <row r="7516" customFormat="1" ht="13.2" x14ac:dyDescent="0.25"/>
    <row r="7517" customFormat="1" ht="13.2" x14ac:dyDescent="0.25"/>
    <row r="7518" customFormat="1" ht="13.2" x14ac:dyDescent="0.25"/>
    <row r="7519" customFormat="1" ht="13.2" x14ac:dyDescent="0.25"/>
    <row r="7520" customFormat="1" ht="13.2" x14ac:dyDescent="0.25"/>
    <row r="7521" customFormat="1" ht="13.2" x14ac:dyDescent="0.25"/>
    <row r="7522" customFormat="1" ht="13.2" x14ac:dyDescent="0.25"/>
    <row r="7523" customFormat="1" ht="13.2" x14ac:dyDescent="0.25"/>
    <row r="7524" customFormat="1" ht="13.2" x14ac:dyDescent="0.25"/>
    <row r="7525" customFormat="1" ht="13.2" x14ac:dyDescent="0.25"/>
    <row r="7526" customFormat="1" ht="13.2" x14ac:dyDescent="0.25"/>
    <row r="7527" customFormat="1" ht="13.2" x14ac:dyDescent="0.25"/>
    <row r="7528" customFormat="1" ht="13.2" x14ac:dyDescent="0.25"/>
    <row r="7529" customFormat="1" ht="13.2" x14ac:dyDescent="0.25"/>
    <row r="7530" customFormat="1" ht="13.2" x14ac:dyDescent="0.25"/>
    <row r="7531" customFormat="1" ht="13.2" x14ac:dyDescent="0.25"/>
    <row r="7532" customFormat="1" ht="13.2" x14ac:dyDescent="0.25"/>
    <row r="7533" customFormat="1" ht="13.2" x14ac:dyDescent="0.25"/>
    <row r="7534" customFormat="1" ht="13.2" x14ac:dyDescent="0.25"/>
    <row r="7535" customFormat="1" ht="13.2" x14ac:dyDescent="0.25"/>
    <row r="7536" customFormat="1" ht="13.2" x14ac:dyDescent="0.25"/>
    <row r="7537" customFormat="1" ht="13.2" x14ac:dyDescent="0.25"/>
    <row r="7538" customFormat="1" ht="13.2" x14ac:dyDescent="0.25"/>
    <row r="7539" customFormat="1" ht="13.2" x14ac:dyDescent="0.25"/>
    <row r="7540" customFormat="1" ht="13.2" x14ac:dyDescent="0.25"/>
    <row r="7541" customFormat="1" ht="13.2" x14ac:dyDescent="0.25"/>
    <row r="7542" customFormat="1" ht="13.2" x14ac:dyDescent="0.25"/>
    <row r="7543" customFormat="1" ht="13.2" x14ac:dyDescent="0.25"/>
    <row r="7544" customFormat="1" ht="13.2" x14ac:dyDescent="0.25"/>
    <row r="7545" customFormat="1" ht="13.2" x14ac:dyDescent="0.25"/>
    <row r="7546" customFormat="1" ht="13.2" x14ac:dyDescent="0.25"/>
    <row r="7547" customFormat="1" ht="13.2" x14ac:dyDescent="0.25"/>
    <row r="7548" customFormat="1" ht="13.2" x14ac:dyDescent="0.25"/>
    <row r="7549" customFormat="1" ht="13.2" x14ac:dyDescent="0.25"/>
    <row r="7550" customFormat="1" ht="13.2" x14ac:dyDescent="0.25"/>
    <row r="7551" customFormat="1" ht="13.2" x14ac:dyDescent="0.25"/>
    <row r="7552" customFormat="1" ht="13.2" x14ac:dyDescent="0.25"/>
    <row r="7553" customFormat="1" ht="13.2" x14ac:dyDescent="0.25"/>
    <row r="7554" customFormat="1" ht="13.2" x14ac:dyDescent="0.25"/>
    <row r="7555" customFormat="1" ht="13.2" x14ac:dyDescent="0.25"/>
    <row r="7556" customFormat="1" ht="13.2" x14ac:dyDescent="0.25"/>
    <row r="7557" customFormat="1" ht="13.2" x14ac:dyDescent="0.25"/>
    <row r="7558" customFormat="1" ht="13.2" x14ac:dyDescent="0.25"/>
    <row r="7559" customFormat="1" ht="13.2" x14ac:dyDescent="0.25"/>
    <row r="7560" customFormat="1" ht="13.2" x14ac:dyDescent="0.25"/>
    <row r="7561" customFormat="1" ht="13.2" x14ac:dyDescent="0.25"/>
    <row r="7562" customFormat="1" ht="13.2" x14ac:dyDescent="0.25"/>
    <row r="7563" customFormat="1" ht="13.2" x14ac:dyDescent="0.25"/>
    <row r="7564" customFormat="1" ht="13.2" x14ac:dyDescent="0.25"/>
    <row r="7565" customFormat="1" ht="13.2" x14ac:dyDescent="0.25"/>
    <row r="7566" customFormat="1" ht="13.2" x14ac:dyDescent="0.25"/>
    <row r="7567" customFormat="1" ht="13.2" x14ac:dyDescent="0.25"/>
    <row r="7568" customFormat="1" ht="13.2" x14ac:dyDescent="0.25"/>
    <row r="7569" customFormat="1" ht="13.2" x14ac:dyDescent="0.25"/>
    <row r="7570" customFormat="1" ht="13.2" x14ac:dyDescent="0.25"/>
    <row r="7571" customFormat="1" ht="13.2" x14ac:dyDescent="0.25"/>
    <row r="7572" customFormat="1" ht="13.2" x14ac:dyDescent="0.25"/>
    <row r="7573" customFormat="1" ht="13.2" x14ac:dyDescent="0.25"/>
    <row r="7574" customFormat="1" ht="13.2" x14ac:dyDescent="0.25"/>
    <row r="7575" customFormat="1" ht="13.2" x14ac:dyDescent="0.25"/>
    <row r="7576" customFormat="1" ht="13.2" x14ac:dyDescent="0.25"/>
    <row r="7577" customFormat="1" ht="13.2" x14ac:dyDescent="0.25"/>
    <row r="7578" customFormat="1" ht="13.2" x14ac:dyDescent="0.25"/>
    <row r="7579" customFormat="1" ht="13.2" x14ac:dyDescent="0.25"/>
    <row r="7580" customFormat="1" ht="13.2" x14ac:dyDescent="0.25"/>
    <row r="7581" customFormat="1" ht="13.2" x14ac:dyDescent="0.25"/>
    <row r="7582" customFormat="1" ht="13.2" x14ac:dyDescent="0.25"/>
    <row r="7583" customFormat="1" ht="13.2" x14ac:dyDescent="0.25"/>
    <row r="7584" customFormat="1" ht="13.2" x14ac:dyDescent="0.25"/>
    <row r="7585" customFormat="1" ht="13.2" x14ac:dyDescent="0.25"/>
    <row r="7586" customFormat="1" ht="13.2" x14ac:dyDescent="0.25"/>
    <row r="7587" customFormat="1" ht="13.2" x14ac:dyDescent="0.25"/>
    <row r="7588" customFormat="1" ht="13.2" x14ac:dyDescent="0.25"/>
    <row r="7589" customFormat="1" ht="13.2" x14ac:dyDescent="0.25"/>
    <row r="7590" customFormat="1" ht="13.2" x14ac:dyDescent="0.25"/>
    <row r="7591" customFormat="1" ht="13.2" x14ac:dyDescent="0.25"/>
    <row r="7592" customFormat="1" ht="13.2" x14ac:dyDescent="0.25"/>
    <row r="7593" customFormat="1" ht="13.2" x14ac:dyDescent="0.25"/>
    <row r="7594" customFormat="1" ht="13.2" x14ac:dyDescent="0.25"/>
    <row r="7595" customFormat="1" ht="13.2" x14ac:dyDescent="0.25"/>
    <row r="7596" customFormat="1" ht="13.2" x14ac:dyDescent="0.25"/>
    <row r="7597" customFormat="1" ht="13.2" x14ac:dyDescent="0.25"/>
    <row r="7598" customFormat="1" ht="13.2" x14ac:dyDescent="0.25"/>
    <row r="7599" customFormat="1" ht="13.2" x14ac:dyDescent="0.25"/>
    <row r="7600" customFormat="1" ht="13.2" x14ac:dyDescent="0.25"/>
    <row r="7601" customFormat="1" ht="13.2" x14ac:dyDescent="0.25"/>
    <row r="7602" customFormat="1" ht="13.2" x14ac:dyDescent="0.25"/>
    <row r="7603" customFormat="1" ht="13.2" x14ac:dyDescent="0.25"/>
    <row r="7604" customFormat="1" ht="13.2" x14ac:dyDescent="0.25"/>
    <row r="7605" customFormat="1" ht="13.2" x14ac:dyDescent="0.25"/>
    <row r="7606" customFormat="1" ht="13.2" x14ac:dyDescent="0.25"/>
    <row r="7607" customFormat="1" ht="13.2" x14ac:dyDescent="0.25"/>
    <row r="7608" customFormat="1" ht="13.2" x14ac:dyDescent="0.25"/>
    <row r="7609" customFormat="1" ht="13.2" x14ac:dyDescent="0.25"/>
    <row r="7610" customFormat="1" ht="13.2" x14ac:dyDescent="0.25"/>
    <row r="7611" customFormat="1" ht="13.2" x14ac:dyDescent="0.25"/>
    <row r="7612" customFormat="1" ht="13.2" x14ac:dyDescent="0.25"/>
    <row r="7613" customFormat="1" ht="13.2" x14ac:dyDescent="0.25"/>
    <row r="7614" customFormat="1" ht="13.2" x14ac:dyDescent="0.25"/>
    <row r="7615" customFormat="1" ht="13.2" x14ac:dyDescent="0.25"/>
    <row r="7616" customFormat="1" ht="13.2" x14ac:dyDescent="0.25"/>
    <row r="7617" customFormat="1" ht="13.2" x14ac:dyDescent="0.25"/>
    <row r="7618" customFormat="1" ht="13.2" x14ac:dyDescent="0.25"/>
    <row r="7619" customFormat="1" ht="13.2" x14ac:dyDescent="0.25"/>
    <row r="7620" customFormat="1" ht="13.2" x14ac:dyDescent="0.25"/>
    <row r="7621" customFormat="1" ht="13.2" x14ac:dyDescent="0.25"/>
    <row r="7622" customFormat="1" ht="13.2" x14ac:dyDescent="0.25"/>
    <row r="7623" customFormat="1" ht="13.2" x14ac:dyDescent="0.25"/>
    <row r="7624" customFormat="1" ht="13.2" x14ac:dyDescent="0.25"/>
    <row r="7625" customFormat="1" ht="13.2" x14ac:dyDescent="0.25"/>
    <row r="7626" customFormat="1" ht="13.2" x14ac:dyDescent="0.25"/>
    <row r="7627" customFormat="1" ht="13.2" x14ac:dyDescent="0.25"/>
    <row r="7628" customFormat="1" ht="13.2" x14ac:dyDescent="0.25"/>
    <row r="7629" customFormat="1" ht="13.2" x14ac:dyDescent="0.25"/>
    <row r="7630" customFormat="1" ht="13.2" x14ac:dyDescent="0.25"/>
    <row r="7631" customFormat="1" ht="13.2" x14ac:dyDescent="0.25"/>
    <row r="7632" customFormat="1" ht="13.2" x14ac:dyDescent="0.25"/>
    <row r="7633" customFormat="1" ht="13.2" x14ac:dyDescent="0.25"/>
    <row r="7634" customFormat="1" ht="13.2" x14ac:dyDescent="0.25"/>
    <row r="7635" customFormat="1" ht="13.2" x14ac:dyDescent="0.25"/>
    <row r="7636" customFormat="1" ht="13.2" x14ac:dyDescent="0.25"/>
    <row r="7637" customFormat="1" ht="13.2" x14ac:dyDescent="0.25"/>
    <row r="7638" customFormat="1" ht="13.2" x14ac:dyDescent="0.25"/>
    <row r="7639" customFormat="1" ht="13.2" x14ac:dyDescent="0.25"/>
    <row r="7640" customFormat="1" ht="13.2" x14ac:dyDescent="0.25"/>
    <row r="7641" customFormat="1" ht="13.2" x14ac:dyDescent="0.25"/>
    <row r="7642" customFormat="1" ht="13.2" x14ac:dyDescent="0.25"/>
    <row r="7643" customFormat="1" ht="13.2" x14ac:dyDescent="0.25"/>
    <row r="7644" customFormat="1" ht="13.2" x14ac:dyDescent="0.25"/>
    <row r="7645" customFormat="1" ht="13.2" x14ac:dyDescent="0.25"/>
    <row r="7646" customFormat="1" ht="13.2" x14ac:dyDescent="0.25"/>
    <row r="7647" customFormat="1" ht="13.2" x14ac:dyDescent="0.25"/>
    <row r="7648" customFormat="1" ht="13.2" x14ac:dyDescent="0.25"/>
    <row r="7649" customFormat="1" ht="13.2" x14ac:dyDescent="0.25"/>
    <row r="7650" customFormat="1" ht="13.2" x14ac:dyDescent="0.25"/>
    <row r="7651" customFormat="1" ht="13.2" x14ac:dyDescent="0.25"/>
    <row r="7652" customFormat="1" ht="13.2" x14ac:dyDescent="0.25"/>
    <row r="7653" customFormat="1" ht="13.2" x14ac:dyDescent="0.25"/>
    <row r="7654" customFormat="1" ht="13.2" x14ac:dyDescent="0.25"/>
    <row r="7655" customFormat="1" ht="13.2" x14ac:dyDescent="0.25"/>
    <row r="7656" customFormat="1" ht="13.2" x14ac:dyDescent="0.25"/>
    <row r="7657" customFormat="1" ht="13.2" x14ac:dyDescent="0.25"/>
    <row r="7658" customFormat="1" ht="13.2" x14ac:dyDescent="0.25"/>
    <row r="7659" customFormat="1" ht="13.2" x14ac:dyDescent="0.25"/>
    <row r="7660" customFormat="1" ht="13.2" x14ac:dyDescent="0.25"/>
    <row r="7661" customFormat="1" ht="13.2" x14ac:dyDescent="0.25"/>
    <row r="7662" customFormat="1" ht="13.2" x14ac:dyDescent="0.25"/>
    <row r="7663" customFormat="1" ht="13.2" x14ac:dyDescent="0.25"/>
    <row r="7664" customFormat="1" ht="13.2" x14ac:dyDescent="0.25"/>
    <row r="7665" customFormat="1" ht="13.2" x14ac:dyDescent="0.25"/>
    <row r="7666" customFormat="1" ht="13.2" x14ac:dyDescent="0.25"/>
    <row r="7667" customFormat="1" ht="13.2" x14ac:dyDescent="0.25"/>
    <row r="7668" customFormat="1" ht="13.2" x14ac:dyDescent="0.25"/>
    <row r="7669" customFormat="1" ht="13.2" x14ac:dyDescent="0.25"/>
    <row r="7670" customFormat="1" ht="13.2" x14ac:dyDescent="0.25"/>
    <row r="7671" customFormat="1" ht="13.2" x14ac:dyDescent="0.25"/>
    <row r="7672" customFormat="1" ht="13.2" x14ac:dyDescent="0.25"/>
    <row r="7673" customFormat="1" ht="13.2" x14ac:dyDescent="0.25"/>
    <row r="7674" customFormat="1" ht="13.2" x14ac:dyDescent="0.25"/>
    <row r="7675" customFormat="1" ht="13.2" x14ac:dyDescent="0.25"/>
    <row r="7676" customFormat="1" ht="13.2" x14ac:dyDescent="0.25"/>
    <row r="7677" customFormat="1" ht="13.2" x14ac:dyDescent="0.25"/>
    <row r="7678" customFormat="1" ht="13.2" x14ac:dyDescent="0.25"/>
    <row r="7679" customFormat="1" ht="13.2" x14ac:dyDescent="0.25"/>
    <row r="7680" customFormat="1" ht="13.2" x14ac:dyDescent="0.25"/>
    <row r="7681" customFormat="1" ht="13.2" x14ac:dyDescent="0.25"/>
    <row r="7682" customFormat="1" ht="13.2" x14ac:dyDescent="0.25"/>
    <row r="7683" customFormat="1" ht="13.2" x14ac:dyDescent="0.25"/>
    <row r="7684" customFormat="1" ht="13.2" x14ac:dyDescent="0.25"/>
    <row r="7685" customFormat="1" ht="13.2" x14ac:dyDescent="0.25"/>
    <row r="7686" customFormat="1" ht="13.2" x14ac:dyDescent="0.25"/>
    <row r="7687" customFormat="1" ht="13.2" x14ac:dyDescent="0.25"/>
    <row r="7688" customFormat="1" ht="13.2" x14ac:dyDescent="0.25"/>
    <row r="7689" customFormat="1" ht="13.2" x14ac:dyDescent="0.25"/>
    <row r="7690" customFormat="1" ht="13.2" x14ac:dyDescent="0.25"/>
    <row r="7691" customFormat="1" ht="13.2" x14ac:dyDescent="0.25"/>
    <row r="7692" customFormat="1" ht="13.2" x14ac:dyDescent="0.25"/>
    <row r="7693" customFormat="1" ht="13.2" x14ac:dyDescent="0.25"/>
    <row r="7694" customFormat="1" ht="13.2" x14ac:dyDescent="0.25"/>
    <row r="7695" customFormat="1" ht="13.2" x14ac:dyDescent="0.25"/>
    <row r="7696" customFormat="1" ht="13.2" x14ac:dyDescent="0.25"/>
    <row r="7697" customFormat="1" ht="13.2" x14ac:dyDescent="0.25"/>
    <row r="7698" customFormat="1" ht="13.2" x14ac:dyDescent="0.25"/>
    <row r="7699" customFormat="1" ht="13.2" x14ac:dyDescent="0.25"/>
    <row r="7700" customFormat="1" ht="13.2" x14ac:dyDescent="0.25"/>
    <row r="7701" customFormat="1" ht="13.2" x14ac:dyDescent="0.25"/>
    <row r="7702" customFormat="1" ht="13.2" x14ac:dyDescent="0.25"/>
    <row r="7703" customFormat="1" ht="13.2" x14ac:dyDescent="0.25"/>
    <row r="7704" customFormat="1" ht="13.2" x14ac:dyDescent="0.25"/>
    <row r="7705" customFormat="1" ht="13.2" x14ac:dyDescent="0.25"/>
    <row r="7706" customFormat="1" ht="13.2" x14ac:dyDescent="0.25"/>
    <row r="7707" customFormat="1" ht="13.2" x14ac:dyDescent="0.25"/>
    <row r="7708" customFormat="1" ht="13.2" x14ac:dyDescent="0.25"/>
    <row r="7709" customFormat="1" ht="13.2" x14ac:dyDescent="0.25"/>
    <row r="7710" customFormat="1" ht="13.2" x14ac:dyDescent="0.25"/>
    <row r="7711" customFormat="1" ht="13.2" x14ac:dyDescent="0.25"/>
    <row r="7712" customFormat="1" ht="13.2" x14ac:dyDescent="0.25"/>
    <row r="7713" customFormat="1" ht="13.2" x14ac:dyDescent="0.25"/>
    <row r="7714" customFormat="1" ht="13.2" x14ac:dyDescent="0.25"/>
    <row r="7715" customFormat="1" ht="13.2" x14ac:dyDescent="0.25"/>
    <row r="7716" customFormat="1" ht="13.2" x14ac:dyDescent="0.25"/>
    <row r="7717" customFormat="1" ht="13.2" x14ac:dyDescent="0.25"/>
    <row r="7718" customFormat="1" ht="13.2" x14ac:dyDescent="0.25"/>
    <row r="7719" customFormat="1" ht="13.2" x14ac:dyDescent="0.25"/>
    <row r="7720" customFormat="1" ht="13.2" x14ac:dyDescent="0.25"/>
    <row r="7721" customFormat="1" ht="13.2" x14ac:dyDescent="0.25"/>
    <row r="7722" customFormat="1" ht="13.2" x14ac:dyDescent="0.25"/>
    <row r="7723" customFormat="1" ht="13.2" x14ac:dyDescent="0.25"/>
    <row r="7724" customFormat="1" ht="13.2" x14ac:dyDescent="0.25"/>
    <row r="7725" customFormat="1" ht="13.2" x14ac:dyDescent="0.25"/>
    <row r="7726" customFormat="1" ht="13.2" x14ac:dyDescent="0.25"/>
    <row r="7727" customFormat="1" ht="13.2" x14ac:dyDescent="0.25"/>
    <row r="7728" customFormat="1" ht="13.2" x14ac:dyDescent="0.25"/>
    <row r="7729" customFormat="1" ht="13.2" x14ac:dyDescent="0.25"/>
    <row r="7730" customFormat="1" ht="13.2" x14ac:dyDescent="0.25"/>
    <row r="7731" customFormat="1" ht="13.2" x14ac:dyDescent="0.25"/>
    <row r="7732" customFormat="1" ht="13.2" x14ac:dyDescent="0.25"/>
    <row r="7733" customFormat="1" ht="13.2" x14ac:dyDescent="0.25"/>
    <row r="7734" customFormat="1" ht="13.2" x14ac:dyDescent="0.25"/>
    <row r="7735" customFormat="1" ht="13.2" x14ac:dyDescent="0.25"/>
    <row r="7736" customFormat="1" ht="13.2" x14ac:dyDescent="0.25"/>
    <row r="7737" customFormat="1" ht="13.2" x14ac:dyDescent="0.25"/>
    <row r="7738" customFormat="1" ht="13.2" x14ac:dyDescent="0.25"/>
    <row r="7739" customFormat="1" ht="13.2" x14ac:dyDescent="0.25"/>
    <row r="7740" customFormat="1" ht="13.2" x14ac:dyDescent="0.25"/>
    <row r="7741" customFormat="1" ht="13.2" x14ac:dyDescent="0.25"/>
    <row r="7742" customFormat="1" ht="13.2" x14ac:dyDescent="0.25"/>
    <row r="7743" customFormat="1" ht="13.2" x14ac:dyDescent="0.25"/>
    <row r="7744" customFormat="1" ht="13.2" x14ac:dyDescent="0.25"/>
    <row r="7745" customFormat="1" ht="13.2" x14ac:dyDescent="0.25"/>
    <row r="7746" customFormat="1" ht="13.2" x14ac:dyDescent="0.25"/>
    <row r="7747" customFormat="1" ht="13.2" x14ac:dyDescent="0.25"/>
    <row r="7748" customFormat="1" ht="13.2" x14ac:dyDescent="0.25"/>
    <row r="7749" customFormat="1" ht="13.2" x14ac:dyDescent="0.25"/>
    <row r="7750" customFormat="1" ht="13.2" x14ac:dyDescent="0.25"/>
    <row r="7751" customFormat="1" ht="13.2" x14ac:dyDescent="0.25"/>
    <row r="7752" customFormat="1" ht="13.2" x14ac:dyDescent="0.25"/>
    <row r="7753" customFormat="1" ht="13.2" x14ac:dyDescent="0.25"/>
    <row r="7754" customFormat="1" ht="13.2" x14ac:dyDescent="0.25"/>
    <row r="7755" customFormat="1" ht="13.2" x14ac:dyDescent="0.25"/>
    <row r="7756" customFormat="1" ht="13.2" x14ac:dyDescent="0.25"/>
    <row r="7757" customFormat="1" ht="13.2" x14ac:dyDescent="0.25"/>
    <row r="7758" customFormat="1" ht="13.2" x14ac:dyDescent="0.25"/>
    <row r="7759" customFormat="1" ht="13.2" x14ac:dyDescent="0.25"/>
    <row r="7760" customFormat="1" ht="13.2" x14ac:dyDescent="0.25"/>
    <row r="7761" customFormat="1" ht="13.2" x14ac:dyDescent="0.25"/>
    <row r="7762" customFormat="1" ht="13.2" x14ac:dyDescent="0.25"/>
    <row r="7763" customFormat="1" ht="13.2" x14ac:dyDescent="0.25"/>
    <row r="7764" customFormat="1" ht="13.2" x14ac:dyDescent="0.25"/>
    <row r="7765" customFormat="1" ht="13.2" x14ac:dyDescent="0.25"/>
    <row r="7766" customFormat="1" ht="13.2" x14ac:dyDescent="0.25"/>
    <row r="7767" customFormat="1" ht="13.2" x14ac:dyDescent="0.25"/>
    <row r="7768" customFormat="1" ht="13.2" x14ac:dyDescent="0.25"/>
    <row r="7769" customFormat="1" ht="13.2" x14ac:dyDescent="0.25"/>
    <row r="7770" customFormat="1" ht="13.2" x14ac:dyDescent="0.25"/>
    <row r="7771" customFormat="1" ht="13.2" x14ac:dyDescent="0.25"/>
    <row r="7772" customFormat="1" ht="13.2" x14ac:dyDescent="0.25"/>
    <row r="7773" customFormat="1" ht="13.2" x14ac:dyDescent="0.25"/>
    <row r="7774" customFormat="1" ht="13.2" x14ac:dyDescent="0.25"/>
    <row r="7775" customFormat="1" ht="13.2" x14ac:dyDescent="0.25"/>
    <row r="7776" customFormat="1" ht="13.2" x14ac:dyDescent="0.25"/>
    <row r="7777" customFormat="1" ht="13.2" x14ac:dyDescent="0.25"/>
    <row r="7778" customFormat="1" ht="13.2" x14ac:dyDescent="0.25"/>
    <row r="7779" customFormat="1" ht="13.2" x14ac:dyDescent="0.25"/>
    <row r="7780" customFormat="1" ht="13.2" x14ac:dyDescent="0.25"/>
    <row r="7781" customFormat="1" ht="13.2" x14ac:dyDescent="0.25"/>
    <row r="7782" customFormat="1" ht="13.2" x14ac:dyDescent="0.25"/>
    <row r="7783" customFormat="1" ht="13.2" x14ac:dyDescent="0.25"/>
    <row r="7784" customFormat="1" ht="13.2" x14ac:dyDescent="0.25"/>
    <row r="7785" customFormat="1" ht="13.2" x14ac:dyDescent="0.25"/>
    <row r="7786" customFormat="1" ht="13.2" x14ac:dyDescent="0.25"/>
    <row r="7787" customFormat="1" ht="13.2" x14ac:dyDescent="0.25"/>
    <row r="7788" customFormat="1" ht="13.2" x14ac:dyDescent="0.25"/>
    <row r="7789" customFormat="1" ht="13.2" x14ac:dyDescent="0.25"/>
    <row r="7790" customFormat="1" ht="13.2" x14ac:dyDescent="0.25"/>
    <row r="7791" customFormat="1" ht="13.2" x14ac:dyDescent="0.25"/>
    <row r="7792" customFormat="1" ht="13.2" x14ac:dyDescent="0.25"/>
    <row r="7793" customFormat="1" ht="13.2" x14ac:dyDescent="0.25"/>
    <row r="7794" customFormat="1" ht="13.2" x14ac:dyDescent="0.25"/>
    <row r="7795" customFormat="1" ht="13.2" x14ac:dyDescent="0.25"/>
    <row r="7796" customFormat="1" ht="13.2" x14ac:dyDescent="0.25"/>
    <row r="7797" customFormat="1" ht="13.2" x14ac:dyDescent="0.25"/>
    <row r="7798" customFormat="1" ht="13.2" x14ac:dyDescent="0.25"/>
    <row r="7799" customFormat="1" ht="13.2" x14ac:dyDescent="0.25"/>
    <row r="7800" customFormat="1" ht="13.2" x14ac:dyDescent="0.25"/>
    <row r="7801" customFormat="1" ht="13.2" x14ac:dyDescent="0.25"/>
    <row r="7802" customFormat="1" ht="13.2" x14ac:dyDescent="0.25"/>
    <row r="7803" customFormat="1" ht="13.2" x14ac:dyDescent="0.25"/>
    <row r="7804" customFormat="1" ht="13.2" x14ac:dyDescent="0.25"/>
    <row r="7805" customFormat="1" ht="13.2" x14ac:dyDescent="0.25"/>
    <row r="7806" customFormat="1" ht="13.2" x14ac:dyDescent="0.25"/>
    <row r="7807" customFormat="1" ht="13.2" x14ac:dyDescent="0.25"/>
    <row r="7808" customFormat="1" ht="13.2" x14ac:dyDescent="0.25"/>
    <row r="7809" customFormat="1" ht="13.2" x14ac:dyDescent="0.25"/>
    <row r="7810" customFormat="1" ht="13.2" x14ac:dyDescent="0.25"/>
    <row r="7811" customFormat="1" ht="13.2" x14ac:dyDescent="0.25"/>
    <row r="7812" customFormat="1" ht="13.2" x14ac:dyDescent="0.25"/>
    <row r="7813" customFormat="1" ht="13.2" x14ac:dyDescent="0.25"/>
    <row r="7814" customFormat="1" ht="13.2" x14ac:dyDescent="0.25"/>
    <row r="7815" customFormat="1" ht="13.2" x14ac:dyDescent="0.25"/>
    <row r="7816" customFormat="1" ht="13.2" x14ac:dyDescent="0.25"/>
    <row r="7817" customFormat="1" ht="13.2" x14ac:dyDescent="0.25"/>
    <row r="7818" customFormat="1" ht="13.2" x14ac:dyDescent="0.25"/>
    <row r="7819" customFormat="1" ht="13.2" x14ac:dyDescent="0.25"/>
    <row r="7820" customFormat="1" ht="13.2" x14ac:dyDescent="0.25"/>
    <row r="7821" customFormat="1" ht="13.2" x14ac:dyDescent="0.25"/>
    <row r="7822" customFormat="1" ht="13.2" x14ac:dyDescent="0.25"/>
    <row r="7823" customFormat="1" ht="13.2" x14ac:dyDescent="0.25"/>
    <row r="7824" customFormat="1" ht="13.2" x14ac:dyDescent="0.25"/>
    <row r="7825" customFormat="1" ht="13.2" x14ac:dyDescent="0.25"/>
    <row r="7826" customFormat="1" ht="13.2" x14ac:dyDescent="0.25"/>
    <row r="7827" customFormat="1" ht="13.2" x14ac:dyDescent="0.25"/>
    <row r="7828" customFormat="1" ht="13.2" x14ac:dyDescent="0.25"/>
    <row r="7829" customFormat="1" ht="13.2" x14ac:dyDescent="0.25"/>
    <row r="7830" customFormat="1" ht="13.2" x14ac:dyDescent="0.25"/>
    <row r="7831" customFormat="1" ht="13.2" x14ac:dyDescent="0.25"/>
    <row r="7832" customFormat="1" ht="13.2" x14ac:dyDescent="0.25"/>
    <row r="7833" customFormat="1" ht="13.2" x14ac:dyDescent="0.25"/>
    <row r="7834" customFormat="1" ht="13.2" x14ac:dyDescent="0.25"/>
    <row r="7835" customFormat="1" ht="13.2" x14ac:dyDescent="0.25"/>
    <row r="7836" customFormat="1" ht="13.2" x14ac:dyDescent="0.25"/>
    <row r="7837" customFormat="1" ht="13.2" x14ac:dyDescent="0.25"/>
    <row r="7838" customFormat="1" ht="13.2" x14ac:dyDescent="0.25"/>
    <row r="7839" customFormat="1" ht="13.2" x14ac:dyDescent="0.25"/>
    <row r="7840" customFormat="1" ht="13.2" x14ac:dyDescent="0.25"/>
    <row r="7841" customFormat="1" ht="13.2" x14ac:dyDescent="0.25"/>
    <row r="7842" customFormat="1" ht="13.2" x14ac:dyDescent="0.25"/>
    <row r="7843" customFormat="1" ht="13.2" x14ac:dyDescent="0.25"/>
    <row r="7844" customFormat="1" ht="13.2" x14ac:dyDescent="0.25"/>
    <row r="7845" customFormat="1" ht="13.2" x14ac:dyDescent="0.25"/>
    <row r="7846" customFormat="1" ht="13.2" x14ac:dyDescent="0.25"/>
    <row r="7847" customFormat="1" ht="13.2" x14ac:dyDescent="0.25"/>
    <row r="7848" customFormat="1" ht="13.2" x14ac:dyDescent="0.25"/>
    <row r="7849" customFormat="1" ht="13.2" x14ac:dyDescent="0.25"/>
    <row r="7850" customFormat="1" ht="13.2" x14ac:dyDescent="0.25"/>
    <row r="7851" customFormat="1" ht="13.2" x14ac:dyDescent="0.25"/>
    <row r="7852" customFormat="1" ht="13.2" x14ac:dyDescent="0.25"/>
    <row r="7853" customFormat="1" ht="13.2" x14ac:dyDescent="0.25"/>
    <row r="7854" customFormat="1" ht="13.2" x14ac:dyDescent="0.25"/>
    <row r="7855" customFormat="1" ht="13.2" x14ac:dyDescent="0.25"/>
    <row r="7856" customFormat="1" ht="13.2" x14ac:dyDescent="0.25"/>
    <row r="7857" customFormat="1" ht="13.2" x14ac:dyDescent="0.25"/>
    <row r="7858" customFormat="1" ht="13.2" x14ac:dyDescent="0.25"/>
    <row r="7859" customFormat="1" ht="13.2" x14ac:dyDescent="0.25"/>
    <row r="7860" customFormat="1" ht="13.2" x14ac:dyDescent="0.25"/>
    <row r="7861" customFormat="1" ht="13.2" x14ac:dyDescent="0.25"/>
    <row r="7862" customFormat="1" ht="13.2" x14ac:dyDescent="0.25"/>
    <row r="7863" customFormat="1" ht="13.2" x14ac:dyDescent="0.25"/>
    <row r="7864" customFormat="1" ht="13.2" x14ac:dyDescent="0.25"/>
    <row r="7865" customFormat="1" ht="13.2" x14ac:dyDescent="0.25"/>
    <row r="7866" customFormat="1" ht="13.2" x14ac:dyDescent="0.25"/>
    <row r="7867" customFormat="1" ht="13.2" x14ac:dyDescent="0.25"/>
    <row r="7868" customFormat="1" ht="13.2" x14ac:dyDescent="0.25"/>
    <row r="7869" customFormat="1" ht="13.2" x14ac:dyDescent="0.25"/>
    <row r="7870" customFormat="1" ht="13.2" x14ac:dyDescent="0.25"/>
    <row r="7871" customFormat="1" ht="13.2" x14ac:dyDescent="0.25"/>
    <row r="7872" customFormat="1" ht="13.2" x14ac:dyDescent="0.25"/>
    <row r="7873" customFormat="1" ht="13.2" x14ac:dyDescent="0.25"/>
    <row r="7874" customFormat="1" ht="13.2" x14ac:dyDescent="0.25"/>
    <row r="7875" customFormat="1" ht="13.2" x14ac:dyDescent="0.25"/>
    <row r="7876" customFormat="1" ht="13.2" x14ac:dyDescent="0.25"/>
    <row r="7877" customFormat="1" ht="13.2" x14ac:dyDescent="0.25"/>
    <row r="7878" customFormat="1" ht="13.2" x14ac:dyDescent="0.25"/>
    <row r="7879" customFormat="1" ht="13.2" x14ac:dyDescent="0.25"/>
    <row r="7880" customFormat="1" ht="13.2" x14ac:dyDescent="0.25"/>
    <row r="7881" customFormat="1" ht="13.2" x14ac:dyDescent="0.25"/>
    <row r="7882" customFormat="1" ht="13.2" x14ac:dyDescent="0.25"/>
    <row r="7883" customFormat="1" ht="13.2" x14ac:dyDescent="0.25"/>
    <row r="7884" customFormat="1" ht="13.2" x14ac:dyDescent="0.25"/>
    <row r="7885" customFormat="1" ht="13.2" x14ac:dyDescent="0.25"/>
    <row r="7886" customFormat="1" ht="13.2" x14ac:dyDescent="0.25"/>
    <row r="7887" customFormat="1" ht="13.2" x14ac:dyDescent="0.25"/>
    <row r="7888" customFormat="1" ht="13.2" x14ac:dyDescent="0.25"/>
    <row r="7889" customFormat="1" ht="13.2" x14ac:dyDescent="0.25"/>
    <row r="7890" customFormat="1" ht="13.2" x14ac:dyDescent="0.25"/>
    <row r="7891" customFormat="1" ht="13.2" x14ac:dyDescent="0.25"/>
    <row r="7892" customFormat="1" ht="13.2" x14ac:dyDescent="0.25"/>
    <row r="7893" customFormat="1" ht="13.2" x14ac:dyDescent="0.25"/>
    <row r="7894" customFormat="1" ht="13.2" x14ac:dyDescent="0.25"/>
    <row r="7895" customFormat="1" ht="13.2" x14ac:dyDescent="0.25"/>
    <row r="7896" customFormat="1" ht="13.2" x14ac:dyDescent="0.25"/>
    <row r="7897" customFormat="1" ht="13.2" x14ac:dyDescent="0.25"/>
    <row r="7898" customFormat="1" ht="13.2" x14ac:dyDescent="0.25"/>
    <row r="7899" customFormat="1" ht="13.2" x14ac:dyDescent="0.25"/>
    <row r="7900" customFormat="1" ht="13.2" x14ac:dyDescent="0.25"/>
    <row r="7901" customFormat="1" ht="13.2" x14ac:dyDescent="0.25"/>
    <row r="7902" customFormat="1" ht="13.2" x14ac:dyDescent="0.25"/>
    <row r="7903" customFormat="1" ht="13.2" x14ac:dyDescent="0.25"/>
    <row r="7904" customFormat="1" ht="13.2" x14ac:dyDescent="0.25"/>
    <row r="7905" customFormat="1" ht="13.2" x14ac:dyDescent="0.25"/>
    <row r="7906" customFormat="1" ht="13.2" x14ac:dyDescent="0.25"/>
    <row r="7907" customFormat="1" ht="13.2" x14ac:dyDescent="0.25"/>
    <row r="7908" customFormat="1" ht="13.2" x14ac:dyDescent="0.25"/>
    <row r="7909" customFormat="1" ht="13.2" x14ac:dyDescent="0.25"/>
    <row r="7910" customFormat="1" ht="13.2" x14ac:dyDescent="0.25"/>
    <row r="7911" customFormat="1" ht="13.2" x14ac:dyDescent="0.25"/>
    <row r="7912" customFormat="1" ht="13.2" x14ac:dyDescent="0.25"/>
    <row r="7913" customFormat="1" ht="13.2" x14ac:dyDescent="0.25"/>
    <row r="7914" customFormat="1" ht="13.2" x14ac:dyDescent="0.25"/>
    <row r="7915" customFormat="1" ht="13.2" x14ac:dyDescent="0.25"/>
    <row r="7916" customFormat="1" ht="13.2" x14ac:dyDescent="0.25"/>
    <row r="7917" customFormat="1" ht="13.2" x14ac:dyDescent="0.25"/>
    <row r="7918" customFormat="1" ht="13.2" x14ac:dyDescent="0.25"/>
    <row r="7919" customFormat="1" ht="13.2" x14ac:dyDescent="0.25"/>
    <row r="7920" customFormat="1" ht="13.2" x14ac:dyDescent="0.25"/>
    <row r="7921" customFormat="1" ht="13.2" x14ac:dyDescent="0.25"/>
    <row r="7922" customFormat="1" ht="13.2" x14ac:dyDescent="0.25"/>
    <row r="7923" customFormat="1" ht="13.2" x14ac:dyDescent="0.25"/>
    <row r="7924" customFormat="1" ht="13.2" x14ac:dyDescent="0.25"/>
    <row r="7925" customFormat="1" ht="13.2" x14ac:dyDescent="0.25"/>
    <row r="7926" customFormat="1" ht="13.2" x14ac:dyDescent="0.25"/>
    <row r="7927" customFormat="1" ht="13.2" x14ac:dyDescent="0.25"/>
    <row r="7928" customFormat="1" ht="13.2" x14ac:dyDescent="0.25"/>
    <row r="7929" customFormat="1" ht="13.2" x14ac:dyDescent="0.25"/>
    <row r="7930" customFormat="1" ht="13.2" x14ac:dyDescent="0.25"/>
    <row r="7931" customFormat="1" ht="13.2" x14ac:dyDescent="0.25"/>
    <row r="7932" customFormat="1" ht="13.2" x14ac:dyDescent="0.25"/>
    <row r="7933" customFormat="1" ht="13.2" x14ac:dyDescent="0.25"/>
    <row r="7934" customFormat="1" ht="13.2" x14ac:dyDescent="0.25"/>
    <row r="7935" customFormat="1" ht="13.2" x14ac:dyDescent="0.25"/>
    <row r="7936" customFormat="1" ht="13.2" x14ac:dyDescent="0.25"/>
    <row r="7937" customFormat="1" ht="13.2" x14ac:dyDescent="0.25"/>
    <row r="7938" customFormat="1" ht="13.2" x14ac:dyDescent="0.25"/>
    <row r="7939" customFormat="1" ht="13.2" x14ac:dyDescent="0.25"/>
    <row r="7940" customFormat="1" ht="13.2" x14ac:dyDescent="0.25"/>
    <row r="7941" customFormat="1" ht="13.2" x14ac:dyDescent="0.25"/>
    <row r="7942" customFormat="1" ht="13.2" x14ac:dyDescent="0.25"/>
    <row r="7943" customFormat="1" ht="13.2" x14ac:dyDescent="0.25"/>
    <row r="7944" customFormat="1" ht="13.2" x14ac:dyDescent="0.25"/>
    <row r="7945" customFormat="1" ht="13.2" x14ac:dyDescent="0.25"/>
    <row r="7946" customFormat="1" ht="13.2" x14ac:dyDescent="0.25"/>
    <row r="7947" customFormat="1" ht="13.2" x14ac:dyDescent="0.25"/>
    <row r="7948" customFormat="1" ht="13.2" x14ac:dyDescent="0.25"/>
    <row r="7949" customFormat="1" ht="13.2" x14ac:dyDescent="0.25"/>
    <row r="7950" customFormat="1" ht="13.2" x14ac:dyDescent="0.25"/>
    <row r="7951" customFormat="1" ht="13.2" x14ac:dyDescent="0.25"/>
    <row r="7952" customFormat="1" ht="13.2" x14ac:dyDescent="0.25"/>
    <row r="7953" customFormat="1" ht="13.2" x14ac:dyDescent="0.25"/>
    <row r="7954" customFormat="1" ht="13.2" x14ac:dyDescent="0.25"/>
    <row r="7955" customFormat="1" ht="13.2" x14ac:dyDescent="0.25"/>
    <row r="7956" customFormat="1" ht="13.2" x14ac:dyDescent="0.25"/>
    <row r="7957" customFormat="1" ht="13.2" x14ac:dyDescent="0.25"/>
    <row r="7958" customFormat="1" ht="13.2" x14ac:dyDescent="0.25"/>
    <row r="7959" customFormat="1" ht="13.2" x14ac:dyDescent="0.25"/>
    <row r="7960" customFormat="1" ht="13.2" x14ac:dyDescent="0.25"/>
    <row r="7961" customFormat="1" ht="13.2" x14ac:dyDescent="0.25"/>
    <row r="7962" customFormat="1" ht="13.2" x14ac:dyDescent="0.25"/>
    <row r="7963" customFormat="1" ht="13.2" x14ac:dyDescent="0.25"/>
    <row r="7964" customFormat="1" ht="13.2" x14ac:dyDescent="0.25"/>
    <row r="7965" customFormat="1" ht="13.2" x14ac:dyDescent="0.25"/>
    <row r="7966" customFormat="1" ht="13.2" x14ac:dyDescent="0.25"/>
    <row r="7967" customFormat="1" ht="13.2" x14ac:dyDescent="0.25"/>
    <row r="7968" customFormat="1" ht="13.2" x14ac:dyDescent="0.25"/>
    <row r="7969" customFormat="1" ht="13.2" x14ac:dyDescent="0.25"/>
    <row r="7970" customFormat="1" ht="13.2" x14ac:dyDescent="0.25"/>
    <row r="7971" customFormat="1" ht="13.2" x14ac:dyDescent="0.25"/>
    <row r="7972" customFormat="1" ht="13.2" x14ac:dyDescent="0.25"/>
    <row r="7973" customFormat="1" ht="13.2" x14ac:dyDescent="0.25"/>
    <row r="7974" customFormat="1" ht="13.2" x14ac:dyDescent="0.25"/>
    <row r="7975" customFormat="1" ht="13.2" x14ac:dyDescent="0.25"/>
    <row r="7976" customFormat="1" ht="13.2" x14ac:dyDescent="0.25"/>
    <row r="7977" customFormat="1" ht="13.2" x14ac:dyDescent="0.25"/>
    <row r="7978" customFormat="1" ht="13.2" x14ac:dyDescent="0.25"/>
    <row r="7979" customFormat="1" ht="13.2" x14ac:dyDescent="0.25"/>
    <row r="7980" customFormat="1" ht="13.2" x14ac:dyDescent="0.25"/>
    <row r="7981" customFormat="1" ht="13.2" x14ac:dyDescent="0.25"/>
    <row r="7982" customFormat="1" ht="13.2" x14ac:dyDescent="0.25"/>
    <row r="7983" customFormat="1" ht="13.2" x14ac:dyDescent="0.25"/>
    <row r="7984" customFormat="1" ht="13.2" x14ac:dyDescent="0.25"/>
    <row r="7985" customFormat="1" ht="13.2" x14ac:dyDescent="0.25"/>
    <row r="7986" customFormat="1" ht="13.2" x14ac:dyDescent="0.25"/>
    <row r="7987" customFormat="1" ht="13.2" x14ac:dyDescent="0.25"/>
    <row r="7988" customFormat="1" ht="13.2" x14ac:dyDescent="0.25"/>
    <row r="7989" customFormat="1" ht="13.2" x14ac:dyDescent="0.25"/>
    <row r="7990" customFormat="1" ht="13.2" x14ac:dyDescent="0.25"/>
    <row r="7991" customFormat="1" ht="13.2" x14ac:dyDescent="0.25"/>
    <row r="7992" customFormat="1" ht="13.2" x14ac:dyDescent="0.25"/>
    <row r="7993" customFormat="1" ht="13.2" x14ac:dyDescent="0.25"/>
    <row r="7994" customFormat="1" ht="13.2" x14ac:dyDescent="0.25"/>
    <row r="7995" customFormat="1" ht="13.2" x14ac:dyDescent="0.25"/>
    <row r="7996" customFormat="1" ht="13.2" x14ac:dyDescent="0.25"/>
    <row r="7997" customFormat="1" ht="13.2" x14ac:dyDescent="0.25"/>
    <row r="7998" customFormat="1" ht="13.2" x14ac:dyDescent="0.25"/>
    <row r="7999" customFormat="1" ht="13.2" x14ac:dyDescent="0.25"/>
    <row r="8000" customFormat="1" ht="13.2" x14ac:dyDescent="0.25"/>
    <row r="8001" customFormat="1" ht="13.2" x14ac:dyDescent="0.25"/>
    <row r="8002" customFormat="1" ht="13.2" x14ac:dyDescent="0.25"/>
    <row r="8003" customFormat="1" ht="13.2" x14ac:dyDescent="0.25"/>
    <row r="8004" customFormat="1" ht="13.2" x14ac:dyDescent="0.25"/>
    <row r="8005" customFormat="1" ht="13.2" x14ac:dyDescent="0.25"/>
    <row r="8006" customFormat="1" ht="13.2" x14ac:dyDescent="0.25"/>
    <row r="8007" customFormat="1" ht="13.2" x14ac:dyDescent="0.25"/>
    <row r="8008" customFormat="1" ht="13.2" x14ac:dyDescent="0.25"/>
    <row r="8009" customFormat="1" ht="13.2" x14ac:dyDescent="0.25"/>
    <row r="8010" customFormat="1" ht="13.2" x14ac:dyDescent="0.25"/>
    <row r="8011" customFormat="1" ht="13.2" x14ac:dyDescent="0.25"/>
    <row r="8012" customFormat="1" ht="13.2" x14ac:dyDescent="0.25"/>
    <row r="8013" customFormat="1" ht="13.2" x14ac:dyDescent="0.25"/>
    <row r="8014" customFormat="1" ht="13.2" x14ac:dyDescent="0.25"/>
    <row r="8015" customFormat="1" ht="13.2" x14ac:dyDescent="0.25"/>
    <row r="8016" customFormat="1" ht="13.2" x14ac:dyDescent="0.25"/>
    <row r="8017" customFormat="1" ht="13.2" x14ac:dyDescent="0.25"/>
    <row r="8018" customFormat="1" ht="13.2" x14ac:dyDescent="0.25"/>
    <row r="8019" customFormat="1" ht="13.2" x14ac:dyDescent="0.25"/>
    <row r="8020" customFormat="1" ht="13.2" x14ac:dyDescent="0.25"/>
    <row r="8021" customFormat="1" ht="13.2" x14ac:dyDescent="0.25"/>
    <row r="8022" customFormat="1" ht="13.2" x14ac:dyDescent="0.25"/>
    <row r="8023" customFormat="1" ht="13.2" x14ac:dyDescent="0.25"/>
    <row r="8024" customFormat="1" ht="13.2" x14ac:dyDescent="0.25"/>
    <row r="8025" customFormat="1" ht="13.2" x14ac:dyDescent="0.25"/>
    <row r="8026" customFormat="1" ht="13.2" x14ac:dyDescent="0.25"/>
    <row r="8027" customFormat="1" ht="13.2" x14ac:dyDescent="0.25"/>
    <row r="8028" customFormat="1" ht="13.2" x14ac:dyDescent="0.25"/>
    <row r="8029" customFormat="1" ht="13.2" x14ac:dyDescent="0.25"/>
    <row r="8030" customFormat="1" ht="13.2" x14ac:dyDescent="0.25"/>
    <row r="8031" customFormat="1" ht="13.2" x14ac:dyDescent="0.25"/>
    <row r="8032" customFormat="1" ht="13.2" x14ac:dyDescent="0.25"/>
    <row r="8033" customFormat="1" ht="13.2" x14ac:dyDescent="0.25"/>
    <row r="8034" customFormat="1" ht="13.2" x14ac:dyDescent="0.25"/>
    <row r="8035" customFormat="1" ht="13.2" x14ac:dyDescent="0.25"/>
    <row r="8036" customFormat="1" ht="13.2" x14ac:dyDescent="0.25"/>
    <row r="8037" customFormat="1" ht="13.2" x14ac:dyDescent="0.25"/>
    <row r="8038" customFormat="1" ht="13.2" x14ac:dyDescent="0.25"/>
    <row r="8039" customFormat="1" ht="13.2" x14ac:dyDescent="0.25"/>
    <row r="8040" customFormat="1" ht="13.2" x14ac:dyDescent="0.25"/>
    <row r="8041" customFormat="1" ht="13.2" x14ac:dyDescent="0.25"/>
    <row r="8042" customFormat="1" ht="13.2" x14ac:dyDescent="0.25"/>
    <row r="8043" customFormat="1" ht="13.2" x14ac:dyDescent="0.25"/>
    <row r="8044" customFormat="1" ht="13.2" x14ac:dyDescent="0.25"/>
    <row r="8045" customFormat="1" ht="13.2" x14ac:dyDescent="0.25"/>
    <row r="8046" customFormat="1" ht="13.2" x14ac:dyDescent="0.25"/>
    <row r="8047" customFormat="1" ht="13.2" x14ac:dyDescent="0.25"/>
    <row r="8048" customFormat="1" ht="13.2" x14ac:dyDescent="0.25"/>
    <row r="8049" customFormat="1" ht="13.2" x14ac:dyDescent="0.25"/>
    <row r="8050" customFormat="1" ht="13.2" x14ac:dyDescent="0.25"/>
    <row r="8051" customFormat="1" ht="13.2" x14ac:dyDescent="0.25"/>
    <row r="8052" customFormat="1" ht="13.2" x14ac:dyDescent="0.25"/>
    <row r="8053" customFormat="1" ht="13.2" x14ac:dyDescent="0.25"/>
    <row r="8054" customFormat="1" ht="13.2" x14ac:dyDescent="0.25"/>
    <row r="8055" customFormat="1" ht="13.2" x14ac:dyDescent="0.25"/>
    <row r="8056" customFormat="1" ht="13.2" x14ac:dyDescent="0.25"/>
    <row r="8057" customFormat="1" ht="13.2" x14ac:dyDescent="0.25"/>
    <row r="8058" customFormat="1" ht="13.2" x14ac:dyDescent="0.25"/>
    <row r="8059" customFormat="1" ht="13.2" x14ac:dyDescent="0.25"/>
    <row r="8060" customFormat="1" ht="13.2" x14ac:dyDescent="0.25"/>
    <row r="8061" customFormat="1" ht="13.2" x14ac:dyDescent="0.25"/>
    <row r="8062" customFormat="1" ht="13.2" x14ac:dyDescent="0.25"/>
    <row r="8063" customFormat="1" ht="13.2" x14ac:dyDescent="0.25"/>
    <row r="8064" customFormat="1" ht="13.2" x14ac:dyDescent="0.25"/>
    <row r="8065" customFormat="1" ht="13.2" x14ac:dyDescent="0.25"/>
    <row r="8066" customFormat="1" ht="13.2" x14ac:dyDescent="0.25"/>
    <row r="8067" customFormat="1" ht="13.2" x14ac:dyDescent="0.25"/>
    <row r="8068" customFormat="1" ht="13.2" x14ac:dyDescent="0.25"/>
    <row r="8069" customFormat="1" ht="13.2" x14ac:dyDescent="0.25"/>
    <row r="8070" customFormat="1" ht="13.2" x14ac:dyDescent="0.25"/>
    <row r="8071" customFormat="1" ht="13.2" x14ac:dyDescent="0.25"/>
    <row r="8072" customFormat="1" ht="13.2" x14ac:dyDescent="0.25"/>
    <row r="8073" customFormat="1" ht="13.2" x14ac:dyDescent="0.25"/>
    <row r="8074" customFormat="1" ht="13.2" x14ac:dyDescent="0.25"/>
    <row r="8075" customFormat="1" ht="13.2" x14ac:dyDescent="0.25"/>
    <row r="8076" customFormat="1" ht="13.2" x14ac:dyDescent="0.25"/>
    <row r="8077" customFormat="1" ht="13.2" x14ac:dyDescent="0.25"/>
    <row r="8078" customFormat="1" ht="13.2" x14ac:dyDescent="0.25"/>
    <row r="8079" customFormat="1" ht="13.2" x14ac:dyDescent="0.25"/>
    <row r="8080" customFormat="1" ht="13.2" x14ac:dyDescent="0.25"/>
    <row r="8081" customFormat="1" ht="13.2" x14ac:dyDescent="0.25"/>
    <row r="8082" customFormat="1" ht="13.2" x14ac:dyDescent="0.25"/>
    <row r="8083" customFormat="1" ht="13.2" x14ac:dyDescent="0.25"/>
    <row r="8084" customFormat="1" ht="13.2" x14ac:dyDescent="0.25"/>
    <row r="8085" customFormat="1" ht="13.2" x14ac:dyDescent="0.25"/>
    <row r="8086" customFormat="1" ht="13.2" x14ac:dyDescent="0.25"/>
    <row r="8087" customFormat="1" ht="13.2" x14ac:dyDescent="0.25"/>
    <row r="8088" customFormat="1" ht="13.2" x14ac:dyDescent="0.25"/>
    <row r="8089" customFormat="1" ht="13.2" x14ac:dyDescent="0.25"/>
    <row r="8090" customFormat="1" ht="13.2" x14ac:dyDescent="0.25"/>
    <row r="8091" customFormat="1" ht="13.2" x14ac:dyDescent="0.25"/>
    <row r="8092" customFormat="1" ht="13.2" x14ac:dyDescent="0.25"/>
    <row r="8093" customFormat="1" ht="13.2" x14ac:dyDescent="0.25"/>
    <row r="8094" customFormat="1" ht="13.2" x14ac:dyDescent="0.25"/>
    <row r="8095" customFormat="1" ht="13.2" x14ac:dyDescent="0.25"/>
    <row r="8096" customFormat="1" ht="13.2" x14ac:dyDescent="0.25"/>
    <row r="8097" customFormat="1" ht="13.2" x14ac:dyDescent="0.25"/>
    <row r="8098" customFormat="1" ht="13.2" x14ac:dyDescent="0.25"/>
    <row r="8099" customFormat="1" ht="13.2" x14ac:dyDescent="0.25"/>
    <row r="8100" customFormat="1" ht="13.2" x14ac:dyDescent="0.25"/>
    <row r="8101" customFormat="1" ht="13.2" x14ac:dyDescent="0.25"/>
    <row r="8102" customFormat="1" ht="13.2" x14ac:dyDescent="0.25"/>
    <row r="8103" customFormat="1" ht="13.2" x14ac:dyDescent="0.25"/>
    <row r="8104" customFormat="1" ht="13.2" x14ac:dyDescent="0.25"/>
    <row r="8105" customFormat="1" ht="13.2" x14ac:dyDescent="0.25"/>
    <row r="8106" customFormat="1" ht="13.2" x14ac:dyDescent="0.25"/>
    <row r="8107" customFormat="1" ht="13.2" x14ac:dyDescent="0.25"/>
    <row r="8108" customFormat="1" ht="13.2" x14ac:dyDescent="0.25"/>
    <row r="8109" customFormat="1" ht="13.2" x14ac:dyDescent="0.25"/>
    <row r="8110" customFormat="1" ht="13.2" x14ac:dyDescent="0.25"/>
    <row r="8111" customFormat="1" ht="13.2" x14ac:dyDescent="0.25"/>
    <row r="8112" customFormat="1" ht="13.2" x14ac:dyDescent="0.25"/>
    <row r="8113" customFormat="1" ht="13.2" x14ac:dyDescent="0.25"/>
    <row r="8114" customFormat="1" ht="13.2" x14ac:dyDescent="0.25"/>
    <row r="8115" customFormat="1" ht="13.2" x14ac:dyDescent="0.25"/>
    <row r="8116" customFormat="1" ht="13.2" x14ac:dyDescent="0.25"/>
    <row r="8117" customFormat="1" ht="13.2" x14ac:dyDescent="0.25"/>
    <row r="8118" customFormat="1" ht="13.2" x14ac:dyDescent="0.25"/>
    <row r="8119" customFormat="1" ht="13.2" x14ac:dyDescent="0.25"/>
    <row r="8120" customFormat="1" ht="13.2" x14ac:dyDescent="0.25"/>
    <row r="8121" customFormat="1" ht="13.2" x14ac:dyDescent="0.25"/>
    <row r="8122" customFormat="1" ht="13.2" x14ac:dyDescent="0.25"/>
    <row r="8123" customFormat="1" ht="13.2" x14ac:dyDescent="0.25"/>
    <row r="8124" customFormat="1" ht="13.2" x14ac:dyDescent="0.25"/>
    <row r="8125" customFormat="1" ht="13.2" x14ac:dyDescent="0.25"/>
    <row r="8126" customFormat="1" ht="13.2" x14ac:dyDescent="0.25"/>
    <row r="8127" customFormat="1" ht="13.2" x14ac:dyDescent="0.25"/>
    <row r="8128" customFormat="1" ht="13.2" x14ac:dyDescent="0.25"/>
    <row r="8129" customFormat="1" ht="13.2" x14ac:dyDescent="0.25"/>
    <row r="8130" customFormat="1" ht="13.2" x14ac:dyDescent="0.25"/>
    <row r="8131" customFormat="1" ht="13.2" x14ac:dyDescent="0.25"/>
    <row r="8132" customFormat="1" ht="13.2" x14ac:dyDescent="0.25"/>
    <row r="8133" customFormat="1" ht="13.2" x14ac:dyDescent="0.25"/>
    <row r="8134" customFormat="1" ht="13.2" x14ac:dyDescent="0.25"/>
    <row r="8135" customFormat="1" ht="13.2" x14ac:dyDescent="0.25"/>
    <row r="8136" customFormat="1" ht="13.2" x14ac:dyDescent="0.25"/>
    <row r="8137" customFormat="1" ht="13.2" x14ac:dyDescent="0.25"/>
    <row r="8138" customFormat="1" ht="13.2" x14ac:dyDescent="0.25"/>
    <row r="8139" customFormat="1" ht="13.2" x14ac:dyDescent="0.25"/>
    <row r="8140" customFormat="1" ht="13.2" x14ac:dyDescent="0.25"/>
    <row r="8141" customFormat="1" ht="13.2" x14ac:dyDescent="0.25"/>
    <row r="8142" customFormat="1" ht="13.2" x14ac:dyDescent="0.25"/>
    <row r="8143" customFormat="1" ht="13.2" x14ac:dyDescent="0.25"/>
    <row r="8144" customFormat="1" ht="13.2" x14ac:dyDescent="0.25"/>
    <row r="8145" customFormat="1" ht="13.2" x14ac:dyDescent="0.25"/>
    <row r="8146" customFormat="1" ht="13.2" x14ac:dyDescent="0.25"/>
    <row r="8147" customFormat="1" ht="13.2" x14ac:dyDescent="0.25"/>
    <row r="8148" customFormat="1" ht="13.2" x14ac:dyDescent="0.25"/>
    <row r="8149" customFormat="1" ht="13.2" x14ac:dyDescent="0.25"/>
    <row r="8150" customFormat="1" ht="13.2" x14ac:dyDescent="0.25"/>
    <row r="8151" customFormat="1" ht="13.2" x14ac:dyDescent="0.25"/>
    <row r="8152" customFormat="1" ht="13.2" x14ac:dyDescent="0.25"/>
    <row r="8153" customFormat="1" ht="13.2" x14ac:dyDescent="0.25"/>
    <row r="8154" customFormat="1" ht="13.2" x14ac:dyDescent="0.25"/>
    <row r="8155" customFormat="1" ht="13.2" x14ac:dyDescent="0.25"/>
    <row r="8156" customFormat="1" ht="13.2" x14ac:dyDescent="0.25"/>
    <row r="8157" customFormat="1" ht="13.2" x14ac:dyDescent="0.25"/>
    <row r="8158" customFormat="1" ht="13.2" x14ac:dyDescent="0.25"/>
    <row r="8159" customFormat="1" ht="13.2" x14ac:dyDescent="0.25"/>
    <row r="8160" customFormat="1" ht="13.2" x14ac:dyDescent="0.25"/>
    <row r="8161" customFormat="1" ht="13.2" x14ac:dyDescent="0.25"/>
    <row r="8162" customFormat="1" ht="13.2" x14ac:dyDescent="0.25"/>
    <row r="8163" customFormat="1" ht="13.2" x14ac:dyDescent="0.25"/>
    <row r="8164" customFormat="1" ht="13.2" x14ac:dyDescent="0.25"/>
    <row r="8165" customFormat="1" ht="13.2" x14ac:dyDescent="0.25"/>
    <row r="8166" customFormat="1" ht="13.2" x14ac:dyDescent="0.25"/>
    <row r="8167" customFormat="1" ht="13.2" x14ac:dyDescent="0.25"/>
    <row r="8168" customFormat="1" ht="13.2" x14ac:dyDescent="0.25"/>
    <row r="8169" customFormat="1" ht="13.2" x14ac:dyDescent="0.25"/>
    <row r="8170" customFormat="1" ht="13.2" x14ac:dyDescent="0.25"/>
    <row r="8171" customFormat="1" ht="13.2" x14ac:dyDescent="0.25"/>
    <row r="8172" customFormat="1" ht="13.2" x14ac:dyDescent="0.25"/>
    <row r="8173" customFormat="1" ht="13.2" x14ac:dyDescent="0.25"/>
    <row r="8174" customFormat="1" ht="13.2" x14ac:dyDescent="0.25"/>
    <row r="8175" customFormat="1" ht="13.2" x14ac:dyDescent="0.25"/>
    <row r="8176" customFormat="1" ht="13.2" x14ac:dyDescent="0.25"/>
    <row r="8177" customFormat="1" ht="13.2" x14ac:dyDescent="0.25"/>
    <row r="8178" customFormat="1" ht="13.2" x14ac:dyDescent="0.25"/>
    <row r="8179" customFormat="1" ht="13.2" x14ac:dyDescent="0.25"/>
    <row r="8180" customFormat="1" ht="13.2" x14ac:dyDescent="0.25"/>
    <row r="8181" customFormat="1" ht="13.2" x14ac:dyDescent="0.25"/>
    <row r="8182" customFormat="1" ht="13.2" x14ac:dyDescent="0.25"/>
    <row r="8183" customFormat="1" ht="13.2" x14ac:dyDescent="0.25"/>
    <row r="8184" customFormat="1" ht="13.2" x14ac:dyDescent="0.25"/>
    <row r="8185" customFormat="1" ht="13.2" x14ac:dyDescent="0.25"/>
    <row r="8186" customFormat="1" ht="13.2" x14ac:dyDescent="0.25"/>
    <row r="8187" customFormat="1" ht="13.2" x14ac:dyDescent="0.25"/>
    <row r="8188" customFormat="1" ht="13.2" x14ac:dyDescent="0.25"/>
    <row r="8189" customFormat="1" ht="13.2" x14ac:dyDescent="0.25"/>
    <row r="8190" customFormat="1" ht="13.2" x14ac:dyDescent="0.25"/>
    <row r="8191" customFormat="1" ht="13.2" x14ac:dyDescent="0.25"/>
    <row r="8192" customFormat="1" ht="13.2" x14ac:dyDescent="0.25"/>
    <row r="8193" customFormat="1" ht="13.2" x14ac:dyDescent="0.25"/>
    <row r="8194" customFormat="1" ht="13.2" x14ac:dyDescent="0.25"/>
    <row r="8195" customFormat="1" ht="13.2" x14ac:dyDescent="0.25"/>
    <row r="8196" customFormat="1" ht="13.2" x14ac:dyDescent="0.25"/>
    <row r="8197" customFormat="1" ht="13.2" x14ac:dyDescent="0.25"/>
    <row r="8198" customFormat="1" ht="13.2" x14ac:dyDescent="0.25"/>
    <row r="8199" customFormat="1" ht="13.2" x14ac:dyDescent="0.25"/>
    <row r="8200" customFormat="1" ht="13.2" x14ac:dyDescent="0.25"/>
    <row r="8201" customFormat="1" ht="13.2" x14ac:dyDescent="0.25"/>
    <row r="8202" customFormat="1" ht="13.2" x14ac:dyDescent="0.25"/>
    <row r="8203" customFormat="1" ht="13.2" x14ac:dyDescent="0.25"/>
    <row r="8204" customFormat="1" ht="13.2" x14ac:dyDescent="0.25"/>
    <row r="8205" customFormat="1" ht="13.2" x14ac:dyDescent="0.25"/>
    <row r="8206" customFormat="1" ht="13.2" x14ac:dyDescent="0.25"/>
    <row r="8207" customFormat="1" ht="13.2" x14ac:dyDescent="0.25"/>
    <row r="8208" customFormat="1" ht="13.2" x14ac:dyDescent="0.25"/>
    <row r="8209" customFormat="1" ht="13.2" x14ac:dyDescent="0.25"/>
    <row r="8210" customFormat="1" ht="13.2" x14ac:dyDescent="0.25"/>
    <row r="8211" customFormat="1" ht="13.2" x14ac:dyDescent="0.25"/>
    <row r="8212" customFormat="1" ht="13.2" x14ac:dyDescent="0.25"/>
    <row r="8213" customFormat="1" ht="13.2" x14ac:dyDescent="0.25"/>
    <row r="8214" customFormat="1" ht="13.2" x14ac:dyDescent="0.25"/>
    <row r="8215" customFormat="1" ht="13.2" x14ac:dyDescent="0.25"/>
    <row r="8216" customFormat="1" ht="13.2" x14ac:dyDescent="0.25"/>
    <row r="8217" customFormat="1" ht="13.2" x14ac:dyDescent="0.25"/>
    <row r="8218" customFormat="1" ht="13.2" x14ac:dyDescent="0.25"/>
    <row r="8219" customFormat="1" ht="13.2" x14ac:dyDescent="0.25"/>
    <row r="8220" customFormat="1" ht="13.2" x14ac:dyDescent="0.25"/>
    <row r="8221" customFormat="1" ht="13.2" x14ac:dyDescent="0.25"/>
    <row r="8222" customFormat="1" ht="13.2" x14ac:dyDescent="0.25"/>
    <row r="8223" customFormat="1" ht="13.2" x14ac:dyDescent="0.25"/>
    <row r="8224" customFormat="1" ht="13.2" x14ac:dyDescent="0.25"/>
    <row r="8225" customFormat="1" ht="13.2" x14ac:dyDescent="0.25"/>
    <row r="8226" customFormat="1" ht="13.2" x14ac:dyDescent="0.25"/>
    <row r="8227" customFormat="1" ht="13.2" x14ac:dyDescent="0.25"/>
    <row r="8228" customFormat="1" ht="13.2" x14ac:dyDescent="0.25"/>
    <row r="8229" customFormat="1" ht="13.2" x14ac:dyDescent="0.25"/>
    <row r="8230" customFormat="1" ht="13.2" x14ac:dyDescent="0.25"/>
    <row r="8231" customFormat="1" ht="13.2" x14ac:dyDescent="0.25"/>
    <row r="8232" customFormat="1" ht="13.2" x14ac:dyDescent="0.25"/>
    <row r="8233" customFormat="1" ht="13.2" x14ac:dyDescent="0.25"/>
    <row r="8234" customFormat="1" ht="13.2" x14ac:dyDescent="0.25"/>
    <row r="8235" customFormat="1" ht="13.2" x14ac:dyDescent="0.25"/>
    <row r="8236" customFormat="1" ht="13.2" x14ac:dyDescent="0.25"/>
    <row r="8237" customFormat="1" ht="13.2" x14ac:dyDescent="0.25"/>
    <row r="8238" customFormat="1" ht="13.2" x14ac:dyDescent="0.25"/>
    <row r="8239" customFormat="1" ht="13.2" x14ac:dyDescent="0.25"/>
    <row r="8240" customFormat="1" ht="13.2" x14ac:dyDescent="0.25"/>
    <row r="8241" customFormat="1" ht="13.2" x14ac:dyDescent="0.25"/>
    <row r="8242" customFormat="1" ht="13.2" x14ac:dyDescent="0.25"/>
    <row r="8243" customFormat="1" ht="13.2" x14ac:dyDescent="0.25"/>
    <row r="8244" customFormat="1" ht="13.2" x14ac:dyDescent="0.25"/>
    <row r="8245" customFormat="1" ht="13.2" x14ac:dyDescent="0.25"/>
    <row r="8246" customFormat="1" ht="13.2" x14ac:dyDescent="0.25"/>
    <row r="8247" customFormat="1" ht="13.2" x14ac:dyDescent="0.25"/>
    <row r="8248" customFormat="1" ht="13.2" x14ac:dyDescent="0.25"/>
    <row r="8249" customFormat="1" ht="13.2" x14ac:dyDescent="0.25"/>
    <row r="8250" customFormat="1" ht="13.2" x14ac:dyDescent="0.25"/>
    <row r="8251" customFormat="1" ht="13.2" x14ac:dyDescent="0.25"/>
    <row r="8252" customFormat="1" ht="13.2" x14ac:dyDescent="0.25"/>
    <row r="8253" customFormat="1" ht="13.2" x14ac:dyDescent="0.25"/>
    <row r="8254" customFormat="1" ht="13.2" x14ac:dyDescent="0.25"/>
    <row r="8255" customFormat="1" ht="13.2" x14ac:dyDescent="0.25"/>
    <row r="8256" customFormat="1" ht="13.2" x14ac:dyDescent="0.25"/>
    <row r="8257" customFormat="1" ht="13.2" x14ac:dyDescent="0.25"/>
    <row r="8258" customFormat="1" ht="13.2" x14ac:dyDescent="0.25"/>
    <row r="8259" customFormat="1" ht="13.2" x14ac:dyDescent="0.25"/>
    <row r="8260" customFormat="1" ht="13.2" x14ac:dyDescent="0.25"/>
    <row r="8261" customFormat="1" ht="13.2" x14ac:dyDescent="0.25"/>
    <row r="8262" customFormat="1" ht="13.2" x14ac:dyDescent="0.25"/>
    <row r="8263" customFormat="1" ht="13.2" x14ac:dyDescent="0.25"/>
    <row r="8264" customFormat="1" ht="13.2" x14ac:dyDescent="0.25"/>
    <row r="8265" customFormat="1" ht="13.2" x14ac:dyDescent="0.25"/>
    <row r="8266" customFormat="1" ht="13.2" x14ac:dyDescent="0.25"/>
    <row r="8267" customFormat="1" ht="13.2" x14ac:dyDescent="0.25"/>
    <row r="8268" customFormat="1" ht="13.2" x14ac:dyDescent="0.25"/>
    <row r="8269" customFormat="1" ht="13.2" x14ac:dyDescent="0.25"/>
    <row r="8270" customFormat="1" ht="13.2" x14ac:dyDescent="0.25"/>
    <row r="8271" customFormat="1" ht="13.2" x14ac:dyDescent="0.25"/>
    <row r="8272" customFormat="1" ht="13.2" x14ac:dyDescent="0.25"/>
    <row r="8273" customFormat="1" ht="13.2" x14ac:dyDescent="0.25"/>
    <row r="8274" customFormat="1" ht="13.2" x14ac:dyDescent="0.25"/>
    <row r="8275" customFormat="1" ht="13.2" x14ac:dyDescent="0.25"/>
    <row r="8276" customFormat="1" ht="13.2" x14ac:dyDescent="0.25"/>
    <row r="8277" customFormat="1" ht="13.2" x14ac:dyDescent="0.25"/>
    <row r="8278" customFormat="1" ht="13.2" x14ac:dyDescent="0.25"/>
    <row r="8279" customFormat="1" ht="13.2" x14ac:dyDescent="0.25"/>
    <row r="8280" customFormat="1" ht="13.2" x14ac:dyDescent="0.25"/>
    <row r="8281" customFormat="1" ht="13.2" x14ac:dyDescent="0.25"/>
    <row r="8282" customFormat="1" ht="13.2" x14ac:dyDescent="0.25"/>
    <row r="8283" customFormat="1" ht="13.2" x14ac:dyDescent="0.25"/>
    <row r="8284" customFormat="1" ht="13.2" x14ac:dyDescent="0.25"/>
    <row r="8285" customFormat="1" ht="13.2" x14ac:dyDescent="0.25"/>
    <row r="8286" customFormat="1" ht="13.2" x14ac:dyDescent="0.25"/>
    <row r="8287" customFormat="1" ht="13.2" x14ac:dyDescent="0.25"/>
    <row r="8288" customFormat="1" ht="13.2" x14ac:dyDescent="0.25"/>
    <row r="8289" customFormat="1" ht="13.2" x14ac:dyDescent="0.25"/>
    <row r="8290" customFormat="1" ht="13.2" x14ac:dyDescent="0.25"/>
    <row r="8291" customFormat="1" ht="13.2" x14ac:dyDescent="0.25"/>
    <row r="8292" customFormat="1" ht="13.2" x14ac:dyDescent="0.25"/>
    <row r="8293" customFormat="1" ht="13.2" x14ac:dyDescent="0.25"/>
    <row r="8294" customFormat="1" ht="13.2" x14ac:dyDescent="0.25"/>
    <row r="8295" customFormat="1" ht="13.2" x14ac:dyDescent="0.25"/>
    <row r="8296" customFormat="1" ht="13.2" x14ac:dyDescent="0.25"/>
    <row r="8297" customFormat="1" ht="13.2" x14ac:dyDescent="0.25"/>
    <row r="8298" customFormat="1" ht="13.2" x14ac:dyDescent="0.25"/>
    <row r="8299" customFormat="1" ht="13.2" x14ac:dyDescent="0.25"/>
    <row r="8300" customFormat="1" ht="13.2" x14ac:dyDescent="0.25"/>
    <row r="8301" customFormat="1" ht="13.2" x14ac:dyDescent="0.25"/>
    <row r="8302" customFormat="1" ht="13.2" x14ac:dyDescent="0.25"/>
    <row r="8303" customFormat="1" ht="13.2" x14ac:dyDescent="0.25"/>
    <row r="8304" customFormat="1" ht="13.2" x14ac:dyDescent="0.25"/>
    <row r="8305" customFormat="1" ht="13.2" x14ac:dyDescent="0.25"/>
    <row r="8306" customFormat="1" ht="13.2" x14ac:dyDescent="0.25"/>
    <row r="8307" customFormat="1" ht="13.2" x14ac:dyDescent="0.25"/>
    <row r="8308" customFormat="1" ht="13.2" x14ac:dyDescent="0.25"/>
    <row r="8309" customFormat="1" ht="13.2" x14ac:dyDescent="0.25"/>
    <row r="8310" customFormat="1" ht="13.2" x14ac:dyDescent="0.25"/>
    <row r="8311" customFormat="1" ht="13.2" x14ac:dyDescent="0.25"/>
    <row r="8312" customFormat="1" ht="13.2" x14ac:dyDescent="0.25"/>
    <row r="8313" customFormat="1" ht="13.2" x14ac:dyDescent="0.25"/>
    <row r="8314" customFormat="1" ht="13.2" x14ac:dyDescent="0.25"/>
    <row r="8315" customFormat="1" ht="13.2" x14ac:dyDescent="0.25"/>
    <row r="8316" customFormat="1" ht="13.2" x14ac:dyDescent="0.25"/>
    <row r="8317" customFormat="1" ht="13.2" x14ac:dyDescent="0.25"/>
    <row r="8318" customFormat="1" ht="13.2" x14ac:dyDescent="0.25"/>
    <row r="8319" customFormat="1" ht="13.2" x14ac:dyDescent="0.25"/>
    <row r="8320" customFormat="1" ht="13.2" x14ac:dyDescent="0.25"/>
    <row r="8321" customFormat="1" ht="13.2" x14ac:dyDescent="0.25"/>
    <row r="8322" customFormat="1" ht="13.2" x14ac:dyDescent="0.25"/>
    <row r="8323" customFormat="1" ht="13.2" x14ac:dyDescent="0.25"/>
    <row r="8324" customFormat="1" ht="13.2" x14ac:dyDescent="0.25"/>
    <row r="8325" customFormat="1" ht="13.2" x14ac:dyDescent="0.25"/>
    <row r="8326" customFormat="1" ht="13.2" x14ac:dyDescent="0.25"/>
    <row r="8327" customFormat="1" ht="13.2" x14ac:dyDescent="0.25"/>
    <row r="8328" customFormat="1" ht="13.2" x14ac:dyDescent="0.25"/>
    <row r="8329" customFormat="1" ht="13.2" x14ac:dyDescent="0.25"/>
    <row r="8330" customFormat="1" ht="13.2" x14ac:dyDescent="0.25"/>
    <row r="8331" customFormat="1" ht="13.2" x14ac:dyDescent="0.25"/>
    <row r="8332" customFormat="1" ht="13.2" x14ac:dyDescent="0.25"/>
    <row r="8333" customFormat="1" ht="13.2" x14ac:dyDescent="0.25"/>
    <row r="8334" customFormat="1" ht="13.2" x14ac:dyDescent="0.25"/>
    <row r="8335" customFormat="1" ht="13.2" x14ac:dyDescent="0.25"/>
    <row r="8336" customFormat="1" ht="13.2" x14ac:dyDescent="0.25"/>
    <row r="8337" customFormat="1" ht="13.2" x14ac:dyDescent="0.25"/>
    <row r="8338" customFormat="1" ht="13.2" x14ac:dyDescent="0.25"/>
    <row r="8339" customFormat="1" ht="13.2" x14ac:dyDescent="0.25"/>
    <row r="8340" customFormat="1" ht="13.2" x14ac:dyDescent="0.25"/>
    <row r="8341" customFormat="1" ht="13.2" x14ac:dyDescent="0.25"/>
    <row r="8342" customFormat="1" ht="13.2" x14ac:dyDescent="0.25"/>
    <row r="8343" customFormat="1" ht="13.2" x14ac:dyDescent="0.25"/>
    <row r="8344" customFormat="1" ht="13.2" x14ac:dyDescent="0.25"/>
    <row r="8345" customFormat="1" ht="13.2" x14ac:dyDescent="0.25"/>
    <row r="8346" customFormat="1" ht="13.2" x14ac:dyDescent="0.25"/>
    <row r="8347" customFormat="1" ht="13.2" x14ac:dyDescent="0.25"/>
    <row r="8348" customFormat="1" ht="13.2" x14ac:dyDescent="0.25"/>
    <row r="8349" customFormat="1" ht="13.2" x14ac:dyDescent="0.25"/>
    <row r="8350" customFormat="1" ht="13.2" x14ac:dyDescent="0.25"/>
    <row r="8351" customFormat="1" ht="13.2" x14ac:dyDescent="0.25"/>
    <row r="8352" customFormat="1" ht="13.2" x14ac:dyDescent="0.25"/>
    <row r="8353" customFormat="1" ht="13.2" x14ac:dyDescent="0.25"/>
    <row r="8354" customFormat="1" ht="13.2" x14ac:dyDescent="0.25"/>
    <row r="8355" customFormat="1" ht="13.2" x14ac:dyDescent="0.25"/>
    <row r="8356" customFormat="1" ht="13.2" x14ac:dyDescent="0.25"/>
    <row r="8357" customFormat="1" ht="13.2" x14ac:dyDescent="0.25"/>
    <row r="8358" customFormat="1" ht="13.2" x14ac:dyDescent="0.25"/>
    <row r="8359" customFormat="1" ht="13.2" x14ac:dyDescent="0.25"/>
    <row r="8360" customFormat="1" ht="13.2" x14ac:dyDescent="0.25"/>
    <row r="8361" customFormat="1" ht="13.2" x14ac:dyDescent="0.25"/>
    <row r="8362" customFormat="1" ht="13.2" x14ac:dyDescent="0.25"/>
    <row r="8363" customFormat="1" ht="13.2" x14ac:dyDescent="0.25"/>
    <row r="8364" customFormat="1" ht="13.2" x14ac:dyDescent="0.25"/>
    <row r="8365" customFormat="1" ht="13.2" x14ac:dyDescent="0.25"/>
    <row r="8366" customFormat="1" ht="13.2" x14ac:dyDescent="0.25"/>
    <row r="8367" customFormat="1" ht="13.2" x14ac:dyDescent="0.25"/>
    <row r="8368" customFormat="1" ht="13.2" x14ac:dyDescent="0.25"/>
    <row r="8369" customFormat="1" ht="13.2" x14ac:dyDescent="0.25"/>
    <row r="8370" customFormat="1" ht="13.2" x14ac:dyDescent="0.25"/>
    <row r="8371" customFormat="1" ht="13.2" x14ac:dyDescent="0.25"/>
    <row r="8372" customFormat="1" ht="13.2" x14ac:dyDescent="0.25"/>
    <row r="8373" customFormat="1" ht="13.2" x14ac:dyDescent="0.25"/>
    <row r="8374" customFormat="1" ht="13.2" x14ac:dyDescent="0.25"/>
    <row r="8375" customFormat="1" ht="13.2" x14ac:dyDescent="0.25"/>
    <row r="8376" customFormat="1" ht="13.2" x14ac:dyDescent="0.25"/>
    <row r="8377" customFormat="1" ht="13.2" x14ac:dyDescent="0.25"/>
    <row r="8378" customFormat="1" ht="13.2" x14ac:dyDescent="0.25"/>
    <row r="8379" customFormat="1" ht="13.2" x14ac:dyDescent="0.25"/>
    <row r="8380" customFormat="1" ht="13.2" x14ac:dyDescent="0.25"/>
    <row r="8381" customFormat="1" ht="13.2" x14ac:dyDescent="0.25"/>
    <row r="8382" customFormat="1" ht="13.2" x14ac:dyDescent="0.25"/>
    <row r="8383" customFormat="1" ht="13.2" x14ac:dyDescent="0.25"/>
    <row r="8384" customFormat="1" ht="13.2" x14ac:dyDescent="0.25"/>
    <row r="8385" customFormat="1" ht="13.2" x14ac:dyDescent="0.25"/>
    <row r="8386" customFormat="1" ht="13.2" x14ac:dyDescent="0.25"/>
    <row r="8387" customFormat="1" ht="13.2" x14ac:dyDescent="0.25"/>
    <row r="8388" customFormat="1" ht="13.2" x14ac:dyDescent="0.25"/>
    <row r="8389" customFormat="1" ht="13.2" x14ac:dyDescent="0.25"/>
    <row r="8390" customFormat="1" ht="13.2" x14ac:dyDescent="0.25"/>
    <row r="8391" customFormat="1" ht="13.2" x14ac:dyDescent="0.25"/>
    <row r="8392" customFormat="1" ht="13.2" x14ac:dyDescent="0.25"/>
    <row r="8393" customFormat="1" ht="13.2" x14ac:dyDescent="0.25"/>
    <row r="8394" customFormat="1" ht="13.2" x14ac:dyDescent="0.25"/>
    <row r="8395" customFormat="1" ht="13.2" x14ac:dyDescent="0.25"/>
    <row r="8396" customFormat="1" ht="13.2" x14ac:dyDescent="0.25"/>
    <row r="8397" customFormat="1" ht="13.2" x14ac:dyDescent="0.25"/>
    <row r="8398" customFormat="1" ht="13.2" x14ac:dyDescent="0.25"/>
    <row r="8399" customFormat="1" ht="13.2" x14ac:dyDescent="0.25"/>
    <row r="8400" customFormat="1" ht="13.2" x14ac:dyDescent="0.25"/>
    <row r="8401" customFormat="1" ht="13.2" x14ac:dyDescent="0.25"/>
    <row r="8402" customFormat="1" ht="13.2" x14ac:dyDescent="0.25"/>
    <row r="8403" customFormat="1" ht="13.2" x14ac:dyDescent="0.25"/>
    <row r="8404" customFormat="1" ht="13.2" x14ac:dyDescent="0.25"/>
    <row r="8405" customFormat="1" ht="13.2" x14ac:dyDescent="0.25"/>
    <row r="8406" customFormat="1" ht="13.2" x14ac:dyDescent="0.25"/>
    <row r="8407" customFormat="1" ht="13.2" x14ac:dyDescent="0.25"/>
    <row r="8408" customFormat="1" ht="13.2" x14ac:dyDescent="0.25"/>
    <row r="8409" customFormat="1" ht="13.2" x14ac:dyDescent="0.25"/>
    <row r="8410" customFormat="1" ht="13.2" x14ac:dyDescent="0.25"/>
    <row r="8411" customFormat="1" ht="13.2" x14ac:dyDescent="0.25"/>
    <row r="8412" customFormat="1" ht="13.2" x14ac:dyDescent="0.25"/>
    <row r="8413" customFormat="1" ht="13.2" x14ac:dyDescent="0.25"/>
    <row r="8414" customFormat="1" ht="13.2" x14ac:dyDescent="0.25"/>
    <row r="8415" customFormat="1" ht="13.2" x14ac:dyDescent="0.25"/>
    <row r="8416" customFormat="1" ht="13.2" x14ac:dyDescent="0.25"/>
    <row r="8417" customFormat="1" ht="13.2" x14ac:dyDescent="0.25"/>
    <row r="8418" customFormat="1" ht="13.2" x14ac:dyDescent="0.25"/>
    <row r="8419" customFormat="1" ht="13.2" x14ac:dyDescent="0.25"/>
    <row r="8420" customFormat="1" ht="13.2" x14ac:dyDescent="0.25"/>
    <row r="8421" customFormat="1" ht="13.2" x14ac:dyDescent="0.25"/>
    <row r="8422" customFormat="1" ht="13.2" x14ac:dyDescent="0.25"/>
    <row r="8423" customFormat="1" ht="13.2" x14ac:dyDescent="0.25"/>
    <row r="8424" customFormat="1" ht="13.2" x14ac:dyDescent="0.25"/>
    <row r="8425" customFormat="1" ht="13.2" x14ac:dyDescent="0.25"/>
    <row r="8426" customFormat="1" ht="13.2" x14ac:dyDescent="0.25"/>
    <row r="8427" customFormat="1" ht="13.2" x14ac:dyDescent="0.25"/>
    <row r="8428" customFormat="1" ht="13.2" x14ac:dyDescent="0.25"/>
    <row r="8429" customFormat="1" ht="13.2" x14ac:dyDescent="0.25"/>
    <row r="8430" customFormat="1" ht="13.2" x14ac:dyDescent="0.25"/>
    <row r="8431" customFormat="1" ht="13.2" x14ac:dyDescent="0.25"/>
    <row r="8432" customFormat="1" ht="13.2" x14ac:dyDescent="0.25"/>
    <row r="8433" customFormat="1" ht="13.2" x14ac:dyDescent="0.25"/>
    <row r="8434" customFormat="1" ht="13.2" x14ac:dyDescent="0.25"/>
    <row r="8435" customFormat="1" ht="13.2" x14ac:dyDescent="0.25"/>
    <row r="8436" customFormat="1" ht="13.2" x14ac:dyDescent="0.25"/>
    <row r="8437" customFormat="1" ht="13.2" x14ac:dyDescent="0.25"/>
    <row r="8438" customFormat="1" ht="13.2" x14ac:dyDescent="0.25"/>
    <row r="8439" customFormat="1" ht="13.2" x14ac:dyDescent="0.25"/>
    <row r="8440" customFormat="1" ht="13.2" x14ac:dyDescent="0.25"/>
    <row r="8441" customFormat="1" ht="13.2" x14ac:dyDescent="0.25"/>
    <row r="8442" customFormat="1" ht="13.2" x14ac:dyDescent="0.25"/>
    <row r="8443" customFormat="1" ht="13.2" x14ac:dyDescent="0.25"/>
    <row r="8444" customFormat="1" ht="13.2" x14ac:dyDescent="0.25"/>
    <row r="8445" customFormat="1" ht="13.2" x14ac:dyDescent="0.25"/>
    <row r="8446" customFormat="1" ht="13.2" x14ac:dyDescent="0.25"/>
    <row r="8447" customFormat="1" ht="13.2" x14ac:dyDescent="0.25"/>
    <row r="8448" customFormat="1" ht="13.2" x14ac:dyDescent="0.25"/>
    <row r="8449" customFormat="1" ht="13.2" x14ac:dyDescent="0.25"/>
    <row r="8450" customFormat="1" ht="13.2" x14ac:dyDescent="0.25"/>
    <row r="8451" customFormat="1" ht="13.2" x14ac:dyDescent="0.25"/>
    <row r="8452" customFormat="1" ht="13.2" x14ac:dyDescent="0.25"/>
    <row r="8453" customFormat="1" ht="13.2" x14ac:dyDescent="0.25"/>
    <row r="8454" customFormat="1" ht="13.2" x14ac:dyDescent="0.25"/>
    <row r="8455" customFormat="1" ht="13.2" x14ac:dyDescent="0.25"/>
    <row r="8456" customFormat="1" ht="13.2" x14ac:dyDescent="0.25"/>
    <row r="8457" customFormat="1" ht="13.2" x14ac:dyDescent="0.25"/>
    <row r="8458" customFormat="1" ht="13.2" x14ac:dyDescent="0.25"/>
    <row r="8459" customFormat="1" ht="13.2" x14ac:dyDescent="0.25"/>
    <row r="8460" customFormat="1" ht="13.2" x14ac:dyDescent="0.25"/>
    <row r="8461" customFormat="1" ht="13.2" x14ac:dyDescent="0.25"/>
    <row r="8462" customFormat="1" ht="13.2" x14ac:dyDescent="0.25"/>
    <row r="8463" customFormat="1" ht="13.2" x14ac:dyDescent="0.25"/>
    <row r="8464" customFormat="1" ht="13.2" x14ac:dyDescent="0.25"/>
    <row r="8465" customFormat="1" ht="13.2" x14ac:dyDescent="0.25"/>
    <row r="8466" customFormat="1" ht="13.2" x14ac:dyDescent="0.25"/>
    <row r="8467" customFormat="1" ht="13.2" x14ac:dyDescent="0.25"/>
    <row r="8468" customFormat="1" ht="13.2" x14ac:dyDescent="0.25"/>
    <row r="8469" customFormat="1" ht="13.2" x14ac:dyDescent="0.25"/>
    <row r="8470" customFormat="1" ht="13.2" x14ac:dyDescent="0.25"/>
    <row r="8471" customFormat="1" ht="13.2" x14ac:dyDescent="0.25"/>
    <row r="8472" customFormat="1" ht="13.2" x14ac:dyDescent="0.25"/>
    <row r="8473" customFormat="1" ht="13.2" x14ac:dyDescent="0.25"/>
    <row r="8474" customFormat="1" ht="13.2" x14ac:dyDescent="0.25"/>
    <row r="8475" customFormat="1" ht="13.2" x14ac:dyDescent="0.25"/>
    <row r="8476" customFormat="1" ht="13.2" x14ac:dyDescent="0.25"/>
    <row r="8477" customFormat="1" ht="13.2" x14ac:dyDescent="0.25"/>
    <row r="8478" customFormat="1" ht="13.2" x14ac:dyDescent="0.25"/>
    <row r="8479" customFormat="1" ht="13.2" x14ac:dyDescent="0.25"/>
    <row r="8480" customFormat="1" ht="13.2" x14ac:dyDescent="0.25"/>
    <row r="8481" customFormat="1" ht="13.2" x14ac:dyDescent="0.25"/>
    <row r="8482" customFormat="1" ht="13.2" x14ac:dyDescent="0.25"/>
    <row r="8483" customFormat="1" ht="13.2" x14ac:dyDescent="0.25"/>
    <row r="8484" customFormat="1" ht="13.2" x14ac:dyDescent="0.25"/>
    <row r="8485" customFormat="1" ht="13.2" x14ac:dyDescent="0.25"/>
    <row r="8486" customFormat="1" ht="13.2" x14ac:dyDescent="0.25"/>
    <row r="8487" customFormat="1" ht="13.2" x14ac:dyDescent="0.25"/>
    <row r="8488" customFormat="1" ht="13.2" x14ac:dyDescent="0.25"/>
    <row r="8489" customFormat="1" ht="13.2" x14ac:dyDescent="0.25"/>
    <row r="8490" customFormat="1" ht="13.2" x14ac:dyDescent="0.25"/>
    <row r="8491" customFormat="1" ht="13.2" x14ac:dyDescent="0.25"/>
    <row r="8492" customFormat="1" ht="13.2" x14ac:dyDescent="0.25"/>
    <row r="8493" customFormat="1" ht="13.2" x14ac:dyDescent="0.25"/>
    <row r="8494" customFormat="1" ht="13.2" x14ac:dyDescent="0.25"/>
    <row r="8495" customFormat="1" ht="13.2" x14ac:dyDescent="0.25"/>
    <row r="8496" customFormat="1" ht="13.2" x14ac:dyDescent="0.25"/>
    <row r="8497" customFormat="1" ht="13.2" x14ac:dyDescent="0.25"/>
    <row r="8498" customFormat="1" ht="13.2" x14ac:dyDescent="0.25"/>
    <row r="8499" customFormat="1" ht="13.2" x14ac:dyDescent="0.25"/>
    <row r="8500" customFormat="1" ht="13.2" x14ac:dyDescent="0.25"/>
    <row r="8501" customFormat="1" ht="13.2" x14ac:dyDescent="0.25"/>
    <row r="8502" customFormat="1" ht="13.2" x14ac:dyDescent="0.25"/>
    <row r="8503" customFormat="1" ht="13.2" x14ac:dyDescent="0.25"/>
    <row r="8504" customFormat="1" ht="13.2" x14ac:dyDescent="0.25"/>
    <row r="8505" customFormat="1" ht="13.2" x14ac:dyDescent="0.25"/>
    <row r="8506" customFormat="1" ht="13.2" x14ac:dyDescent="0.25"/>
    <row r="8507" customFormat="1" ht="13.2" x14ac:dyDescent="0.25"/>
    <row r="8508" customFormat="1" ht="13.2" x14ac:dyDescent="0.25"/>
    <row r="8509" customFormat="1" ht="13.2" x14ac:dyDescent="0.25"/>
    <row r="8510" customFormat="1" ht="13.2" x14ac:dyDescent="0.25"/>
    <row r="8511" customFormat="1" ht="13.2" x14ac:dyDescent="0.25"/>
    <row r="8512" customFormat="1" ht="13.2" x14ac:dyDescent="0.25"/>
    <row r="8513" customFormat="1" ht="13.2" x14ac:dyDescent="0.25"/>
    <row r="8514" customFormat="1" ht="13.2" x14ac:dyDescent="0.25"/>
    <row r="8515" customFormat="1" ht="13.2" x14ac:dyDescent="0.25"/>
    <row r="8516" customFormat="1" ht="13.2" x14ac:dyDescent="0.25"/>
    <row r="8517" customFormat="1" ht="13.2" x14ac:dyDescent="0.25"/>
    <row r="8518" customFormat="1" ht="13.2" x14ac:dyDescent="0.25"/>
    <row r="8519" customFormat="1" ht="13.2" x14ac:dyDescent="0.25"/>
    <row r="8520" customFormat="1" ht="13.2" x14ac:dyDescent="0.25"/>
    <row r="8521" customFormat="1" ht="13.2" x14ac:dyDescent="0.25"/>
    <row r="8522" customFormat="1" ht="13.2" x14ac:dyDescent="0.25"/>
    <row r="8523" customFormat="1" ht="13.2" x14ac:dyDescent="0.25"/>
    <row r="8524" customFormat="1" ht="13.2" x14ac:dyDescent="0.25"/>
    <row r="8525" customFormat="1" ht="13.2" x14ac:dyDescent="0.25"/>
    <row r="8526" customFormat="1" ht="13.2" x14ac:dyDescent="0.25"/>
    <row r="8527" customFormat="1" ht="13.2" x14ac:dyDescent="0.25"/>
    <row r="8528" customFormat="1" ht="13.2" x14ac:dyDescent="0.25"/>
    <row r="8529" customFormat="1" ht="13.2" x14ac:dyDescent="0.25"/>
    <row r="8530" customFormat="1" ht="13.2" x14ac:dyDescent="0.25"/>
    <row r="8531" customFormat="1" ht="13.2" x14ac:dyDescent="0.25"/>
    <row r="8532" customFormat="1" ht="13.2" x14ac:dyDescent="0.25"/>
    <row r="8533" customFormat="1" ht="13.2" x14ac:dyDescent="0.25"/>
    <row r="8534" customFormat="1" ht="13.2" x14ac:dyDescent="0.25"/>
    <row r="8535" customFormat="1" ht="13.2" x14ac:dyDescent="0.25"/>
    <row r="8536" customFormat="1" ht="13.2" x14ac:dyDescent="0.25"/>
    <row r="8537" customFormat="1" ht="13.2" x14ac:dyDescent="0.25"/>
    <row r="8538" customFormat="1" ht="13.2" x14ac:dyDescent="0.25"/>
    <row r="8539" customFormat="1" ht="13.2" x14ac:dyDescent="0.25"/>
    <row r="8540" customFormat="1" ht="13.2" x14ac:dyDescent="0.25"/>
    <row r="8541" customFormat="1" ht="13.2" x14ac:dyDescent="0.25"/>
    <row r="8542" customFormat="1" ht="13.2" x14ac:dyDescent="0.25"/>
    <row r="8543" customFormat="1" ht="13.2" x14ac:dyDescent="0.25"/>
    <row r="8544" customFormat="1" ht="13.2" x14ac:dyDescent="0.25"/>
    <row r="8545" customFormat="1" ht="13.2" x14ac:dyDescent="0.25"/>
    <row r="8546" customFormat="1" ht="13.2" x14ac:dyDescent="0.25"/>
    <row r="8547" customFormat="1" ht="13.2" x14ac:dyDescent="0.25"/>
    <row r="8548" customFormat="1" ht="13.2" x14ac:dyDescent="0.25"/>
    <row r="8549" customFormat="1" ht="13.2" x14ac:dyDescent="0.25"/>
    <row r="8550" customFormat="1" ht="13.2" x14ac:dyDescent="0.25"/>
    <row r="8551" customFormat="1" ht="13.2" x14ac:dyDescent="0.25"/>
    <row r="8552" customFormat="1" ht="13.2" x14ac:dyDescent="0.25"/>
    <row r="8553" customFormat="1" ht="13.2" x14ac:dyDescent="0.25"/>
    <row r="8554" customFormat="1" ht="13.2" x14ac:dyDescent="0.25"/>
    <row r="8555" customFormat="1" ht="13.2" x14ac:dyDescent="0.25"/>
    <row r="8556" customFormat="1" ht="13.2" x14ac:dyDescent="0.25"/>
    <row r="8557" customFormat="1" ht="13.2" x14ac:dyDescent="0.25"/>
    <row r="8558" customFormat="1" ht="13.2" x14ac:dyDescent="0.25"/>
    <row r="8559" customFormat="1" ht="13.2" x14ac:dyDescent="0.25"/>
    <row r="8560" customFormat="1" ht="13.2" x14ac:dyDescent="0.25"/>
    <row r="8561" customFormat="1" ht="13.2" x14ac:dyDescent="0.25"/>
    <row r="8562" customFormat="1" ht="13.2" x14ac:dyDescent="0.25"/>
    <row r="8563" customFormat="1" ht="13.2" x14ac:dyDescent="0.25"/>
    <row r="8564" customFormat="1" ht="13.2" x14ac:dyDescent="0.25"/>
    <row r="8565" customFormat="1" ht="13.2" x14ac:dyDescent="0.25"/>
    <row r="8566" customFormat="1" ht="13.2" x14ac:dyDescent="0.25"/>
    <row r="8567" customFormat="1" ht="13.2" x14ac:dyDescent="0.25"/>
    <row r="8568" customFormat="1" ht="13.2" x14ac:dyDescent="0.25"/>
    <row r="8569" customFormat="1" ht="13.2" x14ac:dyDescent="0.25"/>
    <row r="8570" customFormat="1" ht="13.2" x14ac:dyDescent="0.25"/>
    <row r="8571" customFormat="1" ht="13.2" x14ac:dyDescent="0.25"/>
    <row r="8572" customFormat="1" ht="13.2" x14ac:dyDescent="0.25"/>
    <row r="8573" customFormat="1" ht="13.2" x14ac:dyDescent="0.25"/>
    <row r="8574" customFormat="1" ht="13.2" x14ac:dyDescent="0.25"/>
    <row r="8575" customFormat="1" ht="13.2" x14ac:dyDescent="0.25"/>
    <row r="8576" customFormat="1" ht="13.2" x14ac:dyDescent="0.25"/>
    <row r="8577" customFormat="1" ht="13.2" x14ac:dyDescent="0.25"/>
    <row r="8578" customFormat="1" ht="13.2" x14ac:dyDescent="0.25"/>
    <row r="8579" customFormat="1" ht="13.2" x14ac:dyDescent="0.25"/>
    <row r="8580" customFormat="1" ht="13.2" x14ac:dyDescent="0.25"/>
    <row r="8581" customFormat="1" ht="13.2" x14ac:dyDescent="0.25"/>
    <row r="8582" customFormat="1" ht="13.2" x14ac:dyDescent="0.25"/>
    <row r="8583" customFormat="1" ht="13.2" x14ac:dyDescent="0.25"/>
    <row r="8584" customFormat="1" ht="13.2" x14ac:dyDescent="0.25"/>
    <row r="8585" customFormat="1" ht="13.2" x14ac:dyDescent="0.25"/>
    <row r="8586" customFormat="1" ht="13.2" x14ac:dyDescent="0.25"/>
    <row r="8587" customFormat="1" ht="13.2" x14ac:dyDescent="0.25"/>
    <row r="8588" customFormat="1" ht="13.2" x14ac:dyDescent="0.25"/>
    <row r="8589" customFormat="1" ht="13.2" x14ac:dyDescent="0.25"/>
    <row r="8590" customFormat="1" ht="13.2" x14ac:dyDescent="0.25"/>
    <row r="8591" customFormat="1" ht="13.2" x14ac:dyDescent="0.25"/>
    <row r="8592" customFormat="1" ht="13.2" x14ac:dyDescent="0.25"/>
    <row r="8593" customFormat="1" ht="13.2" x14ac:dyDescent="0.25"/>
    <row r="8594" customFormat="1" ht="13.2" x14ac:dyDescent="0.25"/>
    <row r="8595" customFormat="1" ht="13.2" x14ac:dyDescent="0.25"/>
    <row r="8596" customFormat="1" ht="13.2" x14ac:dyDescent="0.25"/>
    <row r="8597" customFormat="1" ht="13.2" x14ac:dyDescent="0.25"/>
    <row r="8598" customFormat="1" ht="13.2" x14ac:dyDescent="0.25"/>
    <row r="8599" customFormat="1" ht="13.2" x14ac:dyDescent="0.25"/>
    <row r="8600" customFormat="1" ht="13.2" x14ac:dyDescent="0.25"/>
    <row r="8601" customFormat="1" ht="13.2" x14ac:dyDescent="0.25"/>
    <row r="8602" customFormat="1" ht="13.2" x14ac:dyDescent="0.25"/>
    <row r="8603" customFormat="1" ht="13.2" x14ac:dyDescent="0.25"/>
    <row r="8604" customFormat="1" ht="13.2" x14ac:dyDescent="0.25"/>
    <row r="8605" customFormat="1" ht="13.2" x14ac:dyDescent="0.25"/>
    <row r="8606" customFormat="1" ht="13.2" x14ac:dyDescent="0.25"/>
    <row r="8607" customFormat="1" ht="13.2" x14ac:dyDescent="0.25"/>
    <row r="8608" customFormat="1" ht="13.2" x14ac:dyDescent="0.25"/>
    <row r="8609" customFormat="1" ht="13.2" x14ac:dyDescent="0.25"/>
    <row r="8610" customFormat="1" ht="13.2" x14ac:dyDescent="0.25"/>
    <row r="8611" customFormat="1" ht="13.2" x14ac:dyDescent="0.25"/>
    <row r="8612" customFormat="1" ht="13.2" x14ac:dyDescent="0.25"/>
    <row r="8613" customFormat="1" ht="13.2" x14ac:dyDescent="0.25"/>
    <row r="8614" customFormat="1" ht="13.2" x14ac:dyDescent="0.25"/>
    <row r="8615" customFormat="1" ht="13.2" x14ac:dyDescent="0.25"/>
    <row r="8616" customFormat="1" ht="13.2" x14ac:dyDescent="0.25"/>
    <row r="8617" customFormat="1" ht="13.2" x14ac:dyDescent="0.25"/>
    <row r="8618" customFormat="1" ht="13.2" x14ac:dyDescent="0.25"/>
    <row r="8619" customFormat="1" ht="13.2" x14ac:dyDescent="0.25"/>
    <row r="8620" customFormat="1" ht="13.2" x14ac:dyDescent="0.25"/>
    <row r="8621" customFormat="1" ht="13.2" x14ac:dyDescent="0.25"/>
    <row r="8622" customFormat="1" ht="13.2" x14ac:dyDescent="0.25"/>
    <row r="8623" customFormat="1" ht="13.2" x14ac:dyDescent="0.25"/>
    <row r="8624" customFormat="1" ht="13.2" x14ac:dyDescent="0.25"/>
    <row r="8625" customFormat="1" ht="13.2" x14ac:dyDescent="0.25"/>
    <row r="8626" customFormat="1" ht="13.2" x14ac:dyDescent="0.25"/>
    <row r="8627" customFormat="1" ht="13.2" x14ac:dyDescent="0.25"/>
    <row r="8628" customFormat="1" ht="13.2" x14ac:dyDescent="0.25"/>
    <row r="8629" customFormat="1" ht="13.2" x14ac:dyDescent="0.25"/>
    <row r="8630" customFormat="1" ht="13.2" x14ac:dyDescent="0.25"/>
    <row r="8631" customFormat="1" ht="13.2" x14ac:dyDescent="0.25"/>
    <row r="8632" customFormat="1" ht="13.2" x14ac:dyDescent="0.25"/>
    <row r="8633" customFormat="1" ht="13.2" x14ac:dyDescent="0.25"/>
    <row r="8634" customFormat="1" ht="13.2" x14ac:dyDescent="0.25"/>
    <row r="8635" customFormat="1" ht="13.2" x14ac:dyDescent="0.25"/>
    <row r="8636" customFormat="1" ht="13.2" x14ac:dyDescent="0.25"/>
    <row r="8637" customFormat="1" ht="13.2" x14ac:dyDescent="0.25"/>
    <row r="8638" customFormat="1" ht="13.2" x14ac:dyDescent="0.25"/>
    <row r="8639" customFormat="1" ht="13.2" x14ac:dyDescent="0.25"/>
    <row r="8640" customFormat="1" ht="13.2" x14ac:dyDescent="0.25"/>
    <row r="8641" customFormat="1" ht="13.2" x14ac:dyDescent="0.25"/>
    <row r="8642" customFormat="1" ht="13.2" x14ac:dyDescent="0.25"/>
    <row r="8643" customFormat="1" ht="13.2" x14ac:dyDescent="0.25"/>
    <row r="8644" customFormat="1" ht="13.2" x14ac:dyDescent="0.25"/>
    <row r="8645" customFormat="1" ht="13.2" x14ac:dyDescent="0.25"/>
    <row r="8646" customFormat="1" ht="13.2" x14ac:dyDescent="0.25"/>
    <row r="8647" customFormat="1" ht="13.2" x14ac:dyDescent="0.25"/>
    <row r="8648" customFormat="1" ht="13.2" x14ac:dyDescent="0.25"/>
    <row r="8649" customFormat="1" ht="13.2" x14ac:dyDescent="0.25"/>
    <row r="8650" customFormat="1" ht="13.2" x14ac:dyDescent="0.25"/>
    <row r="8651" customFormat="1" ht="13.2" x14ac:dyDescent="0.25"/>
    <row r="8652" customFormat="1" ht="13.2" x14ac:dyDescent="0.25"/>
    <row r="8653" customFormat="1" ht="13.2" x14ac:dyDescent="0.25"/>
    <row r="8654" customFormat="1" ht="13.2" x14ac:dyDescent="0.25"/>
    <row r="8655" customFormat="1" ht="13.2" x14ac:dyDescent="0.25"/>
    <row r="8656" customFormat="1" ht="13.2" x14ac:dyDescent="0.25"/>
    <row r="8657" customFormat="1" ht="13.2" x14ac:dyDescent="0.25"/>
    <row r="8658" customFormat="1" ht="13.2" x14ac:dyDescent="0.25"/>
    <row r="8659" customFormat="1" ht="13.2" x14ac:dyDescent="0.25"/>
    <row r="8660" customFormat="1" ht="13.2" x14ac:dyDescent="0.25"/>
    <row r="8661" customFormat="1" ht="13.2" x14ac:dyDescent="0.25"/>
    <row r="8662" customFormat="1" ht="13.2" x14ac:dyDescent="0.25"/>
    <row r="8663" customFormat="1" ht="13.2" x14ac:dyDescent="0.25"/>
    <row r="8664" customFormat="1" ht="13.2" x14ac:dyDescent="0.25"/>
    <row r="8665" customFormat="1" ht="13.2" x14ac:dyDescent="0.25"/>
    <row r="8666" customFormat="1" ht="13.2" x14ac:dyDescent="0.25"/>
    <row r="8667" customFormat="1" ht="13.2" x14ac:dyDescent="0.25"/>
    <row r="8668" customFormat="1" ht="13.2" x14ac:dyDescent="0.25"/>
    <row r="8669" customFormat="1" ht="13.2" x14ac:dyDescent="0.25"/>
    <row r="8670" customFormat="1" ht="13.2" x14ac:dyDescent="0.25"/>
    <row r="8671" customFormat="1" ht="13.2" x14ac:dyDescent="0.25"/>
    <row r="8672" customFormat="1" ht="13.2" x14ac:dyDescent="0.25"/>
    <row r="8673" customFormat="1" ht="13.2" x14ac:dyDescent="0.25"/>
    <row r="8674" customFormat="1" ht="13.2" x14ac:dyDescent="0.25"/>
    <row r="8675" customFormat="1" ht="13.2" x14ac:dyDescent="0.25"/>
    <row r="8676" customFormat="1" ht="13.2" x14ac:dyDescent="0.25"/>
    <row r="8677" customFormat="1" ht="13.2" x14ac:dyDescent="0.25"/>
    <row r="8678" customFormat="1" ht="13.2" x14ac:dyDescent="0.25"/>
    <row r="8679" customFormat="1" ht="13.2" x14ac:dyDescent="0.25"/>
    <row r="8680" customFormat="1" ht="13.2" x14ac:dyDescent="0.25"/>
    <row r="8681" customFormat="1" ht="13.2" x14ac:dyDescent="0.25"/>
    <row r="8682" customFormat="1" ht="13.2" x14ac:dyDescent="0.25"/>
    <row r="8683" customFormat="1" ht="13.2" x14ac:dyDescent="0.25"/>
    <row r="8684" customFormat="1" ht="13.2" x14ac:dyDescent="0.25"/>
    <row r="8685" customFormat="1" ht="13.2" x14ac:dyDescent="0.25"/>
    <row r="8686" customFormat="1" ht="13.2" x14ac:dyDescent="0.25"/>
    <row r="8687" customFormat="1" ht="13.2" x14ac:dyDescent="0.25"/>
    <row r="8688" customFormat="1" ht="13.2" x14ac:dyDescent="0.25"/>
    <row r="8689" customFormat="1" ht="13.2" x14ac:dyDescent="0.25"/>
    <row r="8690" customFormat="1" ht="13.2" x14ac:dyDescent="0.25"/>
    <row r="8691" customFormat="1" ht="13.2" x14ac:dyDescent="0.25"/>
    <row r="8692" customFormat="1" ht="13.2" x14ac:dyDescent="0.25"/>
    <row r="8693" customFormat="1" ht="13.2" x14ac:dyDescent="0.25"/>
    <row r="8694" customFormat="1" ht="13.2" x14ac:dyDescent="0.25"/>
    <row r="8695" customFormat="1" ht="13.2" x14ac:dyDescent="0.25"/>
    <row r="8696" customFormat="1" ht="13.2" x14ac:dyDescent="0.25"/>
    <row r="8697" customFormat="1" ht="13.2" x14ac:dyDescent="0.25"/>
    <row r="8698" customFormat="1" ht="13.2" x14ac:dyDescent="0.25"/>
    <row r="8699" customFormat="1" ht="13.2" x14ac:dyDescent="0.25"/>
    <row r="8700" customFormat="1" ht="13.2" x14ac:dyDescent="0.25"/>
    <row r="8701" customFormat="1" ht="13.2" x14ac:dyDescent="0.25"/>
    <row r="8702" customFormat="1" ht="13.2" x14ac:dyDescent="0.25"/>
    <row r="8703" customFormat="1" ht="13.2" x14ac:dyDescent="0.25"/>
    <row r="8704" customFormat="1" ht="13.2" x14ac:dyDescent="0.25"/>
    <row r="8705" customFormat="1" ht="13.2" x14ac:dyDescent="0.25"/>
    <row r="8706" customFormat="1" ht="13.2" x14ac:dyDescent="0.25"/>
    <row r="8707" customFormat="1" ht="13.2" x14ac:dyDescent="0.25"/>
    <row r="8708" customFormat="1" ht="13.2" x14ac:dyDescent="0.25"/>
    <row r="8709" customFormat="1" ht="13.2" x14ac:dyDescent="0.25"/>
    <row r="8710" customFormat="1" ht="13.2" x14ac:dyDescent="0.25"/>
    <row r="8711" customFormat="1" ht="13.2" x14ac:dyDescent="0.25"/>
    <row r="8712" customFormat="1" ht="13.2" x14ac:dyDescent="0.25"/>
    <row r="8713" customFormat="1" ht="13.2" x14ac:dyDescent="0.25"/>
    <row r="8714" customFormat="1" ht="13.2" x14ac:dyDescent="0.25"/>
    <row r="8715" customFormat="1" ht="13.2" x14ac:dyDescent="0.25"/>
    <row r="8716" customFormat="1" ht="13.2" x14ac:dyDescent="0.25"/>
    <row r="8717" customFormat="1" ht="13.2" x14ac:dyDescent="0.25"/>
    <row r="8718" customFormat="1" ht="13.2" x14ac:dyDescent="0.25"/>
    <row r="8719" customFormat="1" ht="13.2" x14ac:dyDescent="0.25"/>
    <row r="8720" customFormat="1" ht="13.2" x14ac:dyDescent="0.25"/>
    <row r="8721" customFormat="1" ht="13.2" x14ac:dyDescent="0.25"/>
    <row r="8722" customFormat="1" ht="13.2" x14ac:dyDescent="0.25"/>
    <row r="8723" customFormat="1" ht="13.2" x14ac:dyDescent="0.25"/>
    <row r="8724" customFormat="1" ht="13.2" x14ac:dyDescent="0.25"/>
    <row r="8725" customFormat="1" ht="13.2" x14ac:dyDescent="0.25"/>
    <row r="8726" customFormat="1" ht="13.2" x14ac:dyDescent="0.25"/>
    <row r="8727" customFormat="1" ht="13.2" x14ac:dyDescent="0.25"/>
    <row r="8728" customFormat="1" ht="13.2" x14ac:dyDescent="0.25"/>
    <row r="8729" customFormat="1" ht="13.2" x14ac:dyDescent="0.25"/>
    <row r="8730" customFormat="1" ht="13.2" x14ac:dyDescent="0.25"/>
    <row r="8731" customFormat="1" ht="13.2" x14ac:dyDescent="0.25"/>
    <row r="8732" customFormat="1" ht="13.2" x14ac:dyDescent="0.25"/>
    <row r="8733" customFormat="1" ht="13.2" x14ac:dyDescent="0.25"/>
    <row r="8734" customFormat="1" ht="13.2" x14ac:dyDescent="0.25"/>
    <row r="8735" customFormat="1" ht="13.2" x14ac:dyDescent="0.25"/>
    <row r="8736" customFormat="1" ht="13.2" x14ac:dyDescent="0.25"/>
    <row r="8737" customFormat="1" ht="13.2" x14ac:dyDescent="0.25"/>
    <row r="8738" customFormat="1" ht="13.2" x14ac:dyDescent="0.25"/>
    <row r="8739" customFormat="1" ht="13.2" x14ac:dyDescent="0.25"/>
    <row r="8740" customFormat="1" ht="13.2" x14ac:dyDescent="0.25"/>
    <row r="8741" customFormat="1" ht="13.2" x14ac:dyDescent="0.25"/>
    <row r="8742" customFormat="1" ht="13.2" x14ac:dyDescent="0.25"/>
    <row r="8743" customFormat="1" ht="13.2" x14ac:dyDescent="0.25"/>
    <row r="8744" customFormat="1" ht="13.2" x14ac:dyDescent="0.25"/>
    <row r="8745" customFormat="1" ht="13.2" x14ac:dyDescent="0.25"/>
    <row r="8746" customFormat="1" ht="13.2" x14ac:dyDescent="0.25"/>
    <row r="8747" customFormat="1" ht="13.2" x14ac:dyDescent="0.25"/>
    <row r="8748" customFormat="1" ht="13.2" x14ac:dyDescent="0.25"/>
    <row r="8749" customFormat="1" ht="13.2" x14ac:dyDescent="0.25"/>
    <row r="8750" customFormat="1" ht="13.2" x14ac:dyDescent="0.25"/>
    <row r="8751" customFormat="1" ht="13.2" x14ac:dyDescent="0.25"/>
    <row r="8752" customFormat="1" ht="13.2" x14ac:dyDescent="0.25"/>
    <row r="8753" customFormat="1" ht="13.2" x14ac:dyDescent="0.25"/>
    <row r="8754" customFormat="1" ht="13.2" x14ac:dyDescent="0.25"/>
    <row r="8755" customFormat="1" ht="13.2" x14ac:dyDescent="0.25"/>
    <row r="8756" customFormat="1" ht="13.2" x14ac:dyDescent="0.25"/>
    <row r="8757" customFormat="1" ht="13.2" x14ac:dyDescent="0.25"/>
    <row r="8758" customFormat="1" ht="13.2" x14ac:dyDescent="0.25"/>
    <row r="8759" customFormat="1" ht="13.2" x14ac:dyDescent="0.25"/>
    <row r="8760" customFormat="1" ht="13.2" x14ac:dyDescent="0.25"/>
    <row r="8761" customFormat="1" ht="13.2" x14ac:dyDescent="0.25"/>
    <row r="8762" customFormat="1" ht="13.2" x14ac:dyDescent="0.25"/>
    <row r="8763" customFormat="1" ht="13.2" x14ac:dyDescent="0.25"/>
    <row r="8764" customFormat="1" ht="13.2" x14ac:dyDescent="0.25"/>
    <row r="8765" customFormat="1" ht="13.2" x14ac:dyDescent="0.25"/>
    <row r="8766" customFormat="1" ht="13.2" x14ac:dyDescent="0.25"/>
    <row r="8767" customFormat="1" ht="13.2" x14ac:dyDescent="0.25"/>
    <row r="8768" customFormat="1" ht="13.2" x14ac:dyDescent="0.25"/>
    <row r="8769" customFormat="1" ht="13.2" x14ac:dyDescent="0.25"/>
    <row r="8770" customFormat="1" ht="13.2" x14ac:dyDescent="0.25"/>
    <row r="8771" customFormat="1" ht="13.2" x14ac:dyDescent="0.25"/>
    <row r="8772" customFormat="1" ht="13.2" x14ac:dyDescent="0.25"/>
    <row r="8773" customFormat="1" ht="13.2" x14ac:dyDescent="0.25"/>
    <row r="8774" customFormat="1" ht="13.2" x14ac:dyDescent="0.25"/>
    <row r="8775" customFormat="1" ht="13.2" x14ac:dyDescent="0.25"/>
    <row r="8776" customFormat="1" ht="13.2" x14ac:dyDescent="0.25"/>
    <row r="8777" customFormat="1" ht="13.2" x14ac:dyDescent="0.25"/>
    <row r="8778" customFormat="1" ht="13.2" x14ac:dyDescent="0.25"/>
    <row r="8779" customFormat="1" ht="13.2" x14ac:dyDescent="0.25"/>
    <row r="8780" customFormat="1" ht="13.2" x14ac:dyDescent="0.25"/>
    <row r="8781" customFormat="1" ht="13.2" x14ac:dyDescent="0.25"/>
    <row r="8782" customFormat="1" ht="13.2" x14ac:dyDescent="0.25"/>
    <row r="8783" customFormat="1" ht="13.2" x14ac:dyDescent="0.25"/>
    <row r="8784" customFormat="1" ht="13.2" x14ac:dyDescent="0.25"/>
    <row r="8785" customFormat="1" ht="13.2" x14ac:dyDescent="0.25"/>
    <row r="8786" customFormat="1" ht="13.2" x14ac:dyDescent="0.25"/>
    <row r="8787" customFormat="1" ht="13.2" x14ac:dyDescent="0.25"/>
    <row r="8788" customFormat="1" ht="13.2" x14ac:dyDescent="0.25"/>
    <row r="8789" customFormat="1" ht="13.2" x14ac:dyDescent="0.25"/>
    <row r="8790" customFormat="1" ht="13.2" x14ac:dyDescent="0.25"/>
    <row r="8791" customFormat="1" ht="13.2" x14ac:dyDescent="0.25"/>
    <row r="8792" customFormat="1" ht="13.2" x14ac:dyDescent="0.25"/>
    <row r="8793" customFormat="1" ht="13.2" x14ac:dyDescent="0.25"/>
    <row r="8794" customFormat="1" ht="13.2" x14ac:dyDescent="0.25"/>
    <row r="8795" customFormat="1" ht="13.2" x14ac:dyDescent="0.25"/>
    <row r="8796" customFormat="1" ht="13.2" x14ac:dyDescent="0.25"/>
    <row r="8797" customFormat="1" ht="13.2" x14ac:dyDescent="0.25"/>
    <row r="8798" customFormat="1" ht="13.2" x14ac:dyDescent="0.25"/>
    <row r="8799" customFormat="1" ht="13.2" x14ac:dyDescent="0.25"/>
    <row r="8800" customFormat="1" ht="13.2" x14ac:dyDescent="0.25"/>
    <row r="8801" customFormat="1" ht="13.2" x14ac:dyDescent="0.25"/>
    <row r="8802" customFormat="1" ht="13.2" x14ac:dyDescent="0.25"/>
    <row r="8803" customFormat="1" ht="13.2" x14ac:dyDescent="0.25"/>
    <row r="8804" customFormat="1" ht="13.2" x14ac:dyDescent="0.25"/>
    <row r="8805" customFormat="1" ht="13.2" x14ac:dyDescent="0.25"/>
    <row r="8806" customFormat="1" ht="13.2" x14ac:dyDescent="0.25"/>
    <row r="8807" customFormat="1" ht="13.2" x14ac:dyDescent="0.25"/>
    <row r="8808" customFormat="1" ht="13.2" x14ac:dyDescent="0.25"/>
    <row r="8809" customFormat="1" ht="13.2" x14ac:dyDescent="0.25"/>
    <row r="8810" customFormat="1" ht="13.2" x14ac:dyDescent="0.25"/>
    <row r="8811" customFormat="1" ht="13.2" x14ac:dyDescent="0.25"/>
    <row r="8812" customFormat="1" ht="13.2" x14ac:dyDescent="0.25"/>
    <row r="8813" customFormat="1" ht="13.2" x14ac:dyDescent="0.25"/>
    <row r="8814" customFormat="1" ht="13.2" x14ac:dyDescent="0.25"/>
    <row r="8815" customFormat="1" ht="13.2" x14ac:dyDescent="0.25"/>
    <row r="8816" customFormat="1" ht="13.2" x14ac:dyDescent="0.25"/>
    <row r="8817" customFormat="1" ht="13.2" x14ac:dyDescent="0.25"/>
    <row r="8818" customFormat="1" ht="13.2" x14ac:dyDescent="0.25"/>
    <row r="8819" customFormat="1" ht="13.2" x14ac:dyDescent="0.25"/>
    <row r="8820" customFormat="1" ht="13.2" x14ac:dyDescent="0.25"/>
    <row r="8821" customFormat="1" ht="13.2" x14ac:dyDescent="0.25"/>
    <row r="8822" customFormat="1" ht="13.2" x14ac:dyDescent="0.25"/>
    <row r="8823" customFormat="1" ht="13.2" x14ac:dyDescent="0.25"/>
    <row r="8824" customFormat="1" ht="13.2" x14ac:dyDescent="0.25"/>
    <row r="8825" customFormat="1" ht="13.2" x14ac:dyDescent="0.25"/>
    <row r="8826" customFormat="1" ht="13.2" x14ac:dyDescent="0.25"/>
    <row r="8827" customFormat="1" ht="13.2" x14ac:dyDescent="0.25"/>
    <row r="8828" customFormat="1" ht="13.2" x14ac:dyDescent="0.25"/>
    <row r="8829" customFormat="1" ht="13.2" x14ac:dyDescent="0.25"/>
    <row r="8830" customFormat="1" ht="13.2" x14ac:dyDescent="0.25"/>
    <row r="8831" customFormat="1" ht="13.2" x14ac:dyDescent="0.25"/>
    <row r="8832" customFormat="1" ht="13.2" x14ac:dyDescent="0.25"/>
    <row r="8833" customFormat="1" ht="13.2" x14ac:dyDescent="0.25"/>
    <row r="8834" customFormat="1" ht="13.2" x14ac:dyDescent="0.25"/>
    <row r="8835" customFormat="1" ht="13.2" x14ac:dyDescent="0.25"/>
    <row r="8836" customFormat="1" ht="13.2" x14ac:dyDescent="0.25"/>
    <row r="8837" customFormat="1" ht="13.2" x14ac:dyDescent="0.25"/>
    <row r="8838" customFormat="1" ht="13.2" x14ac:dyDescent="0.25"/>
    <row r="8839" customFormat="1" ht="13.2" x14ac:dyDescent="0.25"/>
    <row r="8840" customFormat="1" ht="13.2" x14ac:dyDescent="0.25"/>
    <row r="8841" customFormat="1" ht="13.2" x14ac:dyDescent="0.25"/>
    <row r="8842" customFormat="1" ht="13.2" x14ac:dyDescent="0.25"/>
    <row r="8843" customFormat="1" ht="13.2" x14ac:dyDescent="0.25"/>
    <row r="8844" customFormat="1" ht="13.2" x14ac:dyDescent="0.25"/>
    <row r="8845" customFormat="1" ht="13.2" x14ac:dyDescent="0.25"/>
    <row r="8846" customFormat="1" ht="13.2" x14ac:dyDescent="0.25"/>
    <row r="8847" customFormat="1" ht="13.2" x14ac:dyDescent="0.25"/>
    <row r="8848" customFormat="1" ht="13.2" x14ac:dyDescent="0.25"/>
    <row r="8849" customFormat="1" ht="13.2" x14ac:dyDescent="0.25"/>
    <row r="8850" customFormat="1" ht="13.2" x14ac:dyDescent="0.25"/>
    <row r="8851" customFormat="1" ht="13.2" x14ac:dyDescent="0.25"/>
    <row r="8852" customFormat="1" ht="13.2" x14ac:dyDescent="0.25"/>
    <row r="8853" customFormat="1" ht="13.2" x14ac:dyDescent="0.25"/>
    <row r="8854" customFormat="1" ht="13.2" x14ac:dyDescent="0.25"/>
    <row r="8855" customFormat="1" ht="13.2" x14ac:dyDescent="0.25"/>
    <row r="8856" customFormat="1" ht="13.2" x14ac:dyDescent="0.25"/>
    <row r="8857" customFormat="1" ht="13.2" x14ac:dyDescent="0.25"/>
    <row r="8858" customFormat="1" ht="13.2" x14ac:dyDescent="0.25"/>
    <row r="8859" customFormat="1" ht="13.2" x14ac:dyDescent="0.25"/>
    <row r="8860" customFormat="1" ht="13.2" x14ac:dyDescent="0.25"/>
    <row r="8861" customFormat="1" ht="13.2" x14ac:dyDescent="0.25"/>
    <row r="8862" customFormat="1" ht="13.2" x14ac:dyDescent="0.25"/>
    <row r="8863" customFormat="1" ht="13.2" x14ac:dyDescent="0.25"/>
    <row r="8864" customFormat="1" ht="13.2" x14ac:dyDescent="0.25"/>
    <row r="8865" customFormat="1" ht="13.2" x14ac:dyDescent="0.25"/>
    <row r="8866" customFormat="1" ht="13.2" x14ac:dyDescent="0.25"/>
    <row r="8867" customFormat="1" ht="13.2" x14ac:dyDescent="0.25"/>
    <row r="8868" customFormat="1" ht="13.2" x14ac:dyDescent="0.25"/>
    <row r="8869" customFormat="1" ht="13.2" x14ac:dyDescent="0.25"/>
    <row r="8870" customFormat="1" ht="13.2" x14ac:dyDescent="0.25"/>
    <row r="8871" customFormat="1" ht="13.2" x14ac:dyDescent="0.25"/>
    <row r="8872" customFormat="1" ht="13.2" x14ac:dyDescent="0.25"/>
    <row r="8873" customFormat="1" ht="13.2" x14ac:dyDescent="0.25"/>
    <row r="8874" customFormat="1" ht="13.2" x14ac:dyDescent="0.25"/>
    <row r="8875" customFormat="1" ht="13.2" x14ac:dyDescent="0.25"/>
    <row r="8876" customFormat="1" ht="13.2" x14ac:dyDescent="0.25"/>
    <row r="8877" customFormat="1" ht="13.2" x14ac:dyDescent="0.25"/>
    <row r="8878" customFormat="1" ht="13.2" x14ac:dyDescent="0.25"/>
    <row r="8879" customFormat="1" ht="13.2" x14ac:dyDescent="0.25"/>
    <row r="8880" customFormat="1" ht="13.2" x14ac:dyDescent="0.25"/>
    <row r="8881" customFormat="1" ht="13.2" x14ac:dyDescent="0.25"/>
    <row r="8882" customFormat="1" ht="13.2" x14ac:dyDescent="0.25"/>
    <row r="8883" customFormat="1" ht="13.2" x14ac:dyDescent="0.25"/>
    <row r="8884" customFormat="1" ht="13.2" x14ac:dyDescent="0.25"/>
    <row r="8885" customFormat="1" ht="13.2" x14ac:dyDescent="0.25"/>
    <row r="8886" customFormat="1" ht="13.2" x14ac:dyDescent="0.25"/>
    <row r="8887" customFormat="1" ht="13.2" x14ac:dyDescent="0.25"/>
    <row r="8888" customFormat="1" ht="13.2" x14ac:dyDescent="0.25"/>
    <row r="8889" customFormat="1" ht="13.2" x14ac:dyDescent="0.25"/>
    <row r="8890" customFormat="1" ht="13.2" x14ac:dyDescent="0.25"/>
    <row r="8891" customFormat="1" ht="13.2" x14ac:dyDescent="0.25"/>
    <row r="8892" customFormat="1" ht="13.2" x14ac:dyDescent="0.25"/>
    <row r="8893" customFormat="1" ht="13.2" x14ac:dyDescent="0.25"/>
    <row r="8894" customFormat="1" ht="13.2" x14ac:dyDescent="0.25"/>
    <row r="8895" customFormat="1" ht="13.2" x14ac:dyDescent="0.25"/>
    <row r="8896" customFormat="1" ht="13.2" x14ac:dyDescent="0.25"/>
    <row r="8897" customFormat="1" ht="13.2" x14ac:dyDescent="0.25"/>
    <row r="8898" customFormat="1" ht="13.2" x14ac:dyDescent="0.25"/>
    <row r="8899" customFormat="1" ht="13.2" x14ac:dyDescent="0.25"/>
    <row r="8900" customFormat="1" ht="13.2" x14ac:dyDescent="0.25"/>
    <row r="8901" customFormat="1" ht="13.2" x14ac:dyDescent="0.25"/>
    <row r="8902" customFormat="1" ht="13.2" x14ac:dyDescent="0.25"/>
    <row r="8903" customFormat="1" ht="13.2" x14ac:dyDescent="0.25"/>
    <row r="8904" customFormat="1" ht="13.2" x14ac:dyDescent="0.25"/>
    <row r="8905" customFormat="1" ht="13.2" x14ac:dyDescent="0.25"/>
    <row r="8906" customFormat="1" ht="13.2" x14ac:dyDescent="0.25"/>
    <row r="8907" customFormat="1" ht="13.2" x14ac:dyDescent="0.25"/>
    <row r="8908" customFormat="1" ht="13.2" x14ac:dyDescent="0.25"/>
    <row r="8909" customFormat="1" ht="13.2" x14ac:dyDescent="0.25"/>
    <row r="8910" customFormat="1" ht="13.2" x14ac:dyDescent="0.25"/>
    <row r="8911" customFormat="1" ht="13.2" x14ac:dyDescent="0.25"/>
    <row r="8912" customFormat="1" ht="13.2" x14ac:dyDescent="0.25"/>
    <row r="8913" customFormat="1" ht="13.2" x14ac:dyDescent="0.25"/>
    <row r="8914" customFormat="1" ht="13.2" x14ac:dyDescent="0.25"/>
    <row r="8915" customFormat="1" ht="13.2" x14ac:dyDescent="0.25"/>
    <row r="8916" customFormat="1" ht="13.2" x14ac:dyDescent="0.25"/>
    <row r="8917" customFormat="1" ht="13.2" x14ac:dyDescent="0.25"/>
    <row r="8918" customFormat="1" ht="13.2" x14ac:dyDescent="0.25"/>
    <row r="8919" customFormat="1" ht="13.2" x14ac:dyDescent="0.25"/>
    <row r="8920" customFormat="1" ht="13.2" x14ac:dyDescent="0.25"/>
    <row r="8921" customFormat="1" ht="13.2" x14ac:dyDescent="0.25"/>
    <row r="8922" customFormat="1" ht="13.2" x14ac:dyDescent="0.25"/>
    <row r="8923" customFormat="1" ht="13.2" x14ac:dyDescent="0.25"/>
    <row r="8924" customFormat="1" ht="13.2" x14ac:dyDescent="0.25"/>
    <row r="8925" customFormat="1" ht="13.2" x14ac:dyDescent="0.25"/>
    <row r="8926" customFormat="1" ht="13.2" x14ac:dyDescent="0.25"/>
    <row r="8927" customFormat="1" ht="13.2" x14ac:dyDescent="0.25"/>
    <row r="8928" customFormat="1" ht="13.2" x14ac:dyDescent="0.25"/>
    <row r="8929" customFormat="1" ht="13.2" x14ac:dyDescent="0.25"/>
    <row r="8930" customFormat="1" ht="13.2" x14ac:dyDescent="0.25"/>
    <row r="8931" customFormat="1" ht="13.2" x14ac:dyDescent="0.25"/>
    <row r="8932" customFormat="1" ht="13.2" x14ac:dyDescent="0.25"/>
    <row r="8933" customFormat="1" ht="13.2" x14ac:dyDescent="0.25"/>
    <row r="8934" customFormat="1" ht="13.2" x14ac:dyDescent="0.25"/>
    <row r="8935" customFormat="1" ht="13.2" x14ac:dyDescent="0.25"/>
    <row r="8936" customFormat="1" ht="13.2" x14ac:dyDescent="0.25"/>
    <row r="8937" customFormat="1" ht="13.2" x14ac:dyDescent="0.25"/>
    <row r="8938" customFormat="1" ht="13.2" x14ac:dyDescent="0.25"/>
    <row r="8939" customFormat="1" ht="13.2" x14ac:dyDescent="0.25"/>
    <row r="8940" customFormat="1" ht="13.2" x14ac:dyDescent="0.25"/>
    <row r="8941" customFormat="1" ht="13.2" x14ac:dyDescent="0.25"/>
    <row r="8942" customFormat="1" ht="13.2" x14ac:dyDescent="0.25"/>
    <row r="8943" customFormat="1" ht="13.2" x14ac:dyDescent="0.25"/>
    <row r="8944" customFormat="1" ht="13.2" x14ac:dyDescent="0.25"/>
    <row r="8945" customFormat="1" ht="13.2" x14ac:dyDescent="0.25"/>
    <row r="8946" customFormat="1" ht="13.2" x14ac:dyDescent="0.25"/>
    <row r="8947" customFormat="1" ht="13.2" x14ac:dyDescent="0.25"/>
    <row r="8948" customFormat="1" ht="13.2" x14ac:dyDescent="0.25"/>
    <row r="8949" customFormat="1" ht="13.2" x14ac:dyDescent="0.25"/>
    <row r="8950" customFormat="1" ht="13.2" x14ac:dyDescent="0.25"/>
    <row r="8951" customFormat="1" ht="13.2" x14ac:dyDescent="0.25"/>
    <row r="8952" customFormat="1" ht="13.2" x14ac:dyDescent="0.25"/>
    <row r="8953" customFormat="1" ht="13.2" x14ac:dyDescent="0.25"/>
    <row r="8954" customFormat="1" ht="13.2" x14ac:dyDescent="0.25"/>
    <row r="8955" customFormat="1" ht="13.2" x14ac:dyDescent="0.25"/>
    <row r="8956" customFormat="1" ht="13.2" x14ac:dyDescent="0.25"/>
    <row r="8957" customFormat="1" ht="13.2" x14ac:dyDescent="0.25"/>
    <row r="8958" customFormat="1" ht="13.2" x14ac:dyDescent="0.25"/>
    <row r="8959" customFormat="1" ht="13.2" x14ac:dyDescent="0.25"/>
    <row r="8960" customFormat="1" ht="13.2" x14ac:dyDescent="0.25"/>
    <row r="8961" customFormat="1" ht="13.2" x14ac:dyDescent="0.25"/>
    <row r="8962" customFormat="1" ht="13.2" x14ac:dyDescent="0.25"/>
    <row r="8963" customFormat="1" ht="13.2" x14ac:dyDescent="0.25"/>
    <row r="8964" customFormat="1" ht="13.2" x14ac:dyDescent="0.25"/>
    <row r="8965" customFormat="1" ht="13.2" x14ac:dyDescent="0.25"/>
    <row r="8966" customFormat="1" ht="13.2" x14ac:dyDescent="0.25"/>
    <row r="8967" customFormat="1" ht="13.2" x14ac:dyDescent="0.25"/>
    <row r="8968" customFormat="1" ht="13.2" x14ac:dyDescent="0.25"/>
    <row r="8969" customFormat="1" ht="13.2" x14ac:dyDescent="0.25"/>
    <row r="8970" customFormat="1" ht="13.2" x14ac:dyDescent="0.25"/>
    <row r="8971" customFormat="1" ht="13.2" x14ac:dyDescent="0.25"/>
    <row r="8972" customFormat="1" ht="13.2" x14ac:dyDescent="0.25"/>
    <row r="8973" customFormat="1" ht="13.2" x14ac:dyDescent="0.25"/>
    <row r="8974" customFormat="1" ht="13.2" x14ac:dyDescent="0.25"/>
    <row r="8975" customFormat="1" ht="13.2" x14ac:dyDescent="0.25"/>
    <row r="8976" customFormat="1" ht="13.2" x14ac:dyDescent="0.25"/>
    <row r="8977" customFormat="1" ht="13.2" x14ac:dyDescent="0.25"/>
    <row r="8978" customFormat="1" ht="13.2" x14ac:dyDescent="0.25"/>
    <row r="8979" customFormat="1" ht="13.2" x14ac:dyDescent="0.25"/>
    <row r="8980" customFormat="1" ht="13.2" x14ac:dyDescent="0.25"/>
    <row r="8981" customFormat="1" ht="13.2" x14ac:dyDescent="0.25"/>
    <row r="8982" customFormat="1" ht="13.2" x14ac:dyDescent="0.25"/>
    <row r="8983" customFormat="1" ht="13.2" x14ac:dyDescent="0.25"/>
    <row r="8984" customFormat="1" ht="13.2" x14ac:dyDescent="0.25"/>
    <row r="8985" customFormat="1" ht="13.2" x14ac:dyDescent="0.25"/>
    <row r="8986" customFormat="1" ht="13.2" x14ac:dyDescent="0.25"/>
    <row r="8987" customFormat="1" ht="13.2" x14ac:dyDescent="0.25"/>
    <row r="8988" customFormat="1" ht="13.2" x14ac:dyDescent="0.25"/>
    <row r="8989" customFormat="1" ht="13.2" x14ac:dyDescent="0.25"/>
    <row r="8990" customFormat="1" ht="13.2" x14ac:dyDescent="0.25"/>
    <row r="8991" customFormat="1" ht="13.2" x14ac:dyDescent="0.25"/>
    <row r="8992" customFormat="1" ht="13.2" x14ac:dyDescent="0.25"/>
    <row r="8993" customFormat="1" ht="13.2" x14ac:dyDescent="0.25"/>
    <row r="8994" customFormat="1" ht="13.2" x14ac:dyDescent="0.25"/>
    <row r="8995" customFormat="1" ht="13.2" x14ac:dyDescent="0.25"/>
    <row r="8996" customFormat="1" ht="13.2" x14ac:dyDescent="0.25"/>
    <row r="8997" customFormat="1" ht="13.2" x14ac:dyDescent="0.25"/>
    <row r="8998" customFormat="1" ht="13.2" x14ac:dyDescent="0.25"/>
    <row r="8999" customFormat="1" ht="13.2" x14ac:dyDescent="0.25"/>
    <row r="9000" customFormat="1" ht="13.2" x14ac:dyDescent="0.25"/>
    <row r="9001" customFormat="1" ht="13.2" x14ac:dyDescent="0.25"/>
    <row r="9002" customFormat="1" ht="13.2" x14ac:dyDescent="0.25"/>
    <row r="9003" customFormat="1" ht="13.2" x14ac:dyDescent="0.25"/>
    <row r="9004" customFormat="1" ht="13.2" x14ac:dyDescent="0.25"/>
    <row r="9005" customFormat="1" ht="13.2" x14ac:dyDescent="0.25"/>
    <row r="9006" customFormat="1" ht="13.2" x14ac:dyDescent="0.25"/>
    <row r="9007" customFormat="1" ht="13.2" x14ac:dyDescent="0.25"/>
    <row r="9008" customFormat="1" ht="13.2" x14ac:dyDescent="0.25"/>
    <row r="9009" customFormat="1" ht="13.2" x14ac:dyDescent="0.25"/>
    <row r="9010" customFormat="1" ht="13.2" x14ac:dyDescent="0.25"/>
    <row r="9011" customFormat="1" ht="13.2" x14ac:dyDescent="0.25"/>
    <row r="9012" customFormat="1" ht="13.2" x14ac:dyDescent="0.25"/>
    <row r="9013" customFormat="1" ht="13.2" x14ac:dyDescent="0.25"/>
    <row r="9014" customFormat="1" ht="13.2" x14ac:dyDescent="0.25"/>
    <row r="9015" customFormat="1" ht="13.2" x14ac:dyDescent="0.25"/>
    <row r="9016" customFormat="1" ht="13.2" x14ac:dyDescent="0.25"/>
    <row r="9017" customFormat="1" ht="13.2" x14ac:dyDescent="0.25"/>
    <row r="9018" customFormat="1" ht="13.2" x14ac:dyDescent="0.25"/>
    <row r="9019" customFormat="1" ht="13.2" x14ac:dyDescent="0.25"/>
    <row r="9020" customFormat="1" ht="13.2" x14ac:dyDescent="0.25"/>
    <row r="9021" customFormat="1" ht="13.2" x14ac:dyDescent="0.25"/>
    <row r="9022" customFormat="1" ht="13.2" x14ac:dyDescent="0.25"/>
    <row r="9023" customFormat="1" ht="13.2" x14ac:dyDescent="0.25"/>
    <row r="9024" customFormat="1" ht="13.2" x14ac:dyDescent="0.25"/>
    <row r="9025" customFormat="1" ht="13.2" x14ac:dyDescent="0.25"/>
    <row r="9026" customFormat="1" ht="13.2" x14ac:dyDescent="0.25"/>
    <row r="9027" customFormat="1" ht="13.2" x14ac:dyDescent="0.25"/>
    <row r="9028" customFormat="1" ht="13.2" x14ac:dyDescent="0.25"/>
    <row r="9029" customFormat="1" ht="13.2" x14ac:dyDescent="0.25"/>
    <row r="9030" customFormat="1" ht="13.2" x14ac:dyDescent="0.25"/>
    <row r="9031" customFormat="1" ht="13.2" x14ac:dyDescent="0.25"/>
    <row r="9032" customFormat="1" ht="13.2" x14ac:dyDescent="0.25"/>
    <row r="9033" customFormat="1" ht="13.2" x14ac:dyDescent="0.25"/>
    <row r="9034" customFormat="1" ht="13.2" x14ac:dyDescent="0.25"/>
    <row r="9035" customFormat="1" ht="13.2" x14ac:dyDescent="0.25"/>
    <row r="9036" customFormat="1" ht="13.2" x14ac:dyDescent="0.25"/>
    <row r="9037" customFormat="1" ht="13.2" x14ac:dyDescent="0.25"/>
    <row r="9038" customFormat="1" ht="13.2" x14ac:dyDescent="0.25"/>
    <row r="9039" customFormat="1" ht="13.2" x14ac:dyDescent="0.25"/>
    <row r="9040" customFormat="1" ht="13.2" x14ac:dyDescent="0.25"/>
    <row r="9041" customFormat="1" ht="13.2" x14ac:dyDescent="0.25"/>
    <row r="9042" customFormat="1" ht="13.2" x14ac:dyDescent="0.25"/>
    <row r="9043" customFormat="1" ht="13.2" x14ac:dyDescent="0.25"/>
    <row r="9044" customFormat="1" ht="13.2" x14ac:dyDescent="0.25"/>
    <row r="9045" customFormat="1" ht="13.2" x14ac:dyDescent="0.25"/>
    <row r="9046" customFormat="1" ht="13.2" x14ac:dyDescent="0.25"/>
    <row r="9047" customFormat="1" ht="13.2" x14ac:dyDescent="0.25"/>
    <row r="9048" customFormat="1" ht="13.2" x14ac:dyDescent="0.25"/>
    <row r="9049" customFormat="1" ht="13.2" x14ac:dyDescent="0.25"/>
    <row r="9050" customFormat="1" ht="13.2" x14ac:dyDescent="0.25"/>
    <row r="9051" customFormat="1" ht="13.2" x14ac:dyDescent="0.25"/>
    <row r="9052" customFormat="1" ht="13.2" x14ac:dyDescent="0.25"/>
    <row r="9053" customFormat="1" ht="13.2" x14ac:dyDescent="0.25"/>
    <row r="9054" customFormat="1" ht="13.2" x14ac:dyDescent="0.25"/>
    <row r="9055" customFormat="1" ht="13.2" x14ac:dyDescent="0.25"/>
    <row r="9056" customFormat="1" ht="13.2" x14ac:dyDescent="0.25"/>
    <row r="9057" customFormat="1" ht="13.2" x14ac:dyDescent="0.25"/>
    <row r="9058" customFormat="1" ht="13.2" x14ac:dyDescent="0.25"/>
    <row r="9059" customFormat="1" ht="13.2" x14ac:dyDescent="0.25"/>
    <row r="9060" customFormat="1" ht="13.2" x14ac:dyDescent="0.25"/>
    <row r="9061" customFormat="1" ht="13.2" x14ac:dyDescent="0.25"/>
    <row r="9062" customFormat="1" ht="13.2" x14ac:dyDescent="0.25"/>
    <row r="9063" customFormat="1" ht="13.2" x14ac:dyDescent="0.25"/>
    <row r="9064" customFormat="1" ht="13.2" x14ac:dyDescent="0.25"/>
    <row r="9065" customFormat="1" ht="13.2" x14ac:dyDescent="0.25"/>
    <row r="9066" customFormat="1" ht="13.2" x14ac:dyDescent="0.25"/>
    <row r="9067" customFormat="1" ht="13.2" x14ac:dyDescent="0.25"/>
    <row r="9068" customFormat="1" ht="13.2" x14ac:dyDescent="0.25"/>
    <row r="9069" customFormat="1" ht="13.2" x14ac:dyDescent="0.25"/>
    <row r="9070" customFormat="1" ht="13.2" x14ac:dyDescent="0.25"/>
    <row r="9071" customFormat="1" ht="13.2" x14ac:dyDescent="0.25"/>
    <row r="9072" customFormat="1" ht="13.2" x14ac:dyDescent="0.25"/>
    <row r="9073" customFormat="1" ht="13.2" x14ac:dyDescent="0.25"/>
    <row r="9074" customFormat="1" ht="13.2" x14ac:dyDescent="0.25"/>
    <row r="9075" customFormat="1" ht="13.2" x14ac:dyDescent="0.25"/>
    <row r="9076" customFormat="1" ht="13.2" x14ac:dyDescent="0.25"/>
    <row r="9077" customFormat="1" ht="13.2" x14ac:dyDescent="0.25"/>
    <row r="9078" customFormat="1" ht="13.2" x14ac:dyDescent="0.25"/>
    <row r="9079" customFormat="1" ht="13.2" x14ac:dyDescent="0.25"/>
    <row r="9080" customFormat="1" ht="13.2" x14ac:dyDescent="0.25"/>
    <row r="9081" customFormat="1" ht="13.2" x14ac:dyDescent="0.25"/>
    <row r="9082" customFormat="1" ht="13.2" x14ac:dyDescent="0.25"/>
    <row r="9083" customFormat="1" ht="13.2" x14ac:dyDescent="0.25"/>
    <row r="9084" customFormat="1" ht="13.2" x14ac:dyDescent="0.25"/>
    <row r="9085" customFormat="1" ht="13.2" x14ac:dyDescent="0.25"/>
    <row r="9086" customFormat="1" ht="13.2" x14ac:dyDescent="0.25"/>
    <row r="9087" customFormat="1" ht="13.2" x14ac:dyDescent="0.25"/>
    <row r="9088" customFormat="1" ht="13.2" x14ac:dyDescent="0.25"/>
    <row r="9089" customFormat="1" ht="13.2" x14ac:dyDescent="0.25"/>
    <row r="9090" customFormat="1" ht="13.2" x14ac:dyDescent="0.25"/>
    <row r="9091" customFormat="1" ht="13.2" x14ac:dyDescent="0.25"/>
    <row r="9092" customFormat="1" ht="13.2" x14ac:dyDescent="0.25"/>
    <row r="9093" customFormat="1" ht="13.2" x14ac:dyDescent="0.25"/>
    <row r="9094" customFormat="1" ht="13.2" x14ac:dyDescent="0.25"/>
    <row r="9095" customFormat="1" ht="13.2" x14ac:dyDescent="0.25"/>
    <row r="9096" customFormat="1" ht="13.2" x14ac:dyDescent="0.25"/>
    <row r="9097" customFormat="1" ht="13.2" x14ac:dyDescent="0.25"/>
    <row r="9098" customFormat="1" ht="13.2" x14ac:dyDescent="0.25"/>
    <row r="9099" customFormat="1" ht="13.2" x14ac:dyDescent="0.25"/>
    <row r="9100" customFormat="1" ht="13.2" x14ac:dyDescent="0.25"/>
    <row r="9101" customFormat="1" ht="13.2" x14ac:dyDescent="0.25"/>
    <row r="9102" customFormat="1" ht="13.2" x14ac:dyDescent="0.25"/>
    <row r="9103" customFormat="1" ht="13.2" x14ac:dyDescent="0.25"/>
    <row r="9104" customFormat="1" ht="13.2" x14ac:dyDescent="0.25"/>
    <row r="9105" customFormat="1" ht="13.2" x14ac:dyDescent="0.25"/>
    <row r="9106" customFormat="1" ht="13.2" x14ac:dyDescent="0.25"/>
    <row r="9107" customFormat="1" ht="13.2" x14ac:dyDescent="0.25"/>
    <row r="9108" customFormat="1" ht="13.2" x14ac:dyDescent="0.25"/>
    <row r="9109" customFormat="1" ht="13.2" x14ac:dyDescent="0.25"/>
    <row r="9110" customFormat="1" ht="13.2" x14ac:dyDescent="0.25"/>
    <row r="9111" customFormat="1" ht="13.2" x14ac:dyDescent="0.25"/>
    <row r="9112" customFormat="1" ht="13.2" x14ac:dyDescent="0.25"/>
    <row r="9113" customFormat="1" ht="13.2" x14ac:dyDescent="0.25"/>
    <row r="9114" customFormat="1" ht="13.2" x14ac:dyDescent="0.25"/>
    <row r="9115" customFormat="1" ht="13.2" x14ac:dyDescent="0.25"/>
    <row r="9116" customFormat="1" ht="13.2" x14ac:dyDescent="0.25"/>
    <row r="9117" customFormat="1" ht="13.2" x14ac:dyDescent="0.25"/>
    <row r="9118" customFormat="1" ht="13.2" x14ac:dyDescent="0.25"/>
    <row r="9119" customFormat="1" ht="13.2" x14ac:dyDescent="0.25"/>
    <row r="9120" customFormat="1" ht="13.2" x14ac:dyDescent="0.25"/>
    <row r="9121" customFormat="1" ht="13.2" x14ac:dyDescent="0.25"/>
    <row r="9122" customFormat="1" ht="13.2" x14ac:dyDescent="0.25"/>
    <row r="9123" customFormat="1" ht="13.2" x14ac:dyDescent="0.25"/>
    <row r="9124" customFormat="1" ht="13.2" x14ac:dyDescent="0.25"/>
    <row r="9125" customFormat="1" ht="13.2" x14ac:dyDescent="0.25"/>
    <row r="9126" customFormat="1" ht="13.2" x14ac:dyDescent="0.25"/>
    <row r="9127" customFormat="1" ht="13.2" x14ac:dyDescent="0.25"/>
    <row r="9128" customFormat="1" ht="13.2" x14ac:dyDescent="0.25"/>
    <row r="9129" customFormat="1" ht="13.2" x14ac:dyDescent="0.25"/>
    <row r="9130" customFormat="1" ht="13.2" x14ac:dyDescent="0.25"/>
    <row r="9131" customFormat="1" ht="13.2" x14ac:dyDescent="0.25"/>
    <row r="9132" customFormat="1" ht="13.2" x14ac:dyDescent="0.25"/>
    <row r="9133" customFormat="1" ht="13.2" x14ac:dyDescent="0.25"/>
    <row r="9134" customFormat="1" ht="13.2" x14ac:dyDescent="0.25"/>
    <row r="9135" customFormat="1" ht="13.2" x14ac:dyDescent="0.25"/>
    <row r="9136" customFormat="1" ht="13.2" x14ac:dyDescent="0.25"/>
    <row r="9137" customFormat="1" ht="13.2" x14ac:dyDescent="0.25"/>
    <row r="9138" customFormat="1" ht="13.2" x14ac:dyDescent="0.25"/>
    <row r="9139" customFormat="1" ht="13.2" x14ac:dyDescent="0.25"/>
    <row r="9140" customFormat="1" ht="13.2" x14ac:dyDescent="0.25"/>
    <row r="9141" customFormat="1" ht="13.2" x14ac:dyDescent="0.25"/>
    <row r="9142" customFormat="1" ht="13.2" x14ac:dyDescent="0.25"/>
    <row r="9143" customFormat="1" ht="13.2" x14ac:dyDescent="0.25"/>
    <row r="9144" customFormat="1" ht="13.2" x14ac:dyDescent="0.25"/>
    <row r="9145" customFormat="1" ht="13.2" x14ac:dyDescent="0.25"/>
    <row r="9146" customFormat="1" ht="13.2" x14ac:dyDescent="0.25"/>
    <row r="9147" customFormat="1" ht="13.2" x14ac:dyDescent="0.25"/>
    <row r="9148" customFormat="1" ht="13.2" x14ac:dyDescent="0.25"/>
    <row r="9149" customFormat="1" ht="13.2" x14ac:dyDescent="0.25"/>
    <row r="9150" customFormat="1" ht="13.2" x14ac:dyDescent="0.25"/>
    <row r="9151" customFormat="1" ht="13.2" x14ac:dyDescent="0.25"/>
    <row r="9152" customFormat="1" ht="13.2" x14ac:dyDescent="0.25"/>
    <row r="9153" customFormat="1" ht="13.2" x14ac:dyDescent="0.25"/>
    <row r="9154" customFormat="1" ht="13.2" x14ac:dyDescent="0.25"/>
    <row r="9155" customFormat="1" ht="13.2" x14ac:dyDescent="0.25"/>
    <row r="9156" customFormat="1" ht="13.2" x14ac:dyDescent="0.25"/>
    <row r="9157" customFormat="1" ht="13.2" x14ac:dyDescent="0.25"/>
    <row r="9158" customFormat="1" ht="13.2" x14ac:dyDescent="0.25"/>
    <row r="9159" customFormat="1" ht="13.2" x14ac:dyDescent="0.25"/>
    <row r="9160" customFormat="1" ht="13.2" x14ac:dyDescent="0.25"/>
    <row r="9161" customFormat="1" ht="13.2" x14ac:dyDescent="0.25"/>
    <row r="9162" customFormat="1" ht="13.2" x14ac:dyDescent="0.25"/>
    <row r="9163" customFormat="1" ht="13.2" x14ac:dyDescent="0.25"/>
    <row r="9164" customFormat="1" ht="13.2" x14ac:dyDescent="0.25"/>
    <row r="9165" customFormat="1" ht="13.2" x14ac:dyDescent="0.25"/>
    <row r="9166" customFormat="1" ht="13.2" x14ac:dyDescent="0.25"/>
    <row r="9167" customFormat="1" ht="13.2" x14ac:dyDescent="0.25"/>
    <row r="9168" customFormat="1" ht="13.2" x14ac:dyDescent="0.25"/>
    <row r="9169" customFormat="1" ht="13.2" x14ac:dyDescent="0.25"/>
    <row r="9170" customFormat="1" ht="13.2" x14ac:dyDescent="0.25"/>
    <row r="9171" customFormat="1" ht="13.2" x14ac:dyDescent="0.25"/>
    <row r="9172" customFormat="1" ht="13.2" x14ac:dyDescent="0.25"/>
    <row r="9173" customFormat="1" ht="13.2" x14ac:dyDescent="0.25"/>
    <row r="9174" customFormat="1" ht="13.2" x14ac:dyDescent="0.25"/>
    <row r="9175" customFormat="1" ht="13.2" x14ac:dyDescent="0.25"/>
    <row r="9176" customFormat="1" ht="13.2" x14ac:dyDescent="0.25"/>
    <row r="9177" customFormat="1" ht="13.2" x14ac:dyDescent="0.25"/>
    <row r="9178" customFormat="1" ht="13.2" x14ac:dyDescent="0.25"/>
    <row r="9179" customFormat="1" ht="13.2" x14ac:dyDescent="0.25"/>
    <row r="9180" customFormat="1" ht="13.2" x14ac:dyDescent="0.25"/>
    <row r="9181" customFormat="1" ht="13.2" x14ac:dyDescent="0.25"/>
    <row r="9182" customFormat="1" ht="13.2" x14ac:dyDescent="0.25"/>
    <row r="9183" customFormat="1" ht="13.2" x14ac:dyDescent="0.25"/>
    <row r="9184" customFormat="1" ht="13.2" x14ac:dyDescent="0.25"/>
    <row r="9185" customFormat="1" ht="13.2" x14ac:dyDescent="0.25"/>
    <row r="9186" customFormat="1" ht="13.2" x14ac:dyDescent="0.25"/>
    <row r="9187" customFormat="1" ht="13.2" x14ac:dyDescent="0.25"/>
    <row r="9188" customFormat="1" ht="13.2" x14ac:dyDescent="0.25"/>
    <row r="9189" customFormat="1" ht="13.2" x14ac:dyDescent="0.25"/>
    <row r="9190" customFormat="1" ht="13.2" x14ac:dyDescent="0.25"/>
    <row r="9191" customFormat="1" ht="13.2" x14ac:dyDescent="0.25"/>
    <row r="9192" customFormat="1" ht="13.2" x14ac:dyDescent="0.25"/>
    <row r="9193" customFormat="1" ht="13.2" x14ac:dyDescent="0.25"/>
    <row r="9194" customFormat="1" ht="13.2" x14ac:dyDescent="0.25"/>
    <row r="9195" customFormat="1" ht="13.2" x14ac:dyDescent="0.25"/>
    <row r="9196" customFormat="1" ht="13.2" x14ac:dyDescent="0.25"/>
    <row r="9197" customFormat="1" ht="13.2" x14ac:dyDescent="0.25"/>
    <row r="9198" customFormat="1" ht="13.2" x14ac:dyDescent="0.25"/>
    <row r="9199" customFormat="1" ht="13.2" x14ac:dyDescent="0.25"/>
    <row r="9200" customFormat="1" ht="13.2" x14ac:dyDescent="0.25"/>
    <row r="9201" customFormat="1" ht="13.2" x14ac:dyDescent="0.25"/>
    <row r="9202" customFormat="1" ht="13.2" x14ac:dyDescent="0.25"/>
    <row r="9203" customFormat="1" ht="13.2" x14ac:dyDescent="0.25"/>
    <row r="9204" customFormat="1" ht="13.2" x14ac:dyDescent="0.25"/>
    <row r="9205" customFormat="1" ht="13.2" x14ac:dyDescent="0.25"/>
    <row r="9206" customFormat="1" ht="13.2" x14ac:dyDescent="0.25"/>
    <row r="9207" customFormat="1" ht="13.2" x14ac:dyDescent="0.25"/>
    <row r="9208" customFormat="1" ht="13.2" x14ac:dyDescent="0.25"/>
    <row r="9209" customFormat="1" ht="13.2" x14ac:dyDescent="0.25"/>
    <row r="9210" customFormat="1" ht="13.2" x14ac:dyDescent="0.25"/>
    <row r="9211" customFormat="1" ht="13.2" x14ac:dyDescent="0.25"/>
    <row r="9212" customFormat="1" ht="13.2" x14ac:dyDescent="0.25"/>
    <row r="9213" customFormat="1" ht="13.2" x14ac:dyDescent="0.25"/>
    <row r="9214" customFormat="1" ht="13.2" x14ac:dyDescent="0.25"/>
    <row r="9215" customFormat="1" ht="13.2" x14ac:dyDescent="0.25"/>
    <row r="9216" customFormat="1" ht="13.2" x14ac:dyDescent="0.25"/>
    <row r="9217" customFormat="1" ht="13.2" x14ac:dyDescent="0.25"/>
    <row r="9218" customFormat="1" ht="13.2" x14ac:dyDescent="0.25"/>
    <row r="9219" customFormat="1" ht="13.2" x14ac:dyDescent="0.25"/>
    <row r="9220" customFormat="1" ht="13.2" x14ac:dyDescent="0.25"/>
    <row r="9221" customFormat="1" ht="13.2" x14ac:dyDescent="0.25"/>
    <row r="9222" customFormat="1" ht="13.2" x14ac:dyDescent="0.25"/>
    <row r="9223" customFormat="1" ht="13.2" x14ac:dyDescent="0.25"/>
    <row r="9224" customFormat="1" ht="13.2" x14ac:dyDescent="0.25"/>
    <row r="9225" customFormat="1" ht="13.2" x14ac:dyDescent="0.25"/>
    <row r="9226" customFormat="1" ht="13.2" x14ac:dyDescent="0.25"/>
    <row r="9227" customFormat="1" ht="13.2" x14ac:dyDescent="0.25"/>
    <row r="9228" customFormat="1" ht="13.2" x14ac:dyDescent="0.25"/>
    <row r="9229" customFormat="1" ht="13.2" x14ac:dyDescent="0.25"/>
    <row r="9230" customFormat="1" ht="13.2" x14ac:dyDescent="0.25"/>
    <row r="9231" customFormat="1" ht="13.2" x14ac:dyDescent="0.25"/>
    <row r="9232" customFormat="1" ht="13.2" x14ac:dyDescent="0.25"/>
    <row r="9233" customFormat="1" ht="13.2" x14ac:dyDescent="0.25"/>
    <row r="9234" customFormat="1" ht="13.2" x14ac:dyDescent="0.25"/>
    <row r="9235" customFormat="1" ht="13.2" x14ac:dyDescent="0.25"/>
    <row r="9236" customFormat="1" ht="13.2" x14ac:dyDescent="0.25"/>
    <row r="9237" customFormat="1" ht="13.2" x14ac:dyDescent="0.25"/>
    <row r="9238" customFormat="1" ht="13.2" x14ac:dyDescent="0.25"/>
    <row r="9239" customFormat="1" ht="13.2" x14ac:dyDescent="0.25"/>
    <row r="9240" customFormat="1" ht="13.2" x14ac:dyDescent="0.25"/>
    <row r="9241" customFormat="1" ht="13.2" x14ac:dyDescent="0.25"/>
    <row r="9242" customFormat="1" ht="13.2" x14ac:dyDescent="0.25"/>
    <row r="9243" customFormat="1" ht="13.2" x14ac:dyDescent="0.25"/>
    <row r="9244" customFormat="1" ht="13.2" x14ac:dyDescent="0.25"/>
    <row r="9245" customFormat="1" ht="13.2" x14ac:dyDescent="0.25"/>
    <row r="9246" customFormat="1" ht="13.2" x14ac:dyDescent="0.25"/>
    <row r="9247" customFormat="1" ht="13.2" x14ac:dyDescent="0.25"/>
    <row r="9248" customFormat="1" ht="13.2" x14ac:dyDescent="0.25"/>
    <row r="9249" customFormat="1" ht="13.2" x14ac:dyDescent="0.25"/>
    <row r="9250" customFormat="1" ht="13.2" x14ac:dyDescent="0.25"/>
    <row r="9251" customFormat="1" ht="13.2" x14ac:dyDescent="0.25"/>
    <row r="9252" customFormat="1" ht="13.2" x14ac:dyDescent="0.25"/>
    <row r="9253" customFormat="1" ht="13.2" x14ac:dyDescent="0.25"/>
    <row r="9254" customFormat="1" ht="13.2" x14ac:dyDescent="0.25"/>
    <row r="9255" customFormat="1" ht="13.2" x14ac:dyDescent="0.25"/>
    <row r="9256" customFormat="1" ht="13.2" x14ac:dyDescent="0.25"/>
    <row r="9257" customFormat="1" ht="13.2" x14ac:dyDescent="0.25"/>
    <row r="9258" customFormat="1" ht="13.2" x14ac:dyDescent="0.25"/>
    <row r="9259" customFormat="1" ht="13.2" x14ac:dyDescent="0.25"/>
    <row r="9260" customFormat="1" ht="13.2" x14ac:dyDescent="0.25"/>
    <row r="9261" customFormat="1" ht="13.2" x14ac:dyDescent="0.25"/>
    <row r="9262" customFormat="1" ht="13.2" x14ac:dyDescent="0.25"/>
    <row r="9263" customFormat="1" ht="13.2" x14ac:dyDescent="0.25"/>
    <row r="9264" customFormat="1" ht="13.2" x14ac:dyDescent="0.25"/>
    <row r="9265" customFormat="1" ht="13.2" x14ac:dyDescent="0.25"/>
    <row r="9266" customFormat="1" ht="13.2" x14ac:dyDescent="0.25"/>
    <row r="9267" customFormat="1" ht="13.2" x14ac:dyDescent="0.25"/>
    <row r="9268" customFormat="1" ht="13.2" x14ac:dyDescent="0.25"/>
    <row r="9269" customFormat="1" ht="13.2" x14ac:dyDescent="0.25"/>
    <row r="9270" customFormat="1" ht="13.2" x14ac:dyDescent="0.25"/>
    <row r="9271" customFormat="1" ht="13.2" x14ac:dyDescent="0.25"/>
    <row r="9272" customFormat="1" ht="13.2" x14ac:dyDescent="0.25"/>
    <row r="9273" customFormat="1" ht="13.2" x14ac:dyDescent="0.25"/>
    <row r="9274" customFormat="1" ht="13.2" x14ac:dyDescent="0.25"/>
    <row r="9275" customFormat="1" ht="13.2" x14ac:dyDescent="0.25"/>
    <row r="9276" customFormat="1" ht="13.2" x14ac:dyDescent="0.25"/>
    <row r="9277" customFormat="1" ht="13.2" x14ac:dyDescent="0.25"/>
    <row r="9278" customFormat="1" ht="13.2" x14ac:dyDescent="0.25"/>
    <row r="9279" customFormat="1" ht="13.2" x14ac:dyDescent="0.25"/>
    <row r="9280" customFormat="1" ht="13.2" x14ac:dyDescent="0.25"/>
    <row r="9281" customFormat="1" ht="13.2" x14ac:dyDescent="0.25"/>
    <row r="9282" customFormat="1" ht="13.2" x14ac:dyDescent="0.25"/>
    <row r="9283" customFormat="1" ht="13.2" x14ac:dyDescent="0.25"/>
    <row r="9284" customFormat="1" ht="13.2" x14ac:dyDescent="0.25"/>
    <row r="9285" customFormat="1" ht="13.2" x14ac:dyDescent="0.25"/>
    <row r="9286" customFormat="1" ht="13.2" x14ac:dyDescent="0.25"/>
    <row r="9287" customFormat="1" ht="13.2" x14ac:dyDescent="0.25"/>
    <row r="9288" customFormat="1" ht="13.2" x14ac:dyDescent="0.25"/>
    <row r="9289" customFormat="1" ht="13.2" x14ac:dyDescent="0.25"/>
    <row r="9290" customFormat="1" ht="13.2" x14ac:dyDescent="0.25"/>
    <row r="9291" customFormat="1" ht="13.2" x14ac:dyDescent="0.25"/>
    <row r="9292" customFormat="1" ht="13.2" x14ac:dyDescent="0.25"/>
    <row r="9293" customFormat="1" ht="13.2" x14ac:dyDescent="0.25"/>
    <row r="9294" customFormat="1" ht="13.2" x14ac:dyDescent="0.25"/>
    <row r="9295" customFormat="1" ht="13.2" x14ac:dyDescent="0.25"/>
    <row r="9296" customFormat="1" ht="13.2" x14ac:dyDescent="0.25"/>
    <row r="9297" customFormat="1" ht="13.2" x14ac:dyDescent="0.25"/>
    <row r="9298" customFormat="1" ht="13.2" x14ac:dyDescent="0.25"/>
    <row r="9299" customFormat="1" ht="13.2" x14ac:dyDescent="0.25"/>
    <row r="9300" customFormat="1" ht="13.2" x14ac:dyDescent="0.25"/>
    <row r="9301" customFormat="1" ht="13.2" x14ac:dyDescent="0.25"/>
    <row r="9302" customFormat="1" ht="13.2" x14ac:dyDescent="0.25"/>
    <row r="9303" customFormat="1" ht="13.2" x14ac:dyDescent="0.25"/>
    <row r="9304" customFormat="1" ht="13.2" x14ac:dyDescent="0.25"/>
    <row r="9305" customFormat="1" ht="13.2" x14ac:dyDescent="0.25"/>
    <row r="9306" customFormat="1" ht="13.2" x14ac:dyDescent="0.25"/>
    <row r="9307" customFormat="1" ht="13.2" x14ac:dyDescent="0.25"/>
    <row r="9308" customFormat="1" ht="13.2" x14ac:dyDescent="0.25"/>
    <row r="9309" customFormat="1" ht="13.2" x14ac:dyDescent="0.25"/>
    <row r="9310" customFormat="1" ht="13.2" x14ac:dyDescent="0.25"/>
    <row r="9311" customFormat="1" ht="13.2" x14ac:dyDescent="0.25"/>
    <row r="9312" customFormat="1" ht="13.2" x14ac:dyDescent="0.25"/>
    <row r="9313" customFormat="1" ht="13.2" x14ac:dyDescent="0.25"/>
    <row r="9314" customFormat="1" ht="13.2" x14ac:dyDescent="0.25"/>
    <row r="9315" customFormat="1" ht="13.2" x14ac:dyDescent="0.25"/>
    <row r="9316" customFormat="1" ht="13.2" x14ac:dyDescent="0.25"/>
    <row r="9317" customFormat="1" ht="13.2" x14ac:dyDescent="0.25"/>
    <row r="9318" customFormat="1" ht="13.2" x14ac:dyDescent="0.25"/>
    <row r="9319" customFormat="1" ht="13.2" x14ac:dyDescent="0.25"/>
    <row r="9320" customFormat="1" ht="13.2" x14ac:dyDescent="0.25"/>
    <row r="9321" customFormat="1" ht="13.2" x14ac:dyDescent="0.25"/>
    <row r="9322" customFormat="1" ht="13.2" x14ac:dyDescent="0.25"/>
    <row r="9323" customFormat="1" ht="13.2" x14ac:dyDescent="0.25"/>
    <row r="9324" customFormat="1" ht="13.2" x14ac:dyDescent="0.25"/>
    <row r="9325" customFormat="1" ht="13.2" x14ac:dyDescent="0.25"/>
    <row r="9326" customFormat="1" ht="13.2" x14ac:dyDescent="0.25"/>
    <row r="9327" customFormat="1" ht="13.2" x14ac:dyDescent="0.25"/>
    <row r="9328" customFormat="1" ht="13.2" x14ac:dyDescent="0.25"/>
    <row r="9329" customFormat="1" ht="13.2" x14ac:dyDescent="0.25"/>
    <row r="9330" customFormat="1" ht="13.2" x14ac:dyDescent="0.25"/>
    <row r="9331" customFormat="1" ht="13.2" x14ac:dyDescent="0.25"/>
    <row r="9332" customFormat="1" ht="13.2" x14ac:dyDescent="0.25"/>
    <row r="9333" customFormat="1" ht="13.2" x14ac:dyDescent="0.25"/>
    <row r="9334" customFormat="1" ht="13.2" x14ac:dyDescent="0.25"/>
    <row r="9335" customFormat="1" ht="13.2" x14ac:dyDescent="0.25"/>
    <row r="9336" customFormat="1" ht="13.2" x14ac:dyDescent="0.25"/>
    <row r="9337" customFormat="1" ht="13.2" x14ac:dyDescent="0.25"/>
    <row r="9338" customFormat="1" ht="13.2" x14ac:dyDescent="0.25"/>
    <row r="9339" customFormat="1" ht="13.2" x14ac:dyDescent="0.25"/>
    <row r="9340" customFormat="1" ht="13.2" x14ac:dyDescent="0.25"/>
    <row r="9341" customFormat="1" ht="13.2" x14ac:dyDescent="0.25"/>
    <row r="9342" customFormat="1" ht="13.2" x14ac:dyDescent="0.25"/>
    <row r="9343" customFormat="1" ht="13.2" x14ac:dyDescent="0.25"/>
    <row r="9344" customFormat="1" ht="13.2" x14ac:dyDescent="0.25"/>
    <row r="9345" customFormat="1" ht="13.2" x14ac:dyDescent="0.25"/>
    <row r="9346" customFormat="1" ht="13.2" x14ac:dyDescent="0.25"/>
    <row r="9347" customFormat="1" ht="13.2" x14ac:dyDescent="0.25"/>
    <row r="9348" customFormat="1" ht="13.2" x14ac:dyDescent="0.25"/>
    <row r="9349" customFormat="1" ht="13.2" x14ac:dyDescent="0.25"/>
    <row r="9350" customFormat="1" ht="13.2" x14ac:dyDescent="0.25"/>
    <row r="9351" customFormat="1" ht="13.2" x14ac:dyDescent="0.25"/>
    <row r="9352" customFormat="1" ht="13.2" x14ac:dyDescent="0.25"/>
    <row r="9353" customFormat="1" ht="13.2" x14ac:dyDescent="0.25"/>
    <row r="9354" customFormat="1" ht="13.2" x14ac:dyDescent="0.25"/>
    <row r="9355" customFormat="1" ht="13.2" x14ac:dyDescent="0.25"/>
    <row r="9356" customFormat="1" ht="13.2" x14ac:dyDescent="0.25"/>
    <row r="9357" customFormat="1" ht="13.2" x14ac:dyDescent="0.25"/>
    <row r="9358" customFormat="1" ht="13.2" x14ac:dyDescent="0.25"/>
    <row r="9359" customFormat="1" ht="13.2" x14ac:dyDescent="0.25"/>
    <row r="9360" customFormat="1" ht="13.2" x14ac:dyDescent="0.25"/>
    <row r="9361" customFormat="1" ht="13.2" x14ac:dyDescent="0.25"/>
    <row r="9362" customFormat="1" ht="13.2" x14ac:dyDescent="0.25"/>
    <row r="9363" customFormat="1" ht="13.2" x14ac:dyDescent="0.25"/>
    <row r="9364" customFormat="1" ht="13.2" x14ac:dyDescent="0.25"/>
    <row r="9365" customFormat="1" ht="13.2" x14ac:dyDescent="0.25"/>
    <row r="9366" customFormat="1" ht="13.2" x14ac:dyDescent="0.25"/>
    <row r="9367" customFormat="1" ht="13.2" x14ac:dyDescent="0.25"/>
    <row r="9368" customFormat="1" ht="13.2" x14ac:dyDescent="0.25"/>
    <row r="9369" customFormat="1" ht="13.2" x14ac:dyDescent="0.25"/>
    <row r="9370" customFormat="1" ht="13.2" x14ac:dyDescent="0.25"/>
    <row r="9371" customFormat="1" ht="13.2" x14ac:dyDescent="0.25"/>
    <row r="9372" customFormat="1" ht="13.2" x14ac:dyDescent="0.25"/>
    <row r="9373" customFormat="1" ht="13.2" x14ac:dyDescent="0.25"/>
    <row r="9374" customFormat="1" ht="13.2" x14ac:dyDescent="0.25"/>
    <row r="9375" customFormat="1" ht="13.2" x14ac:dyDescent="0.25"/>
    <row r="9376" customFormat="1" ht="13.2" x14ac:dyDescent="0.25"/>
    <row r="9377" customFormat="1" ht="13.2" x14ac:dyDescent="0.25"/>
    <row r="9378" customFormat="1" ht="13.2" x14ac:dyDescent="0.25"/>
    <row r="9379" customFormat="1" ht="13.2" x14ac:dyDescent="0.25"/>
    <row r="9380" customFormat="1" ht="13.2" x14ac:dyDescent="0.25"/>
    <row r="9381" customFormat="1" ht="13.2" x14ac:dyDescent="0.25"/>
    <row r="9382" customFormat="1" ht="13.2" x14ac:dyDescent="0.25"/>
    <row r="9383" customFormat="1" ht="13.2" x14ac:dyDescent="0.25"/>
    <row r="9384" customFormat="1" ht="13.2" x14ac:dyDescent="0.25"/>
    <row r="9385" customFormat="1" ht="13.2" x14ac:dyDescent="0.25"/>
    <row r="9386" customFormat="1" ht="13.2" x14ac:dyDescent="0.25"/>
    <row r="9387" customFormat="1" ht="13.2" x14ac:dyDescent="0.25"/>
    <row r="9388" customFormat="1" ht="13.2" x14ac:dyDescent="0.25"/>
    <row r="9389" customFormat="1" ht="13.2" x14ac:dyDescent="0.25"/>
    <row r="9390" customFormat="1" ht="13.2" x14ac:dyDescent="0.25"/>
    <row r="9391" customFormat="1" ht="13.2" x14ac:dyDescent="0.25"/>
    <row r="9392" customFormat="1" ht="13.2" x14ac:dyDescent="0.25"/>
    <row r="9393" customFormat="1" ht="13.2" x14ac:dyDescent="0.25"/>
    <row r="9394" customFormat="1" ht="13.2" x14ac:dyDescent="0.25"/>
    <row r="9395" customFormat="1" ht="13.2" x14ac:dyDescent="0.25"/>
    <row r="9396" customFormat="1" ht="13.2" x14ac:dyDescent="0.25"/>
    <row r="9397" customFormat="1" ht="13.2" x14ac:dyDescent="0.25"/>
    <row r="9398" customFormat="1" ht="13.2" x14ac:dyDescent="0.25"/>
    <row r="9399" customFormat="1" ht="13.2" x14ac:dyDescent="0.25"/>
    <row r="9400" customFormat="1" ht="13.2" x14ac:dyDescent="0.25"/>
    <row r="9401" customFormat="1" ht="13.2" x14ac:dyDescent="0.25"/>
    <row r="9402" customFormat="1" ht="13.2" x14ac:dyDescent="0.25"/>
    <row r="9403" customFormat="1" ht="13.2" x14ac:dyDescent="0.25"/>
    <row r="9404" customFormat="1" ht="13.2" x14ac:dyDescent="0.25"/>
    <row r="9405" customFormat="1" ht="13.2" x14ac:dyDescent="0.25"/>
    <row r="9406" customFormat="1" ht="13.2" x14ac:dyDescent="0.25"/>
    <row r="9407" customFormat="1" ht="13.2" x14ac:dyDescent="0.25"/>
    <row r="9408" customFormat="1" ht="13.2" x14ac:dyDescent="0.25"/>
    <row r="9409" customFormat="1" ht="13.2" x14ac:dyDescent="0.25"/>
    <row r="9410" customFormat="1" ht="13.2" x14ac:dyDescent="0.25"/>
    <row r="9411" customFormat="1" ht="13.2" x14ac:dyDescent="0.25"/>
    <row r="9412" customFormat="1" ht="13.2" x14ac:dyDescent="0.25"/>
    <row r="9413" customFormat="1" ht="13.2" x14ac:dyDescent="0.25"/>
    <row r="9414" customFormat="1" ht="13.2" x14ac:dyDescent="0.25"/>
    <row r="9415" customFormat="1" ht="13.2" x14ac:dyDescent="0.25"/>
    <row r="9416" customFormat="1" ht="13.2" x14ac:dyDescent="0.25"/>
    <row r="9417" customFormat="1" ht="13.2" x14ac:dyDescent="0.25"/>
    <row r="9418" customFormat="1" ht="13.2" x14ac:dyDescent="0.25"/>
    <row r="9419" customFormat="1" ht="13.2" x14ac:dyDescent="0.25"/>
    <row r="9420" customFormat="1" ht="13.2" x14ac:dyDescent="0.25"/>
    <row r="9421" customFormat="1" ht="13.2" x14ac:dyDescent="0.25"/>
    <row r="9422" customFormat="1" ht="13.2" x14ac:dyDescent="0.25"/>
    <row r="9423" customFormat="1" ht="13.2" x14ac:dyDescent="0.25"/>
    <row r="9424" customFormat="1" ht="13.2" x14ac:dyDescent="0.25"/>
    <row r="9425" customFormat="1" ht="13.2" x14ac:dyDescent="0.25"/>
    <row r="9426" customFormat="1" ht="13.2" x14ac:dyDescent="0.25"/>
    <row r="9427" customFormat="1" ht="13.2" x14ac:dyDescent="0.25"/>
    <row r="9428" customFormat="1" ht="13.2" x14ac:dyDescent="0.25"/>
    <row r="9429" customFormat="1" ht="13.2" x14ac:dyDescent="0.25"/>
    <row r="9430" customFormat="1" ht="13.2" x14ac:dyDescent="0.25"/>
    <row r="9431" customFormat="1" ht="13.2" x14ac:dyDescent="0.25"/>
    <row r="9432" customFormat="1" ht="13.2" x14ac:dyDescent="0.25"/>
    <row r="9433" customFormat="1" ht="13.2" x14ac:dyDescent="0.25"/>
    <row r="9434" customFormat="1" ht="13.2" x14ac:dyDescent="0.25"/>
    <row r="9435" customFormat="1" ht="13.2" x14ac:dyDescent="0.25"/>
    <row r="9436" customFormat="1" ht="13.2" x14ac:dyDescent="0.25"/>
    <row r="9437" customFormat="1" ht="13.2" x14ac:dyDescent="0.25"/>
    <row r="9438" customFormat="1" ht="13.2" x14ac:dyDescent="0.25"/>
    <row r="9439" customFormat="1" ht="13.2" x14ac:dyDescent="0.25"/>
    <row r="9440" customFormat="1" ht="13.2" x14ac:dyDescent="0.25"/>
    <row r="9441" customFormat="1" ht="13.2" x14ac:dyDescent="0.25"/>
    <row r="9442" customFormat="1" ht="13.2" x14ac:dyDescent="0.25"/>
    <row r="9443" customFormat="1" ht="13.2" x14ac:dyDescent="0.25"/>
    <row r="9444" customFormat="1" ht="13.2" x14ac:dyDescent="0.25"/>
    <row r="9445" customFormat="1" ht="13.2" x14ac:dyDescent="0.25"/>
    <row r="9446" customFormat="1" ht="13.2" x14ac:dyDescent="0.25"/>
    <row r="9447" customFormat="1" ht="13.2" x14ac:dyDescent="0.25"/>
    <row r="9448" customFormat="1" ht="13.2" x14ac:dyDescent="0.25"/>
    <row r="9449" customFormat="1" ht="13.2" x14ac:dyDescent="0.25"/>
    <row r="9450" customFormat="1" ht="13.2" x14ac:dyDescent="0.25"/>
    <row r="9451" customFormat="1" ht="13.2" x14ac:dyDescent="0.25"/>
    <row r="9452" customFormat="1" ht="13.2" x14ac:dyDescent="0.25"/>
    <row r="9453" customFormat="1" ht="13.2" x14ac:dyDescent="0.25"/>
    <row r="9454" customFormat="1" ht="13.2" x14ac:dyDescent="0.25"/>
    <row r="9455" customFormat="1" ht="13.2" x14ac:dyDescent="0.25"/>
    <row r="9456" customFormat="1" ht="13.2" x14ac:dyDescent="0.25"/>
    <row r="9457" customFormat="1" ht="13.2" x14ac:dyDescent="0.25"/>
    <row r="9458" customFormat="1" ht="13.2" x14ac:dyDescent="0.25"/>
    <row r="9459" customFormat="1" ht="13.2" x14ac:dyDescent="0.25"/>
    <row r="9460" customFormat="1" ht="13.2" x14ac:dyDescent="0.25"/>
    <row r="9461" customFormat="1" ht="13.2" x14ac:dyDescent="0.25"/>
    <row r="9462" customFormat="1" ht="13.2" x14ac:dyDescent="0.25"/>
    <row r="9463" customFormat="1" ht="13.2" x14ac:dyDescent="0.25"/>
    <row r="9464" customFormat="1" ht="13.2" x14ac:dyDescent="0.25"/>
    <row r="9465" customFormat="1" ht="13.2" x14ac:dyDescent="0.25"/>
    <row r="9466" customFormat="1" ht="13.2" x14ac:dyDescent="0.25"/>
    <row r="9467" customFormat="1" ht="13.2" x14ac:dyDescent="0.25"/>
    <row r="9468" customFormat="1" ht="13.2" x14ac:dyDescent="0.25"/>
    <row r="9469" customFormat="1" ht="13.2" x14ac:dyDescent="0.25"/>
    <row r="9470" customFormat="1" ht="13.2" x14ac:dyDescent="0.25"/>
    <row r="9471" customFormat="1" ht="13.2" x14ac:dyDescent="0.25"/>
    <row r="9472" customFormat="1" ht="13.2" x14ac:dyDescent="0.25"/>
    <row r="9473" customFormat="1" ht="13.2" x14ac:dyDescent="0.25"/>
    <row r="9474" customFormat="1" ht="13.2" x14ac:dyDescent="0.25"/>
    <row r="9475" customFormat="1" ht="13.2" x14ac:dyDescent="0.25"/>
    <row r="9476" customFormat="1" ht="13.2" x14ac:dyDescent="0.25"/>
    <row r="9477" customFormat="1" ht="13.2" x14ac:dyDescent="0.25"/>
    <row r="9478" customFormat="1" ht="13.2" x14ac:dyDescent="0.25"/>
    <row r="9479" customFormat="1" ht="13.2" x14ac:dyDescent="0.25"/>
    <row r="9480" customFormat="1" ht="13.2" x14ac:dyDescent="0.25"/>
    <row r="9481" customFormat="1" ht="13.2" x14ac:dyDescent="0.25"/>
    <row r="9482" customFormat="1" ht="13.2" x14ac:dyDescent="0.25"/>
    <row r="9483" customFormat="1" ht="13.2" x14ac:dyDescent="0.25"/>
    <row r="9484" customFormat="1" ht="13.2" x14ac:dyDescent="0.25"/>
    <row r="9485" customFormat="1" ht="13.2" x14ac:dyDescent="0.25"/>
    <row r="9486" customFormat="1" ht="13.2" x14ac:dyDescent="0.25"/>
    <row r="9487" customFormat="1" ht="13.2" x14ac:dyDescent="0.25"/>
    <row r="9488" customFormat="1" ht="13.2" x14ac:dyDescent="0.25"/>
    <row r="9489" customFormat="1" ht="13.2" x14ac:dyDescent="0.25"/>
    <row r="9490" customFormat="1" ht="13.2" x14ac:dyDescent="0.25"/>
    <row r="9491" customFormat="1" ht="13.2" x14ac:dyDescent="0.25"/>
    <row r="9492" customFormat="1" ht="13.2" x14ac:dyDescent="0.25"/>
    <row r="9493" customFormat="1" ht="13.2" x14ac:dyDescent="0.25"/>
    <row r="9494" customFormat="1" ht="13.2" x14ac:dyDescent="0.25"/>
    <row r="9495" customFormat="1" ht="13.2" x14ac:dyDescent="0.25"/>
    <row r="9496" customFormat="1" ht="13.2" x14ac:dyDescent="0.25"/>
    <row r="9497" customFormat="1" ht="13.2" x14ac:dyDescent="0.25"/>
    <row r="9498" customFormat="1" ht="13.2" x14ac:dyDescent="0.25"/>
    <row r="9499" customFormat="1" ht="13.2" x14ac:dyDescent="0.25"/>
    <row r="9500" customFormat="1" ht="13.2" x14ac:dyDescent="0.25"/>
    <row r="9501" customFormat="1" ht="13.2" x14ac:dyDescent="0.25"/>
    <row r="9502" customFormat="1" ht="13.2" x14ac:dyDescent="0.25"/>
    <row r="9503" customFormat="1" ht="13.2" x14ac:dyDescent="0.25"/>
    <row r="9504" customFormat="1" ht="13.2" x14ac:dyDescent="0.25"/>
    <row r="9505" customFormat="1" ht="13.2" x14ac:dyDescent="0.25"/>
    <row r="9506" customFormat="1" ht="13.2" x14ac:dyDescent="0.25"/>
    <row r="9507" customFormat="1" ht="13.2" x14ac:dyDescent="0.25"/>
    <row r="9508" customFormat="1" ht="13.2" x14ac:dyDescent="0.25"/>
    <row r="9509" customFormat="1" ht="13.2" x14ac:dyDescent="0.25"/>
    <row r="9510" customFormat="1" ht="13.2" x14ac:dyDescent="0.25"/>
    <row r="9511" customFormat="1" ht="13.2" x14ac:dyDescent="0.25"/>
    <row r="9512" customFormat="1" ht="13.2" x14ac:dyDescent="0.25"/>
    <row r="9513" customFormat="1" ht="13.2" x14ac:dyDescent="0.25"/>
    <row r="9514" customFormat="1" ht="13.2" x14ac:dyDescent="0.25"/>
    <row r="9515" customFormat="1" ht="13.2" x14ac:dyDescent="0.25"/>
    <row r="9516" customFormat="1" ht="13.2" x14ac:dyDescent="0.25"/>
    <row r="9517" customFormat="1" ht="13.2" x14ac:dyDescent="0.25"/>
    <row r="9518" customFormat="1" ht="13.2" x14ac:dyDescent="0.25"/>
    <row r="9519" customFormat="1" ht="13.2" x14ac:dyDescent="0.25"/>
    <row r="9520" customFormat="1" ht="13.2" x14ac:dyDescent="0.25"/>
    <row r="9521" customFormat="1" ht="13.2" x14ac:dyDescent="0.25"/>
    <row r="9522" customFormat="1" ht="13.2" x14ac:dyDescent="0.25"/>
    <row r="9523" customFormat="1" ht="13.2" x14ac:dyDescent="0.25"/>
    <row r="9524" customFormat="1" ht="13.2" x14ac:dyDescent="0.25"/>
    <row r="9525" customFormat="1" ht="13.2" x14ac:dyDescent="0.25"/>
    <row r="9526" customFormat="1" ht="13.2" x14ac:dyDescent="0.25"/>
    <row r="9527" customFormat="1" ht="13.2" x14ac:dyDescent="0.25"/>
    <row r="9528" customFormat="1" ht="13.2" x14ac:dyDescent="0.25"/>
    <row r="9529" customFormat="1" ht="13.2" x14ac:dyDescent="0.25"/>
    <row r="9530" customFormat="1" ht="13.2" x14ac:dyDescent="0.25"/>
    <row r="9531" customFormat="1" ht="13.2" x14ac:dyDescent="0.25"/>
    <row r="9532" customFormat="1" ht="13.2" x14ac:dyDescent="0.25"/>
    <row r="9533" customFormat="1" ht="13.2" x14ac:dyDescent="0.25"/>
    <row r="9534" customFormat="1" ht="13.2" x14ac:dyDescent="0.25"/>
    <row r="9535" customFormat="1" ht="13.2" x14ac:dyDescent="0.25"/>
    <row r="9536" customFormat="1" ht="13.2" x14ac:dyDescent="0.25"/>
    <row r="9537" customFormat="1" ht="13.2" x14ac:dyDescent="0.25"/>
    <row r="9538" customFormat="1" ht="13.2" x14ac:dyDescent="0.25"/>
    <row r="9539" customFormat="1" ht="13.2" x14ac:dyDescent="0.25"/>
    <row r="9540" customFormat="1" ht="13.2" x14ac:dyDescent="0.25"/>
    <row r="9541" customFormat="1" ht="13.2" x14ac:dyDescent="0.25"/>
    <row r="9542" customFormat="1" ht="13.2" x14ac:dyDescent="0.25"/>
    <row r="9543" customFormat="1" ht="13.2" x14ac:dyDescent="0.25"/>
    <row r="9544" customFormat="1" ht="13.2" x14ac:dyDescent="0.25"/>
    <row r="9545" customFormat="1" ht="13.2" x14ac:dyDescent="0.25"/>
    <row r="9546" customFormat="1" ht="13.2" x14ac:dyDescent="0.25"/>
    <row r="9547" customFormat="1" ht="13.2" x14ac:dyDescent="0.25"/>
    <row r="9548" customFormat="1" ht="13.2" x14ac:dyDescent="0.25"/>
    <row r="9549" customFormat="1" ht="13.2" x14ac:dyDescent="0.25"/>
    <row r="9550" customFormat="1" ht="13.2" x14ac:dyDescent="0.25"/>
    <row r="9551" customFormat="1" ht="13.2" x14ac:dyDescent="0.25"/>
    <row r="9552" customFormat="1" ht="13.2" x14ac:dyDescent="0.25"/>
    <row r="9553" customFormat="1" ht="13.2" x14ac:dyDescent="0.25"/>
    <row r="9554" customFormat="1" ht="13.2" x14ac:dyDescent="0.25"/>
    <row r="9555" customFormat="1" ht="13.2" x14ac:dyDescent="0.25"/>
    <row r="9556" customFormat="1" ht="13.2" x14ac:dyDescent="0.25"/>
    <row r="9557" customFormat="1" ht="13.2" x14ac:dyDescent="0.25"/>
    <row r="9558" customFormat="1" ht="13.2" x14ac:dyDescent="0.25"/>
    <row r="9559" customFormat="1" ht="13.2" x14ac:dyDescent="0.25"/>
    <row r="9560" customFormat="1" ht="13.2" x14ac:dyDescent="0.25"/>
    <row r="9561" customFormat="1" ht="13.2" x14ac:dyDescent="0.25"/>
    <row r="9562" customFormat="1" ht="13.2" x14ac:dyDescent="0.25"/>
    <row r="9563" customFormat="1" ht="13.2" x14ac:dyDescent="0.25"/>
    <row r="9564" customFormat="1" ht="13.2" x14ac:dyDescent="0.25"/>
    <row r="9565" customFormat="1" ht="13.2" x14ac:dyDescent="0.25"/>
    <row r="9566" customFormat="1" ht="13.2" x14ac:dyDescent="0.25"/>
    <row r="9567" customFormat="1" ht="13.2" x14ac:dyDescent="0.25"/>
    <row r="9568" customFormat="1" ht="13.2" x14ac:dyDescent="0.25"/>
    <row r="9569" customFormat="1" ht="13.2" x14ac:dyDescent="0.25"/>
    <row r="9570" customFormat="1" ht="13.2" x14ac:dyDescent="0.25"/>
    <row r="9571" customFormat="1" ht="13.2" x14ac:dyDescent="0.25"/>
    <row r="9572" customFormat="1" ht="13.2" x14ac:dyDescent="0.25"/>
    <row r="9573" customFormat="1" ht="13.2" x14ac:dyDescent="0.25"/>
    <row r="9574" customFormat="1" ht="13.2" x14ac:dyDescent="0.25"/>
    <row r="9575" customFormat="1" ht="13.2" x14ac:dyDescent="0.25"/>
    <row r="9576" customFormat="1" ht="13.2" x14ac:dyDescent="0.25"/>
    <row r="9577" customFormat="1" ht="13.2" x14ac:dyDescent="0.25"/>
    <row r="9578" customFormat="1" ht="13.2" x14ac:dyDescent="0.25"/>
    <row r="9579" customFormat="1" ht="13.2" x14ac:dyDescent="0.25"/>
    <row r="9580" customFormat="1" ht="13.2" x14ac:dyDescent="0.25"/>
    <row r="9581" customFormat="1" ht="13.2" x14ac:dyDescent="0.25"/>
    <row r="9582" customFormat="1" ht="13.2" x14ac:dyDescent="0.25"/>
    <row r="9583" customFormat="1" ht="13.2" x14ac:dyDescent="0.25"/>
    <row r="9584" customFormat="1" ht="13.2" x14ac:dyDescent="0.25"/>
    <row r="9585" customFormat="1" ht="13.2" x14ac:dyDescent="0.25"/>
    <row r="9586" customFormat="1" ht="13.2" x14ac:dyDescent="0.25"/>
    <row r="9587" customFormat="1" ht="13.2" x14ac:dyDescent="0.25"/>
    <row r="9588" customFormat="1" ht="13.2" x14ac:dyDescent="0.25"/>
    <row r="9589" customFormat="1" ht="13.2" x14ac:dyDescent="0.25"/>
    <row r="9590" customFormat="1" ht="13.2" x14ac:dyDescent="0.25"/>
    <row r="9591" customFormat="1" ht="13.2" x14ac:dyDescent="0.25"/>
    <row r="9592" customFormat="1" ht="13.2" x14ac:dyDescent="0.25"/>
    <row r="9593" customFormat="1" ht="13.2" x14ac:dyDescent="0.25"/>
    <row r="9594" customFormat="1" ht="13.2" x14ac:dyDescent="0.25"/>
    <row r="9595" customFormat="1" ht="13.2" x14ac:dyDescent="0.25"/>
    <row r="9596" customFormat="1" ht="13.2" x14ac:dyDescent="0.25"/>
    <row r="9597" customFormat="1" ht="13.2" x14ac:dyDescent="0.25"/>
    <row r="9598" customFormat="1" ht="13.2" x14ac:dyDescent="0.25"/>
    <row r="9599" customFormat="1" ht="13.2" x14ac:dyDescent="0.25"/>
    <row r="9600" customFormat="1" ht="13.2" x14ac:dyDescent="0.25"/>
    <row r="9601" customFormat="1" ht="13.2" x14ac:dyDescent="0.25"/>
    <row r="9602" customFormat="1" ht="13.2" x14ac:dyDescent="0.25"/>
    <row r="9603" customFormat="1" ht="13.2" x14ac:dyDescent="0.25"/>
    <row r="9604" customFormat="1" ht="13.2" x14ac:dyDescent="0.25"/>
    <row r="9605" customFormat="1" ht="13.2" x14ac:dyDescent="0.25"/>
    <row r="9606" customFormat="1" ht="13.2" x14ac:dyDescent="0.25"/>
    <row r="9607" customFormat="1" ht="13.2" x14ac:dyDescent="0.25"/>
    <row r="9608" customFormat="1" ht="13.2" x14ac:dyDescent="0.25"/>
    <row r="9609" customFormat="1" ht="13.2" x14ac:dyDescent="0.25"/>
    <row r="9610" customFormat="1" ht="13.2" x14ac:dyDescent="0.25"/>
    <row r="9611" customFormat="1" ht="13.2" x14ac:dyDescent="0.25"/>
    <row r="9612" customFormat="1" ht="13.2" x14ac:dyDescent="0.25"/>
    <row r="9613" customFormat="1" ht="13.2" x14ac:dyDescent="0.25"/>
    <row r="9614" customFormat="1" ht="13.2" x14ac:dyDescent="0.25"/>
    <row r="9615" customFormat="1" ht="13.2" x14ac:dyDescent="0.25"/>
    <row r="9616" customFormat="1" ht="13.2" x14ac:dyDescent="0.25"/>
    <row r="9617" customFormat="1" ht="13.2" x14ac:dyDescent="0.25"/>
    <row r="9618" customFormat="1" ht="13.2" x14ac:dyDescent="0.25"/>
    <row r="9619" customFormat="1" ht="13.2" x14ac:dyDescent="0.25"/>
    <row r="9620" customFormat="1" ht="13.2" x14ac:dyDescent="0.25"/>
    <row r="9621" customFormat="1" ht="13.2" x14ac:dyDescent="0.25"/>
    <row r="9622" customFormat="1" ht="13.2" x14ac:dyDescent="0.25"/>
    <row r="9623" customFormat="1" ht="13.2" x14ac:dyDescent="0.25"/>
    <row r="9624" customFormat="1" ht="13.2" x14ac:dyDescent="0.25"/>
    <row r="9625" customFormat="1" ht="13.2" x14ac:dyDescent="0.25"/>
    <row r="9626" customFormat="1" ht="13.2" x14ac:dyDescent="0.25"/>
    <row r="9627" customFormat="1" ht="13.2" x14ac:dyDescent="0.25"/>
    <row r="9628" customFormat="1" ht="13.2" x14ac:dyDescent="0.25"/>
    <row r="9629" customFormat="1" ht="13.2" x14ac:dyDescent="0.25"/>
    <row r="9630" customFormat="1" ht="13.2" x14ac:dyDescent="0.25"/>
    <row r="9631" customFormat="1" ht="13.2" x14ac:dyDescent="0.25"/>
    <row r="9632" customFormat="1" ht="13.2" x14ac:dyDescent="0.25"/>
    <row r="9633" customFormat="1" ht="13.2" x14ac:dyDescent="0.25"/>
    <row r="9634" customFormat="1" ht="13.2" x14ac:dyDescent="0.25"/>
    <row r="9635" customFormat="1" ht="13.2" x14ac:dyDescent="0.25"/>
    <row r="9636" customFormat="1" ht="13.2" x14ac:dyDescent="0.25"/>
    <row r="9637" customFormat="1" ht="13.2" x14ac:dyDescent="0.25"/>
    <row r="9638" customFormat="1" ht="13.2" x14ac:dyDescent="0.25"/>
    <row r="9639" customFormat="1" ht="13.2" x14ac:dyDescent="0.25"/>
    <row r="9640" customFormat="1" ht="13.2" x14ac:dyDescent="0.25"/>
    <row r="9641" customFormat="1" ht="13.2" x14ac:dyDescent="0.25"/>
    <row r="9642" customFormat="1" ht="13.2" x14ac:dyDescent="0.25"/>
    <row r="9643" customFormat="1" ht="13.2" x14ac:dyDescent="0.25"/>
    <row r="9644" customFormat="1" ht="13.2" x14ac:dyDescent="0.25"/>
    <row r="9645" customFormat="1" ht="13.2" x14ac:dyDescent="0.25"/>
    <row r="9646" customFormat="1" ht="13.2" x14ac:dyDescent="0.25"/>
    <row r="9647" customFormat="1" ht="13.2" x14ac:dyDescent="0.25"/>
    <row r="9648" customFormat="1" ht="13.2" x14ac:dyDescent="0.25"/>
    <row r="9649" customFormat="1" ht="13.2" x14ac:dyDescent="0.25"/>
    <row r="9650" customFormat="1" ht="13.2" x14ac:dyDescent="0.25"/>
    <row r="9651" customFormat="1" ht="13.2" x14ac:dyDescent="0.25"/>
    <row r="9652" customFormat="1" ht="13.2" x14ac:dyDescent="0.25"/>
    <row r="9653" customFormat="1" ht="13.2" x14ac:dyDescent="0.25"/>
    <row r="9654" customFormat="1" ht="13.2" x14ac:dyDescent="0.25"/>
    <row r="9655" customFormat="1" ht="13.2" x14ac:dyDescent="0.25"/>
    <row r="9656" customFormat="1" ht="13.2" x14ac:dyDescent="0.25"/>
    <row r="9657" customFormat="1" ht="13.2" x14ac:dyDescent="0.25"/>
    <row r="9658" customFormat="1" ht="13.2" x14ac:dyDescent="0.25"/>
    <row r="9659" customFormat="1" ht="13.2" x14ac:dyDescent="0.25"/>
    <row r="9660" customFormat="1" ht="13.2" x14ac:dyDescent="0.25"/>
    <row r="9661" customFormat="1" ht="13.2" x14ac:dyDescent="0.25"/>
    <row r="9662" customFormat="1" ht="13.2" x14ac:dyDescent="0.25"/>
    <row r="9663" customFormat="1" ht="13.2" x14ac:dyDescent="0.25"/>
    <row r="9664" customFormat="1" ht="13.2" x14ac:dyDescent="0.25"/>
    <row r="9665" customFormat="1" ht="13.2" x14ac:dyDescent="0.25"/>
    <row r="9666" customFormat="1" ht="13.2" x14ac:dyDescent="0.25"/>
    <row r="9667" customFormat="1" ht="13.2" x14ac:dyDescent="0.25"/>
    <row r="9668" customFormat="1" ht="13.2" x14ac:dyDescent="0.25"/>
    <row r="9669" customFormat="1" ht="13.2" x14ac:dyDescent="0.25"/>
    <row r="9670" customFormat="1" ht="13.2" x14ac:dyDescent="0.25"/>
    <row r="9671" customFormat="1" ht="13.2" x14ac:dyDescent="0.25"/>
    <row r="9672" customFormat="1" ht="13.2" x14ac:dyDescent="0.25"/>
    <row r="9673" customFormat="1" ht="13.2" x14ac:dyDescent="0.25"/>
    <row r="9674" customFormat="1" ht="13.2" x14ac:dyDescent="0.25"/>
    <row r="9675" customFormat="1" ht="13.2" x14ac:dyDescent="0.25"/>
    <row r="9676" customFormat="1" ht="13.2" x14ac:dyDescent="0.25"/>
    <row r="9677" customFormat="1" ht="13.2" x14ac:dyDescent="0.25"/>
    <row r="9678" customFormat="1" ht="13.2" x14ac:dyDescent="0.25"/>
    <row r="9679" customFormat="1" ht="13.2" x14ac:dyDescent="0.25"/>
    <row r="9680" customFormat="1" ht="13.2" x14ac:dyDescent="0.25"/>
    <row r="9681" customFormat="1" ht="13.2" x14ac:dyDescent="0.25"/>
    <row r="9682" customFormat="1" ht="13.2" x14ac:dyDescent="0.25"/>
    <row r="9683" customFormat="1" ht="13.2" x14ac:dyDescent="0.25"/>
    <row r="9684" customFormat="1" ht="13.2" x14ac:dyDescent="0.25"/>
    <row r="9685" customFormat="1" ht="13.2" x14ac:dyDescent="0.25"/>
    <row r="9686" customFormat="1" ht="13.2" x14ac:dyDescent="0.25"/>
    <row r="9687" customFormat="1" ht="13.2" x14ac:dyDescent="0.25"/>
    <row r="9688" customFormat="1" ht="13.2" x14ac:dyDescent="0.25"/>
    <row r="9689" customFormat="1" ht="13.2" x14ac:dyDescent="0.25"/>
    <row r="9690" customFormat="1" ht="13.2" x14ac:dyDescent="0.25"/>
    <row r="9691" customFormat="1" ht="13.2" x14ac:dyDescent="0.25"/>
    <row r="9692" customFormat="1" ht="13.2" x14ac:dyDescent="0.25"/>
    <row r="9693" customFormat="1" ht="13.2" x14ac:dyDescent="0.25"/>
    <row r="9694" customFormat="1" ht="13.2" x14ac:dyDescent="0.25"/>
    <row r="9695" customFormat="1" ht="13.2" x14ac:dyDescent="0.25"/>
    <row r="9696" customFormat="1" ht="13.2" x14ac:dyDescent="0.25"/>
    <row r="9697" customFormat="1" ht="13.2" x14ac:dyDescent="0.25"/>
    <row r="9698" customFormat="1" ht="13.2" x14ac:dyDescent="0.25"/>
    <row r="9699" customFormat="1" ht="13.2" x14ac:dyDescent="0.25"/>
    <row r="9700" customFormat="1" ht="13.2" x14ac:dyDescent="0.25"/>
    <row r="9701" customFormat="1" ht="13.2" x14ac:dyDescent="0.25"/>
    <row r="9702" customFormat="1" ht="13.2" x14ac:dyDescent="0.25"/>
    <row r="9703" customFormat="1" ht="13.2" x14ac:dyDescent="0.25"/>
    <row r="9704" customFormat="1" ht="13.2" x14ac:dyDescent="0.25"/>
    <row r="9705" customFormat="1" ht="13.2" x14ac:dyDescent="0.25"/>
    <row r="9706" customFormat="1" ht="13.2" x14ac:dyDescent="0.25"/>
    <row r="9707" customFormat="1" ht="13.2" x14ac:dyDescent="0.25"/>
    <row r="9708" customFormat="1" ht="13.2" x14ac:dyDescent="0.25"/>
    <row r="9709" customFormat="1" ht="13.2" x14ac:dyDescent="0.25"/>
    <row r="9710" customFormat="1" ht="13.2" x14ac:dyDescent="0.25"/>
    <row r="9711" customFormat="1" ht="13.2" x14ac:dyDescent="0.25"/>
    <row r="9712" customFormat="1" ht="13.2" x14ac:dyDescent="0.25"/>
    <row r="9713" customFormat="1" ht="13.2" x14ac:dyDescent="0.25"/>
    <row r="9714" customFormat="1" ht="13.2" x14ac:dyDescent="0.25"/>
    <row r="9715" customFormat="1" ht="13.2" x14ac:dyDescent="0.25"/>
    <row r="9716" customFormat="1" ht="13.2" x14ac:dyDescent="0.25"/>
    <row r="9717" customFormat="1" ht="13.2" x14ac:dyDescent="0.25"/>
    <row r="9718" customFormat="1" ht="13.2" x14ac:dyDescent="0.25"/>
    <row r="9719" customFormat="1" ht="13.2" x14ac:dyDescent="0.25"/>
    <row r="9720" customFormat="1" ht="13.2" x14ac:dyDescent="0.25"/>
    <row r="9721" customFormat="1" ht="13.2" x14ac:dyDescent="0.25"/>
    <row r="9722" customFormat="1" ht="13.2" x14ac:dyDescent="0.25"/>
    <row r="9723" customFormat="1" ht="13.2" x14ac:dyDescent="0.25"/>
    <row r="9724" customFormat="1" ht="13.2" x14ac:dyDescent="0.25"/>
    <row r="9725" customFormat="1" ht="13.2" x14ac:dyDescent="0.25"/>
    <row r="9726" customFormat="1" ht="13.2" x14ac:dyDescent="0.25"/>
    <row r="9727" customFormat="1" ht="13.2" x14ac:dyDescent="0.25"/>
    <row r="9728" customFormat="1" ht="13.2" x14ac:dyDescent="0.25"/>
    <row r="9729" customFormat="1" ht="13.2" x14ac:dyDescent="0.25"/>
    <row r="9730" customFormat="1" ht="13.2" x14ac:dyDescent="0.25"/>
    <row r="9731" customFormat="1" ht="13.2" x14ac:dyDescent="0.25"/>
    <row r="9732" customFormat="1" ht="13.2" x14ac:dyDescent="0.25"/>
    <row r="9733" customFormat="1" ht="13.2" x14ac:dyDescent="0.25"/>
    <row r="9734" customFormat="1" ht="13.2" x14ac:dyDescent="0.25"/>
    <row r="9735" customFormat="1" ht="13.2" x14ac:dyDescent="0.25"/>
    <row r="9736" customFormat="1" ht="13.2" x14ac:dyDescent="0.25"/>
    <row r="9737" customFormat="1" ht="13.2" x14ac:dyDescent="0.25"/>
    <row r="9738" customFormat="1" ht="13.2" x14ac:dyDescent="0.25"/>
    <row r="9739" customFormat="1" ht="13.2" x14ac:dyDescent="0.25"/>
    <row r="9740" customFormat="1" ht="13.2" x14ac:dyDescent="0.25"/>
    <row r="9741" customFormat="1" ht="13.2" x14ac:dyDescent="0.25"/>
    <row r="9742" customFormat="1" ht="13.2" x14ac:dyDescent="0.25"/>
    <row r="9743" customFormat="1" ht="13.2" x14ac:dyDescent="0.25"/>
    <row r="9744" customFormat="1" ht="13.2" x14ac:dyDescent="0.25"/>
    <row r="9745" customFormat="1" ht="13.2" x14ac:dyDescent="0.25"/>
    <row r="9746" customFormat="1" ht="13.2" x14ac:dyDescent="0.25"/>
    <row r="9747" customFormat="1" ht="13.2" x14ac:dyDescent="0.25"/>
    <row r="9748" customFormat="1" ht="13.2" x14ac:dyDescent="0.25"/>
    <row r="9749" customFormat="1" ht="13.2" x14ac:dyDescent="0.25"/>
    <row r="9750" customFormat="1" ht="13.2" x14ac:dyDescent="0.25"/>
    <row r="9751" customFormat="1" ht="13.2" x14ac:dyDescent="0.25"/>
    <row r="9752" customFormat="1" ht="13.2" x14ac:dyDescent="0.25"/>
    <row r="9753" customFormat="1" ht="13.2" x14ac:dyDescent="0.25"/>
    <row r="9754" customFormat="1" ht="13.2" x14ac:dyDescent="0.25"/>
    <row r="9755" customFormat="1" ht="13.2" x14ac:dyDescent="0.25"/>
    <row r="9756" customFormat="1" ht="13.2" x14ac:dyDescent="0.25"/>
    <row r="9757" customFormat="1" ht="13.2" x14ac:dyDescent="0.25"/>
    <row r="9758" customFormat="1" ht="13.2" x14ac:dyDescent="0.25"/>
    <row r="9759" customFormat="1" ht="13.2" x14ac:dyDescent="0.25"/>
    <row r="9760" customFormat="1" ht="13.2" x14ac:dyDescent="0.25"/>
    <row r="9761" customFormat="1" ht="13.2" x14ac:dyDescent="0.25"/>
    <row r="9762" customFormat="1" ht="13.2" x14ac:dyDescent="0.25"/>
    <row r="9763" customFormat="1" ht="13.2" x14ac:dyDescent="0.25"/>
    <row r="9764" customFormat="1" ht="13.2" x14ac:dyDescent="0.25"/>
    <row r="9765" customFormat="1" ht="13.2" x14ac:dyDescent="0.25"/>
    <row r="9766" customFormat="1" ht="13.2" x14ac:dyDescent="0.25"/>
    <row r="9767" customFormat="1" ht="13.2" x14ac:dyDescent="0.25"/>
    <row r="9768" customFormat="1" ht="13.2" x14ac:dyDescent="0.25"/>
    <row r="9769" customFormat="1" ht="13.2" x14ac:dyDescent="0.25"/>
    <row r="9770" customFormat="1" ht="13.2" x14ac:dyDescent="0.25"/>
    <row r="9771" customFormat="1" ht="13.2" x14ac:dyDescent="0.25"/>
    <row r="9772" customFormat="1" ht="13.2" x14ac:dyDescent="0.25"/>
    <row r="9773" customFormat="1" ht="13.2" x14ac:dyDescent="0.25"/>
    <row r="9774" customFormat="1" ht="13.2" x14ac:dyDescent="0.25"/>
    <row r="9775" customFormat="1" ht="13.2" x14ac:dyDescent="0.25"/>
    <row r="9776" customFormat="1" ht="13.2" x14ac:dyDescent="0.25"/>
    <row r="9777" customFormat="1" ht="13.2" x14ac:dyDescent="0.25"/>
    <row r="9778" customFormat="1" ht="13.2" x14ac:dyDescent="0.25"/>
    <row r="9779" customFormat="1" ht="13.2" x14ac:dyDescent="0.25"/>
    <row r="9780" customFormat="1" ht="13.2" x14ac:dyDescent="0.25"/>
    <row r="9781" customFormat="1" ht="13.2" x14ac:dyDescent="0.25"/>
    <row r="9782" customFormat="1" ht="13.2" x14ac:dyDescent="0.25"/>
    <row r="9783" customFormat="1" ht="13.2" x14ac:dyDescent="0.25"/>
    <row r="9784" customFormat="1" ht="13.2" x14ac:dyDescent="0.25"/>
    <row r="9785" customFormat="1" ht="13.2" x14ac:dyDescent="0.25"/>
    <row r="9786" customFormat="1" ht="13.2" x14ac:dyDescent="0.25"/>
    <row r="9787" customFormat="1" ht="13.2" x14ac:dyDescent="0.25"/>
    <row r="9788" customFormat="1" ht="13.2" x14ac:dyDescent="0.25"/>
    <row r="9789" customFormat="1" ht="13.2" x14ac:dyDescent="0.25"/>
    <row r="9790" customFormat="1" ht="13.2" x14ac:dyDescent="0.25"/>
    <row r="9791" customFormat="1" ht="13.2" x14ac:dyDescent="0.25"/>
    <row r="9792" customFormat="1" ht="13.2" x14ac:dyDescent="0.25"/>
    <row r="9793" customFormat="1" ht="13.2" x14ac:dyDescent="0.25"/>
    <row r="9794" customFormat="1" ht="13.2" x14ac:dyDescent="0.25"/>
    <row r="9795" customFormat="1" ht="13.2" x14ac:dyDescent="0.25"/>
    <row r="9796" customFormat="1" ht="13.2" x14ac:dyDescent="0.25"/>
    <row r="9797" customFormat="1" ht="13.2" x14ac:dyDescent="0.25"/>
    <row r="9798" customFormat="1" ht="13.2" x14ac:dyDescent="0.25"/>
    <row r="9799" customFormat="1" ht="13.2" x14ac:dyDescent="0.25"/>
    <row r="9800" customFormat="1" ht="13.2" x14ac:dyDescent="0.25"/>
    <row r="9801" customFormat="1" ht="13.2" x14ac:dyDescent="0.25"/>
    <row r="9802" customFormat="1" ht="13.2" x14ac:dyDescent="0.25"/>
    <row r="9803" customFormat="1" ht="13.2" x14ac:dyDescent="0.25"/>
    <row r="9804" customFormat="1" ht="13.2" x14ac:dyDescent="0.25"/>
    <row r="9805" customFormat="1" ht="13.2" x14ac:dyDescent="0.25"/>
    <row r="9806" customFormat="1" ht="13.2" x14ac:dyDescent="0.25"/>
    <row r="9807" customFormat="1" ht="13.2" x14ac:dyDescent="0.25"/>
    <row r="9808" customFormat="1" ht="13.2" x14ac:dyDescent="0.25"/>
    <row r="9809" customFormat="1" ht="13.2" x14ac:dyDescent="0.25"/>
    <row r="9810" customFormat="1" ht="13.2" x14ac:dyDescent="0.25"/>
    <row r="9811" customFormat="1" ht="13.2" x14ac:dyDescent="0.25"/>
    <row r="9812" customFormat="1" ht="13.2" x14ac:dyDescent="0.25"/>
    <row r="9813" customFormat="1" ht="13.2" x14ac:dyDescent="0.25"/>
    <row r="9814" customFormat="1" ht="13.2" x14ac:dyDescent="0.25"/>
    <row r="9815" customFormat="1" ht="13.2" x14ac:dyDescent="0.25"/>
    <row r="9816" customFormat="1" ht="13.2" x14ac:dyDescent="0.25"/>
    <row r="9817" customFormat="1" ht="13.2" x14ac:dyDescent="0.25"/>
    <row r="9818" customFormat="1" ht="13.2" x14ac:dyDescent="0.25"/>
    <row r="9819" customFormat="1" ht="13.2" x14ac:dyDescent="0.25"/>
    <row r="9820" customFormat="1" ht="13.2" x14ac:dyDescent="0.25"/>
    <row r="9821" customFormat="1" ht="13.2" x14ac:dyDescent="0.25"/>
    <row r="9822" customFormat="1" ht="13.2" x14ac:dyDescent="0.25"/>
    <row r="9823" customFormat="1" ht="13.2" x14ac:dyDescent="0.25"/>
    <row r="9824" customFormat="1" ht="13.2" x14ac:dyDescent="0.25"/>
    <row r="9825" customFormat="1" ht="13.2" x14ac:dyDescent="0.25"/>
    <row r="9826" customFormat="1" ht="13.2" x14ac:dyDescent="0.25"/>
    <row r="9827" customFormat="1" ht="13.2" x14ac:dyDescent="0.25"/>
    <row r="9828" customFormat="1" ht="13.2" x14ac:dyDescent="0.25"/>
    <row r="9829" customFormat="1" ht="13.2" x14ac:dyDescent="0.25"/>
    <row r="9830" customFormat="1" ht="13.2" x14ac:dyDescent="0.25"/>
    <row r="9831" customFormat="1" ht="13.2" x14ac:dyDescent="0.25"/>
    <row r="9832" customFormat="1" ht="13.2" x14ac:dyDescent="0.25"/>
    <row r="9833" customFormat="1" ht="13.2" x14ac:dyDescent="0.25"/>
    <row r="9834" customFormat="1" ht="13.2" x14ac:dyDescent="0.25"/>
    <row r="9835" customFormat="1" ht="13.2" x14ac:dyDescent="0.25"/>
    <row r="9836" customFormat="1" ht="13.2" x14ac:dyDescent="0.25"/>
    <row r="9837" customFormat="1" ht="13.2" x14ac:dyDescent="0.25"/>
    <row r="9838" customFormat="1" ht="13.2" x14ac:dyDescent="0.25"/>
    <row r="9839" customFormat="1" ht="13.2" x14ac:dyDescent="0.25"/>
    <row r="9840" customFormat="1" ht="13.2" x14ac:dyDescent="0.25"/>
    <row r="9841" customFormat="1" ht="13.2" x14ac:dyDescent="0.25"/>
    <row r="9842" customFormat="1" ht="13.2" x14ac:dyDescent="0.25"/>
    <row r="9843" customFormat="1" ht="13.2" x14ac:dyDescent="0.25"/>
    <row r="9844" customFormat="1" ht="13.2" x14ac:dyDescent="0.25"/>
    <row r="9845" customFormat="1" ht="13.2" x14ac:dyDescent="0.25"/>
    <row r="9846" customFormat="1" ht="13.2" x14ac:dyDescent="0.25"/>
    <row r="9847" customFormat="1" ht="13.2" x14ac:dyDescent="0.25"/>
    <row r="9848" customFormat="1" ht="13.2" x14ac:dyDescent="0.25"/>
    <row r="9849" customFormat="1" ht="13.2" x14ac:dyDescent="0.25"/>
    <row r="9850" customFormat="1" ht="13.2" x14ac:dyDescent="0.25"/>
    <row r="9851" customFormat="1" ht="13.2" x14ac:dyDescent="0.25"/>
    <row r="9852" customFormat="1" ht="13.2" x14ac:dyDescent="0.25"/>
    <row r="9853" customFormat="1" ht="13.2" x14ac:dyDescent="0.25"/>
    <row r="9854" customFormat="1" ht="13.2" x14ac:dyDescent="0.25"/>
    <row r="9855" customFormat="1" ht="13.2" x14ac:dyDescent="0.25"/>
    <row r="9856" customFormat="1" ht="13.2" x14ac:dyDescent="0.25"/>
    <row r="9857" customFormat="1" ht="13.2" x14ac:dyDescent="0.25"/>
    <row r="9858" customFormat="1" ht="13.2" x14ac:dyDescent="0.25"/>
    <row r="9859" customFormat="1" ht="13.2" x14ac:dyDescent="0.25"/>
    <row r="9860" customFormat="1" ht="13.2" x14ac:dyDescent="0.25"/>
    <row r="9861" customFormat="1" ht="13.2" x14ac:dyDescent="0.25"/>
    <row r="9862" customFormat="1" ht="13.2" x14ac:dyDescent="0.25"/>
    <row r="9863" customFormat="1" ht="13.2" x14ac:dyDescent="0.25"/>
    <row r="9864" customFormat="1" ht="13.2" x14ac:dyDescent="0.25"/>
    <row r="9865" customFormat="1" ht="13.2" x14ac:dyDescent="0.25"/>
    <row r="9866" customFormat="1" ht="13.2" x14ac:dyDescent="0.25"/>
    <row r="9867" customFormat="1" ht="13.2" x14ac:dyDescent="0.25"/>
    <row r="9868" customFormat="1" ht="13.2" x14ac:dyDescent="0.25"/>
    <row r="9869" customFormat="1" ht="13.2" x14ac:dyDescent="0.25"/>
    <row r="9870" customFormat="1" ht="13.2" x14ac:dyDescent="0.25"/>
    <row r="9871" customFormat="1" ht="13.2" x14ac:dyDescent="0.25"/>
    <row r="9872" customFormat="1" ht="13.2" x14ac:dyDescent="0.25"/>
    <row r="9873" customFormat="1" ht="13.2" x14ac:dyDescent="0.25"/>
    <row r="9874" customFormat="1" ht="13.2" x14ac:dyDescent="0.25"/>
    <row r="9875" customFormat="1" ht="13.2" x14ac:dyDescent="0.25"/>
    <row r="9876" customFormat="1" ht="13.2" x14ac:dyDescent="0.25"/>
    <row r="9877" customFormat="1" ht="13.2" x14ac:dyDescent="0.25"/>
    <row r="9878" customFormat="1" ht="13.2" x14ac:dyDescent="0.25"/>
    <row r="9879" customFormat="1" ht="13.2" x14ac:dyDescent="0.25"/>
    <row r="9880" customFormat="1" ht="13.2" x14ac:dyDescent="0.25"/>
    <row r="9881" customFormat="1" ht="13.2" x14ac:dyDescent="0.25"/>
    <row r="9882" customFormat="1" ht="13.2" x14ac:dyDescent="0.25"/>
    <row r="9883" customFormat="1" ht="13.2" x14ac:dyDescent="0.25"/>
    <row r="9884" customFormat="1" ht="13.2" x14ac:dyDescent="0.25"/>
    <row r="9885" customFormat="1" ht="13.2" x14ac:dyDescent="0.25"/>
    <row r="9886" customFormat="1" ht="13.2" x14ac:dyDescent="0.25"/>
    <row r="9887" customFormat="1" ht="13.2" x14ac:dyDescent="0.25"/>
    <row r="9888" customFormat="1" ht="13.2" x14ac:dyDescent="0.25"/>
    <row r="9889" customFormat="1" ht="13.2" x14ac:dyDescent="0.25"/>
    <row r="9890" customFormat="1" ht="13.2" x14ac:dyDescent="0.25"/>
    <row r="9891" customFormat="1" ht="13.2" x14ac:dyDescent="0.25"/>
    <row r="9892" customFormat="1" ht="13.2" x14ac:dyDescent="0.25"/>
    <row r="9893" customFormat="1" ht="13.2" x14ac:dyDescent="0.25"/>
    <row r="9894" customFormat="1" ht="13.2" x14ac:dyDescent="0.25"/>
    <row r="9895" customFormat="1" ht="13.2" x14ac:dyDescent="0.25"/>
    <row r="9896" customFormat="1" ht="13.2" x14ac:dyDescent="0.25"/>
    <row r="9897" customFormat="1" ht="13.2" x14ac:dyDescent="0.25"/>
    <row r="9898" customFormat="1" ht="13.2" x14ac:dyDescent="0.25"/>
    <row r="9899" customFormat="1" ht="13.2" x14ac:dyDescent="0.25"/>
    <row r="9900" customFormat="1" ht="13.2" x14ac:dyDescent="0.25"/>
    <row r="9901" customFormat="1" ht="13.2" x14ac:dyDescent="0.25"/>
    <row r="9902" customFormat="1" ht="13.2" x14ac:dyDescent="0.25"/>
    <row r="9903" customFormat="1" ht="13.2" x14ac:dyDescent="0.25"/>
    <row r="9904" customFormat="1" ht="13.2" x14ac:dyDescent="0.25"/>
    <row r="9905" customFormat="1" ht="13.2" x14ac:dyDescent="0.25"/>
    <row r="9906" customFormat="1" ht="13.2" x14ac:dyDescent="0.25"/>
    <row r="9907" customFormat="1" ht="13.2" x14ac:dyDescent="0.25"/>
    <row r="9908" customFormat="1" ht="13.2" x14ac:dyDescent="0.25"/>
    <row r="9909" customFormat="1" ht="13.2" x14ac:dyDescent="0.25"/>
    <row r="9910" customFormat="1" ht="13.2" x14ac:dyDescent="0.25"/>
    <row r="9911" customFormat="1" ht="13.2" x14ac:dyDescent="0.25"/>
    <row r="9912" customFormat="1" ht="13.2" x14ac:dyDescent="0.25"/>
    <row r="9913" customFormat="1" ht="13.2" x14ac:dyDescent="0.25"/>
    <row r="9914" customFormat="1" ht="13.2" x14ac:dyDescent="0.25"/>
    <row r="9915" customFormat="1" ht="13.2" x14ac:dyDescent="0.25"/>
    <row r="9916" customFormat="1" ht="13.2" x14ac:dyDescent="0.25"/>
    <row r="9917" customFormat="1" ht="13.2" x14ac:dyDescent="0.25"/>
    <row r="9918" customFormat="1" ht="13.2" x14ac:dyDescent="0.25"/>
    <row r="9919" customFormat="1" ht="13.2" x14ac:dyDescent="0.25"/>
    <row r="9920" customFormat="1" ht="13.2" x14ac:dyDescent="0.25"/>
    <row r="9921" customFormat="1" ht="13.2" x14ac:dyDescent="0.25"/>
    <row r="9922" customFormat="1" ht="13.2" x14ac:dyDescent="0.25"/>
    <row r="9923" customFormat="1" ht="13.2" x14ac:dyDescent="0.25"/>
    <row r="9924" customFormat="1" ht="13.2" x14ac:dyDescent="0.25"/>
    <row r="9925" customFormat="1" ht="13.2" x14ac:dyDescent="0.25"/>
    <row r="9926" customFormat="1" ht="13.2" x14ac:dyDescent="0.25"/>
    <row r="9927" customFormat="1" ht="13.2" x14ac:dyDescent="0.25"/>
    <row r="9928" customFormat="1" ht="13.2" x14ac:dyDescent="0.25"/>
    <row r="9929" customFormat="1" ht="13.2" x14ac:dyDescent="0.25"/>
    <row r="9930" customFormat="1" ht="13.2" x14ac:dyDescent="0.25"/>
    <row r="9931" customFormat="1" ht="13.2" x14ac:dyDescent="0.25"/>
    <row r="9932" customFormat="1" ht="13.2" x14ac:dyDescent="0.25"/>
    <row r="9933" customFormat="1" ht="13.2" x14ac:dyDescent="0.25"/>
    <row r="9934" customFormat="1" ht="13.2" x14ac:dyDescent="0.25"/>
    <row r="9935" customFormat="1" ht="13.2" x14ac:dyDescent="0.25"/>
    <row r="9936" customFormat="1" ht="13.2" x14ac:dyDescent="0.25"/>
    <row r="9937" customFormat="1" ht="13.2" x14ac:dyDescent="0.25"/>
    <row r="9938" customFormat="1" ht="13.2" x14ac:dyDescent="0.25"/>
    <row r="9939" customFormat="1" ht="13.2" x14ac:dyDescent="0.25"/>
    <row r="9940" customFormat="1" ht="13.2" x14ac:dyDescent="0.25"/>
    <row r="9941" customFormat="1" ht="13.2" x14ac:dyDescent="0.25"/>
    <row r="9942" customFormat="1" ht="13.2" x14ac:dyDescent="0.25"/>
    <row r="9943" customFormat="1" ht="13.2" x14ac:dyDescent="0.25"/>
    <row r="9944" customFormat="1" ht="13.2" x14ac:dyDescent="0.25"/>
    <row r="9945" customFormat="1" ht="13.2" x14ac:dyDescent="0.25"/>
    <row r="9946" customFormat="1" ht="13.2" x14ac:dyDescent="0.25"/>
    <row r="9947" customFormat="1" ht="13.2" x14ac:dyDescent="0.25"/>
    <row r="9948" customFormat="1" ht="13.2" x14ac:dyDescent="0.25"/>
    <row r="9949" customFormat="1" ht="13.2" x14ac:dyDescent="0.25"/>
    <row r="9950" customFormat="1" ht="13.2" x14ac:dyDescent="0.25"/>
    <row r="9951" customFormat="1" ht="13.2" x14ac:dyDescent="0.25"/>
    <row r="9952" customFormat="1" ht="13.2" x14ac:dyDescent="0.25"/>
    <row r="9953" customFormat="1" ht="13.2" x14ac:dyDescent="0.25"/>
    <row r="9954" customFormat="1" ht="13.2" x14ac:dyDescent="0.25"/>
    <row r="9955" customFormat="1" ht="13.2" x14ac:dyDescent="0.25"/>
    <row r="9956" customFormat="1" ht="13.2" x14ac:dyDescent="0.25"/>
    <row r="9957" customFormat="1" ht="13.2" x14ac:dyDescent="0.25"/>
    <row r="9958" customFormat="1" ht="13.2" x14ac:dyDescent="0.25"/>
    <row r="9959" customFormat="1" ht="13.2" x14ac:dyDescent="0.25"/>
    <row r="9960" customFormat="1" ht="13.2" x14ac:dyDescent="0.25"/>
    <row r="9961" customFormat="1" ht="13.2" x14ac:dyDescent="0.25"/>
    <row r="9962" customFormat="1" ht="13.2" x14ac:dyDescent="0.25"/>
    <row r="9963" customFormat="1" ht="13.2" x14ac:dyDescent="0.25"/>
    <row r="9964" customFormat="1" ht="13.2" x14ac:dyDescent="0.25"/>
    <row r="9965" customFormat="1" ht="13.2" x14ac:dyDescent="0.25"/>
    <row r="9966" customFormat="1" ht="13.2" x14ac:dyDescent="0.25"/>
    <row r="9967" customFormat="1" ht="13.2" x14ac:dyDescent="0.25"/>
    <row r="9968" customFormat="1" ht="13.2" x14ac:dyDescent="0.25"/>
    <row r="9969" customFormat="1" ht="13.2" x14ac:dyDescent="0.25"/>
    <row r="9970" customFormat="1" ht="13.2" x14ac:dyDescent="0.25"/>
    <row r="9971" customFormat="1" ht="13.2" x14ac:dyDescent="0.25"/>
    <row r="9972" customFormat="1" ht="13.2" x14ac:dyDescent="0.25"/>
    <row r="9973" customFormat="1" ht="13.2" x14ac:dyDescent="0.25"/>
    <row r="9974" customFormat="1" ht="13.2" x14ac:dyDescent="0.25"/>
    <row r="9975" customFormat="1" ht="13.2" x14ac:dyDescent="0.25"/>
    <row r="9976" customFormat="1" ht="13.2" x14ac:dyDescent="0.25"/>
    <row r="9977" customFormat="1" ht="13.2" x14ac:dyDescent="0.25"/>
    <row r="9978" customFormat="1" ht="13.2" x14ac:dyDescent="0.25"/>
    <row r="9979" customFormat="1" ht="13.2" x14ac:dyDescent="0.25"/>
    <row r="9980" customFormat="1" ht="13.2" x14ac:dyDescent="0.25"/>
    <row r="9981" customFormat="1" ht="13.2" x14ac:dyDescent="0.25"/>
    <row r="9982" customFormat="1" ht="13.2" x14ac:dyDescent="0.25"/>
    <row r="9983" customFormat="1" ht="13.2" x14ac:dyDescent="0.25"/>
    <row r="9984" customFormat="1" ht="13.2" x14ac:dyDescent="0.25"/>
    <row r="9985" customFormat="1" ht="13.2" x14ac:dyDescent="0.25"/>
    <row r="9986" customFormat="1" ht="13.2" x14ac:dyDescent="0.25"/>
    <row r="9987" customFormat="1" ht="13.2" x14ac:dyDescent="0.25"/>
    <row r="9988" customFormat="1" ht="13.2" x14ac:dyDescent="0.25"/>
    <row r="9989" customFormat="1" ht="13.2" x14ac:dyDescent="0.25"/>
    <row r="9990" customFormat="1" ht="13.2" x14ac:dyDescent="0.25"/>
    <row r="9991" customFormat="1" ht="13.2" x14ac:dyDescent="0.25"/>
    <row r="9992" customFormat="1" ht="13.2" x14ac:dyDescent="0.25"/>
    <row r="9993" customFormat="1" ht="13.2" x14ac:dyDescent="0.25"/>
    <row r="9994" customFormat="1" ht="13.2" x14ac:dyDescent="0.25"/>
    <row r="9995" customFormat="1" ht="13.2" x14ac:dyDescent="0.25"/>
    <row r="9996" customFormat="1" ht="13.2" x14ac:dyDescent="0.25"/>
    <row r="9997" customFormat="1" ht="13.2" x14ac:dyDescent="0.25"/>
    <row r="9998" customFormat="1" ht="13.2" x14ac:dyDescent="0.25"/>
    <row r="9999" customFormat="1" ht="13.2" x14ac:dyDescent="0.25"/>
    <row r="10000" customFormat="1" ht="13.2" x14ac:dyDescent="0.25"/>
  </sheetData>
  <mergeCells count="61">
    <mergeCell ref="X4:Y4"/>
    <mergeCell ref="S7:T7"/>
    <mergeCell ref="S4:T4"/>
    <mergeCell ref="M4:N4"/>
    <mergeCell ref="H9:I9"/>
    <mergeCell ref="H7:I7"/>
    <mergeCell ref="M5:N5"/>
    <mergeCell ref="M6:N6"/>
    <mergeCell ref="M8:N8"/>
    <mergeCell ref="M9:N9"/>
    <mergeCell ref="C4:G4"/>
    <mergeCell ref="C5:G5"/>
    <mergeCell ref="C6:G6"/>
    <mergeCell ref="H6:I6"/>
    <mergeCell ref="H8:I8"/>
    <mergeCell ref="H4:I4"/>
    <mergeCell ref="H5:I5"/>
    <mergeCell ref="C8:G8"/>
    <mergeCell ref="C7:G7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AI11:AI14"/>
    <mergeCell ref="AD9:AI9"/>
    <mergeCell ref="AF8:AG8"/>
    <mergeCell ref="AF6:AG6"/>
    <mergeCell ref="AF7:AG7"/>
    <mergeCell ref="M7:N7"/>
    <mergeCell ref="B11:B14"/>
    <mergeCell ref="D12:F12"/>
    <mergeCell ref="G12:G13"/>
    <mergeCell ref="D11:G11"/>
    <mergeCell ref="H11:I11"/>
    <mergeCell ref="H12:I13"/>
    <mergeCell ref="C11:C13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W11:X11"/>
  </mergeCells>
  <phoneticPr fontId="48" type="noConversion"/>
  <conditionalFormatting sqref="AF6 AH6:AI7">
    <cfRule type="cellIs" dxfId="99" priority="66806" operator="equal">
      <formula>0</formula>
    </cfRule>
  </conditionalFormatting>
  <conditionalFormatting sqref="AH8:AI8">
    <cfRule type="cellIs" dxfId="98" priority="4899" operator="equal">
      <formula>0</formula>
    </cfRule>
  </conditionalFormatting>
  <conditionalFormatting sqref="C4:G6">
    <cfRule type="cellIs" dxfId="97" priority="1136" operator="equal">
      <formula>0</formula>
    </cfRule>
  </conditionalFormatting>
  <conditionalFormatting sqref="C8:G8">
    <cfRule type="cellIs" dxfId="96" priority="1135" operator="equal">
      <formula>0</formula>
    </cfRule>
  </conditionalFormatting>
  <conditionalFormatting sqref="C7:G7">
    <cfRule type="cellIs" dxfId="95" priority="1134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236220</xdr:colOff>
                    <xdr:row>7</xdr:row>
                    <xdr:rowOff>160020</xdr:rowOff>
                  </from>
                  <to>
                    <xdr:col>6</xdr:col>
                    <xdr:colOff>815340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236220</xdr:colOff>
                    <xdr:row>5</xdr:row>
                    <xdr:rowOff>495300</xdr:rowOff>
                  </from>
                  <to>
                    <xdr:col>6</xdr:col>
                    <xdr:colOff>807720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topLeftCell="A540" workbookViewId="0">
      <selection activeCell="K553" sqref="K553"/>
    </sheetView>
  </sheetViews>
  <sheetFormatPr defaultColWidth="8.88671875" defaultRowHeight="13.2" x14ac:dyDescent="0.25"/>
  <cols>
    <col min="1" max="1" width="15.33203125" bestFit="1" customWidth="1"/>
    <col min="2" max="2" width="9.5546875" bestFit="1" customWidth="1"/>
    <col min="3" max="3" width="8.33203125" bestFit="1" customWidth="1"/>
    <col min="4" max="4" width="10.6640625" bestFit="1" customWidth="1"/>
    <col min="5" max="5" width="9.88671875" bestFit="1" customWidth="1"/>
    <col min="6" max="6" width="10.33203125" style="87" bestFit="1" customWidth="1"/>
    <col min="7" max="7" width="9.44140625" bestFit="1" customWidth="1"/>
    <col min="8" max="8" width="10" bestFit="1" customWidth="1"/>
    <col min="9" max="9" width="12.109375" bestFit="1" customWidth="1"/>
  </cols>
  <sheetData>
    <row r="1" spans="1:7" x14ac:dyDescent="0.25">
      <c r="A1" t="s">
        <v>72</v>
      </c>
      <c r="B1" t="s">
        <v>75</v>
      </c>
      <c r="C1" t="s">
        <v>78</v>
      </c>
      <c r="D1" t="s">
        <v>76</v>
      </c>
      <c r="E1" s="180" t="s">
        <v>77</v>
      </c>
      <c r="F1" s="87" t="s">
        <v>111</v>
      </c>
      <c r="G1" t="s">
        <v>122</v>
      </c>
    </row>
    <row r="2" spans="1:7" s="87" customFormat="1" x14ac:dyDescent="0.25">
      <c r="A2" s="165"/>
      <c r="B2"/>
      <c r="C2" s="172"/>
      <c r="D2" s="172"/>
      <c r="F2" s="172"/>
      <c r="G2" s="172"/>
    </row>
    <row r="3" spans="1:7" s="87" customFormat="1" x14ac:dyDescent="0.25">
      <c r="A3" s="165"/>
      <c r="B3"/>
      <c r="C3" s="172"/>
      <c r="D3" s="172"/>
      <c r="F3" s="172"/>
      <c r="G3" s="172"/>
    </row>
    <row r="4" spans="1:7" s="87" customFormat="1" x14ac:dyDescent="0.25">
      <c r="A4" s="165"/>
      <c r="B4"/>
      <c r="C4" s="172"/>
      <c r="D4" s="172"/>
      <c r="F4" s="172"/>
      <c r="G4" s="172"/>
    </row>
    <row r="5" spans="1:7" s="87" customFormat="1" x14ac:dyDescent="0.25">
      <c r="A5" s="165"/>
      <c r="B5"/>
      <c r="C5" s="172"/>
      <c r="D5" s="172"/>
      <c r="F5" s="172"/>
      <c r="G5" s="172"/>
    </row>
    <row r="6" spans="1:7" s="87" customFormat="1" x14ac:dyDescent="0.25">
      <c r="A6" s="165"/>
      <c r="B6"/>
      <c r="C6" s="172"/>
      <c r="D6" s="172"/>
      <c r="F6" s="172"/>
      <c r="G6" s="172"/>
    </row>
    <row r="7" spans="1:7" s="87" customFormat="1" x14ac:dyDescent="0.25">
      <c r="A7" s="165"/>
      <c r="B7"/>
      <c r="C7" s="172"/>
      <c r="D7" s="172"/>
      <c r="F7" s="172"/>
      <c r="G7" s="172"/>
    </row>
    <row r="8" spans="1:7" s="87" customFormat="1" x14ac:dyDescent="0.25">
      <c r="A8" s="165"/>
      <c r="B8"/>
      <c r="C8" s="172"/>
      <c r="D8" s="172"/>
      <c r="F8" s="172"/>
      <c r="G8" s="172"/>
    </row>
    <row r="9" spans="1:7" s="87" customFormat="1" x14ac:dyDescent="0.25">
      <c r="A9" s="165"/>
      <c r="B9"/>
      <c r="C9" s="172"/>
      <c r="D9" s="172"/>
      <c r="F9" s="172"/>
      <c r="G9" s="172"/>
    </row>
    <row r="10" spans="1:7" s="87" customFormat="1" x14ac:dyDescent="0.25">
      <c r="A10" s="165"/>
      <c r="B10"/>
      <c r="C10" s="172"/>
      <c r="D10" s="172"/>
      <c r="F10" s="172"/>
      <c r="G10" s="172"/>
    </row>
    <row r="11" spans="1:7" s="87" customFormat="1" x14ac:dyDescent="0.25">
      <c r="A11" s="165"/>
      <c r="B11"/>
      <c r="C11" s="172"/>
      <c r="D11" s="172"/>
      <c r="F11" s="172"/>
      <c r="G11" s="172"/>
    </row>
    <row r="12" spans="1:7" s="87" customFormat="1" x14ac:dyDescent="0.25">
      <c r="A12" s="165"/>
      <c r="B12"/>
      <c r="C12" s="172"/>
      <c r="D12" s="172"/>
      <c r="F12" s="172"/>
      <c r="G12" s="172"/>
    </row>
    <row r="13" spans="1:7" s="87" customFormat="1" x14ac:dyDescent="0.25">
      <c r="A13" s="165"/>
      <c r="B13"/>
      <c r="C13" s="172"/>
      <c r="D13" s="172"/>
      <c r="F13" s="172"/>
      <c r="G13" s="172"/>
    </row>
    <row r="14" spans="1:7" s="87" customFormat="1" x14ac:dyDescent="0.25">
      <c r="A14" s="165"/>
      <c r="B14"/>
      <c r="C14" s="172"/>
      <c r="D14" s="172"/>
      <c r="F14" s="172"/>
      <c r="G14" s="172"/>
    </row>
    <row r="15" spans="1:7" s="87" customFormat="1" x14ac:dyDescent="0.25">
      <c r="A15" s="165"/>
      <c r="B15"/>
      <c r="C15" s="172"/>
      <c r="D15" s="172"/>
      <c r="F15" s="172"/>
      <c r="G15" s="172"/>
    </row>
    <row r="16" spans="1:7" s="87" customFormat="1" x14ac:dyDescent="0.25">
      <c r="A16" s="165"/>
      <c r="B16"/>
      <c r="C16" s="172"/>
      <c r="D16" s="172"/>
      <c r="F16" s="172"/>
      <c r="G16" s="172"/>
    </row>
    <row r="17" spans="1:7" s="87" customFormat="1" x14ac:dyDescent="0.25">
      <c r="A17" s="165"/>
      <c r="B17"/>
      <c r="C17" s="172"/>
      <c r="D17" s="172"/>
      <c r="F17" s="172"/>
      <c r="G17" s="172"/>
    </row>
    <row r="18" spans="1:7" s="87" customFormat="1" x14ac:dyDescent="0.25">
      <c r="A18" s="165"/>
      <c r="B18"/>
      <c r="C18" s="172"/>
      <c r="D18" s="172"/>
      <c r="F18" s="172"/>
      <c r="G18" s="172"/>
    </row>
    <row r="19" spans="1:7" s="87" customFormat="1" x14ac:dyDescent="0.25">
      <c r="A19" s="165"/>
      <c r="B19"/>
      <c r="C19" s="172"/>
      <c r="D19" s="172"/>
      <c r="F19" s="172"/>
      <c r="G19" s="172"/>
    </row>
    <row r="20" spans="1:7" s="87" customFormat="1" x14ac:dyDescent="0.25">
      <c r="A20" s="165"/>
      <c r="B20"/>
      <c r="C20" s="172"/>
      <c r="D20" s="172"/>
      <c r="F20" s="172"/>
      <c r="G20" s="172"/>
    </row>
    <row r="21" spans="1:7" s="87" customFormat="1" x14ac:dyDescent="0.25">
      <c r="A21" s="165"/>
      <c r="B21"/>
      <c r="C21" s="172"/>
      <c r="D21" s="172"/>
      <c r="F21" s="172"/>
      <c r="G21" s="172"/>
    </row>
    <row r="22" spans="1:7" s="87" customFormat="1" x14ac:dyDescent="0.25">
      <c r="A22" s="165"/>
      <c r="B22"/>
      <c r="C22" s="172"/>
      <c r="D22" s="172"/>
      <c r="F22" s="172"/>
      <c r="G22" s="172"/>
    </row>
    <row r="23" spans="1:7" s="87" customFormat="1" x14ac:dyDescent="0.25">
      <c r="A23" s="165"/>
      <c r="B23"/>
      <c r="C23" s="172"/>
      <c r="D23" s="172"/>
      <c r="F23" s="172"/>
      <c r="G23" s="172"/>
    </row>
    <row r="24" spans="1:7" s="87" customFormat="1" x14ac:dyDescent="0.25">
      <c r="A24" s="165"/>
      <c r="B24"/>
      <c r="C24" s="172"/>
      <c r="D24" s="172"/>
      <c r="F24" s="172"/>
      <c r="G24" s="172"/>
    </row>
    <row r="25" spans="1:7" s="87" customFormat="1" x14ac:dyDescent="0.25">
      <c r="A25" s="165"/>
      <c r="B25"/>
      <c r="C25" s="172"/>
      <c r="D25" s="172"/>
      <c r="F25" s="172"/>
      <c r="G25" s="172"/>
    </row>
    <row r="26" spans="1:7" s="87" customFormat="1" x14ac:dyDescent="0.25">
      <c r="A26" s="165"/>
      <c r="B26"/>
      <c r="C26" s="172"/>
      <c r="D26" s="172"/>
      <c r="F26" s="172"/>
      <c r="G26" s="172"/>
    </row>
    <row r="27" spans="1:7" s="87" customFormat="1" x14ac:dyDescent="0.25">
      <c r="A27" s="165"/>
      <c r="B27"/>
      <c r="C27" s="172"/>
      <c r="D27" s="172"/>
      <c r="F27" s="172"/>
      <c r="G27" s="172"/>
    </row>
    <row r="28" spans="1:7" s="87" customFormat="1" x14ac:dyDescent="0.25">
      <c r="A28" s="165"/>
      <c r="B28"/>
      <c r="C28" s="172"/>
      <c r="D28" s="172"/>
      <c r="F28" s="172"/>
      <c r="G28" s="172"/>
    </row>
    <row r="29" spans="1:7" s="87" customFormat="1" x14ac:dyDescent="0.25">
      <c r="A29" s="165"/>
      <c r="B29"/>
      <c r="C29" s="172"/>
      <c r="D29" s="172"/>
      <c r="F29" s="172"/>
      <c r="G29" s="172"/>
    </row>
    <row r="30" spans="1:7" s="87" customFormat="1" x14ac:dyDescent="0.25">
      <c r="A30" s="165"/>
      <c r="B30"/>
      <c r="C30" s="172"/>
      <c r="D30" s="172"/>
      <c r="F30" s="172"/>
      <c r="G30" s="172"/>
    </row>
    <row r="31" spans="1:7" s="87" customFormat="1" x14ac:dyDescent="0.25">
      <c r="A31" s="165"/>
      <c r="B31"/>
      <c r="C31" s="172"/>
      <c r="D31" s="172"/>
      <c r="F31" s="172"/>
      <c r="G31" s="172"/>
    </row>
    <row r="32" spans="1:7" s="87" customFormat="1" x14ac:dyDescent="0.25">
      <c r="A32" s="165"/>
      <c r="B32"/>
      <c r="C32" s="172"/>
      <c r="D32" s="172"/>
      <c r="F32" s="172"/>
      <c r="G32" s="172"/>
    </row>
    <row r="33" spans="1:7" s="87" customFormat="1" x14ac:dyDescent="0.25">
      <c r="A33" s="165"/>
      <c r="B33"/>
      <c r="C33" s="172"/>
      <c r="D33" s="172"/>
      <c r="F33" s="172"/>
      <c r="G33" s="172"/>
    </row>
    <row r="34" spans="1:7" s="87" customFormat="1" x14ac:dyDescent="0.25">
      <c r="A34" s="165"/>
      <c r="B34"/>
      <c r="C34" s="172"/>
      <c r="D34" s="172"/>
      <c r="F34" s="172"/>
      <c r="G34" s="172"/>
    </row>
    <row r="35" spans="1:7" s="87" customFormat="1" x14ac:dyDescent="0.25">
      <c r="A35" s="165"/>
      <c r="B35"/>
      <c r="C35" s="172"/>
      <c r="D35" s="172"/>
      <c r="F35" s="172"/>
      <c r="G35" s="172"/>
    </row>
    <row r="36" spans="1:7" s="87" customFormat="1" x14ac:dyDescent="0.25">
      <c r="A36" s="165"/>
      <c r="B36"/>
      <c r="C36" s="172"/>
      <c r="D36" s="172"/>
      <c r="F36" s="172"/>
      <c r="G36" s="172"/>
    </row>
    <row r="37" spans="1:7" s="87" customFormat="1" x14ac:dyDescent="0.25">
      <c r="A37" s="165"/>
      <c r="B37"/>
      <c r="C37" s="172"/>
      <c r="D37" s="172"/>
      <c r="F37" s="172"/>
      <c r="G37" s="172"/>
    </row>
    <row r="38" spans="1:7" s="87" customFormat="1" x14ac:dyDescent="0.25">
      <c r="A38" s="165"/>
      <c r="B38"/>
      <c r="C38" s="172"/>
      <c r="D38" s="172"/>
      <c r="F38" s="172"/>
      <c r="G38" s="172"/>
    </row>
    <row r="39" spans="1:7" s="87" customFormat="1" x14ac:dyDescent="0.25">
      <c r="A39" s="165"/>
      <c r="B39"/>
      <c r="C39" s="172"/>
      <c r="D39" s="172"/>
      <c r="F39" s="172"/>
      <c r="G39" s="172"/>
    </row>
    <row r="40" spans="1:7" s="87" customFormat="1" x14ac:dyDescent="0.25">
      <c r="A40" s="165"/>
      <c r="B40"/>
      <c r="C40" s="172"/>
      <c r="D40" s="172"/>
      <c r="F40" s="172"/>
      <c r="G40" s="172"/>
    </row>
    <row r="41" spans="1:7" s="87" customFormat="1" x14ac:dyDescent="0.25">
      <c r="A41" s="165"/>
      <c r="B41"/>
      <c r="C41" s="172"/>
      <c r="D41" s="172"/>
      <c r="F41" s="172"/>
      <c r="G41" s="172"/>
    </row>
    <row r="42" spans="1:7" s="87" customFormat="1" x14ac:dyDescent="0.25">
      <c r="A42" s="165"/>
      <c r="B42"/>
      <c r="C42" s="172"/>
      <c r="D42" s="172"/>
      <c r="F42" s="172"/>
      <c r="G42" s="172"/>
    </row>
    <row r="43" spans="1:7" s="87" customFormat="1" x14ac:dyDescent="0.25">
      <c r="A43" s="165"/>
      <c r="B43"/>
      <c r="C43" s="172"/>
      <c r="D43" s="172"/>
      <c r="F43" s="172"/>
      <c r="G43" s="172"/>
    </row>
    <row r="44" spans="1:7" s="87" customFormat="1" x14ac:dyDescent="0.25">
      <c r="A44" s="165"/>
      <c r="B44"/>
      <c r="C44" s="172"/>
      <c r="D44" s="172"/>
      <c r="F44" s="172"/>
      <c r="G44" s="172"/>
    </row>
    <row r="45" spans="1:7" s="87" customFormat="1" x14ac:dyDescent="0.25">
      <c r="A45" s="165"/>
      <c r="B45"/>
      <c r="C45" s="172"/>
      <c r="D45" s="172"/>
      <c r="F45" s="172"/>
      <c r="G45" s="172"/>
    </row>
    <row r="46" spans="1:7" s="87" customFormat="1" x14ac:dyDescent="0.25">
      <c r="A46" s="165"/>
      <c r="B46"/>
      <c r="C46" s="172"/>
      <c r="D46" s="172"/>
      <c r="F46" s="172"/>
      <c r="G46" s="172"/>
    </row>
    <row r="47" spans="1:7" s="87" customFormat="1" x14ac:dyDescent="0.25">
      <c r="A47" s="165"/>
      <c r="B47"/>
      <c r="C47" s="172"/>
      <c r="D47" s="172"/>
      <c r="F47" s="172"/>
      <c r="G47" s="172"/>
    </row>
    <row r="48" spans="1:7" s="87" customFormat="1" x14ac:dyDescent="0.25">
      <c r="A48" s="165"/>
      <c r="B48"/>
      <c r="C48" s="172"/>
      <c r="D48" s="172"/>
      <c r="F48" s="172"/>
      <c r="G48" s="172"/>
    </row>
    <row r="49" spans="1:7" s="87" customFormat="1" x14ac:dyDescent="0.25">
      <c r="A49" s="165"/>
      <c r="B49"/>
      <c r="C49" s="172"/>
      <c r="D49" s="172"/>
      <c r="F49" s="172"/>
      <c r="G49" s="172"/>
    </row>
    <row r="50" spans="1:7" s="87" customFormat="1" x14ac:dyDescent="0.25">
      <c r="A50" s="165"/>
      <c r="B50"/>
      <c r="C50" s="172"/>
      <c r="D50" s="172"/>
      <c r="F50" s="172"/>
      <c r="G50" s="172"/>
    </row>
    <row r="51" spans="1:7" s="87" customFormat="1" x14ac:dyDescent="0.25">
      <c r="A51" s="165"/>
      <c r="B51"/>
      <c r="C51" s="172"/>
      <c r="D51" s="172"/>
      <c r="F51" s="172"/>
      <c r="G51" s="172"/>
    </row>
    <row r="52" spans="1:7" s="87" customFormat="1" x14ac:dyDescent="0.25">
      <c r="A52" s="165"/>
      <c r="B52"/>
      <c r="C52" s="172"/>
      <c r="D52" s="172"/>
      <c r="F52" s="172"/>
      <c r="G52" s="172"/>
    </row>
    <row r="53" spans="1:7" s="87" customFormat="1" x14ac:dyDescent="0.25">
      <c r="A53" s="165"/>
      <c r="B53"/>
      <c r="C53" s="172"/>
      <c r="D53" s="172"/>
      <c r="F53" s="172"/>
      <c r="G53" s="172"/>
    </row>
    <row r="54" spans="1:7" s="87" customFormat="1" x14ac:dyDescent="0.25">
      <c r="A54" s="165"/>
      <c r="B54"/>
      <c r="C54" s="172"/>
      <c r="D54" s="172"/>
      <c r="F54" s="172"/>
      <c r="G54" s="172"/>
    </row>
    <row r="55" spans="1:7" s="87" customFormat="1" x14ac:dyDescent="0.25">
      <c r="A55" s="165"/>
      <c r="B55"/>
      <c r="C55" s="172"/>
      <c r="D55" s="172"/>
      <c r="F55" s="172"/>
      <c r="G55" s="172"/>
    </row>
    <row r="56" spans="1:7" s="87" customFormat="1" x14ac:dyDescent="0.25">
      <c r="A56" s="165"/>
      <c r="B56"/>
      <c r="C56" s="172"/>
      <c r="D56" s="172"/>
      <c r="F56" s="172"/>
      <c r="G56" s="172"/>
    </row>
    <row r="57" spans="1:7" s="87" customFormat="1" x14ac:dyDescent="0.25">
      <c r="A57" s="165"/>
      <c r="B57"/>
      <c r="C57" s="172"/>
      <c r="D57" s="172"/>
      <c r="F57" s="172"/>
      <c r="G57" s="172"/>
    </row>
    <row r="58" spans="1:7" s="87" customFormat="1" x14ac:dyDescent="0.25">
      <c r="A58" s="165"/>
      <c r="B58"/>
      <c r="C58" s="172"/>
      <c r="D58" s="172"/>
      <c r="F58" s="172"/>
      <c r="G58" s="172"/>
    </row>
    <row r="59" spans="1:7" s="87" customFormat="1" x14ac:dyDescent="0.25">
      <c r="A59" s="165"/>
      <c r="B59"/>
      <c r="C59" s="172"/>
      <c r="D59" s="172"/>
      <c r="F59" s="172"/>
      <c r="G59" s="172"/>
    </row>
    <row r="60" spans="1:7" s="87" customFormat="1" x14ac:dyDescent="0.25">
      <c r="A60" s="165"/>
      <c r="B60"/>
      <c r="C60" s="172"/>
      <c r="D60" s="172"/>
      <c r="F60" s="172"/>
      <c r="G60" s="172"/>
    </row>
    <row r="61" spans="1:7" s="87" customFormat="1" x14ac:dyDescent="0.25">
      <c r="A61" s="165"/>
      <c r="B61"/>
      <c r="C61" s="172"/>
      <c r="D61" s="172"/>
      <c r="F61" s="172"/>
      <c r="G61" s="172"/>
    </row>
    <row r="62" spans="1:7" s="87" customFormat="1" x14ac:dyDescent="0.25">
      <c r="A62" s="165"/>
      <c r="B62"/>
      <c r="C62" s="172"/>
      <c r="D62" s="172"/>
      <c r="F62" s="172"/>
      <c r="G62" s="172"/>
    </row>
    <row r="63" spans="1:7" s="87" customFormat="1" x14ac:dyDescent="0.25">
      <c r="A63" s="165"/>
      <c r="B63"/>
      <c r="C63" s="172"/>
      <c r="D63" s="172"/>
      <c r="F63" s="172"/>
      <c r="G63" s="172"/>
    </row>
    <row r="64" spans="1:7" s="87" customFormat="1" x14ac:dyDescent="0.25">
      <c r="A64" s="165"/>
      <c r="B64"/>
      <c r="C64" s="172"/>
      <c r="D64" s="172"/>
      <c r="F64" s="172"/>
      <c r="G64" s="172"/>
    </row>
    <row r="65" spans="1:7" s="87" customFormat="1" x14ac:dyDescent="0.25">
      <c r="A65" s="165"/>
      <c r="B65"/>
      <c r="C65" s="172"/>
      <c r="D65" s="172"/>
      <c r="F65" s="172"/>
      <c r="G65" s="172"/>
    </row>
    <row r="66" spans="1:7" s="87" customFormat="1" x14ac:dyDescent="0.25">
      <c r="A66" s="165"/>
      <c r="B66"/>
      <c r="C66" s="172"/>
      <c r="D66" s="172"/>
      <c r="F66" s="172"/>
      <c r="G66" s="172"/>
    </row>
    <row r="67" spans="1:7" s="87" customFormat="1" x14ac:dyDescent="0.25">
      <c r="A67" s="165"/>
      <c r="B67"/>
      <c r="C67" s="172"/>
      <c r="D67" s="172"/>
      <c r="F67" s="172"/>
      <c r="G67" s="172"/>
    </row>
    <row r="68" spans="1:7" s="87" customFormat="1" x14ac:dyDescent="0.25">
      <c r="A68" s="165"/>
      <c r="B68"/>
      <c r="C68" s="172"/>
      <c r="D68" s="172"/>
      <c r="F68" s="172"/>
      <c r="G68" s="172"/>
    </row>
    <row r="69" spans="1:7" s="87" customFormat="1" x14ac:dyDescent="0.25">
      <c r="A69" s="165"/>
      <c r="B69"/>
      <c r="C69" s="172"/>
      <c r="D69" s="172"/>
      <c r="F69" s="172"/>
      <c r="G69" s="172"/>
    </row>
    <row r="70" spans="1:7" s="87" customFormat="1" x14ac:dyDescent="0.25">
      <c r="A70" s="165"/>
      <c r="B70"/>
      <c r="C70" s="172"/>
      <c r="D70" s="172"/>
      <c r="F70" s="172"/>
      <c r="G70" s="172"/>
    </row>
    <row r="71" spans="1:7" s="87" customFormat="1" x14ac:dyDescent="0.25">
      <c r="A71" s="165"/>
      <c r="B71"/>
      <c r="C71" s="172"/>
      <c r="D71" s="172"/>
      <c r="F71" s="172"/>
      <c r="G71" s="172"/>
    </row>
    <row r="72" spans="1:7" s="87" customFormat="1" x14ac:dyDescent="0.25">
      <c r="A72" s="165"/>
      <c r="B72"/>
      <c r="C72" s="172"/>
      <c r="D72" s="172"/>
      <c r="F72" s="172"/>
      <c r="G72" s="172"/>
    </row>
    <row r="73" spans="1:7" s="87" customFormat="1" x14ac:dyDescent="0.25">
      <c r="A73" s="165"/>
      <c r="B73"/>
      <c r="C73" s="172"/>
      <c r="D73" s="172"/>
      <c r="F73" s="172"/>
      <c r="G73" s="172"/>
    </row>
    <row r="74" spans="1:7" s="87" customFormat="1" x14ac:dyDescent="0.25">
      <c r="A74" s="165"/>
      <c r="B74"/>
      <c r="C74" s="172"/>
      <c r="D74" s="172"/>
      <c r="F74" s="172"/>
      <c r="G74" s="172"/>
    </row>
    <row r="75" spans="1:7" s="87" customFormat="1" x14ac:dyDescent="0.25">
      <c r="A75" s="165"/>
      <c r="B75"/>
      <c r="C75" s="172"/>
      <c r="D75" s="172"/>
      <c r="F75" s="172"/>
      <c r="G75" s="172"/>
    </row>
    <row r="76" spans="1:7" s="87" customFormat="1" x14ac:dyDescent="0.25">
      <c r="A76" s="165"/>
      <c r="B76"/>
      <c r="C76" s="172"/>
      <c r="D76" s="172"/>
      <c r="F76" s="172"/>
      <c r="G76" s="172"/>
    </row>
    <row r="77" spans="1:7" s="87" customFormat="1" x14ac:dyDescent="0.25">
      <c r="A77" s="165"/>
      <c r="B77"/>
      <c r="C77" s="172"/>
      <c r="D77" s="172"/>
      <c r="F77" s="172"/>
      <c r="G77" s="172"/>
    </row>
    <row r="78" spans="1:7" s="87" customFormat="1" x14ac:dyDescent="0.25">
      <c r="A78" s="165"/>
      <c r="B78"/>
      <c r="C78" s="172"/>
      <c r="D78" s="172"/>
      <c r="F78" s="172"/>
      <c r="G78" s="172"/>
    </row>
    <row r="79" spans="1:7" s="87" customFormat="1" x14ac:dyDescent="0.25">
      <c r="A79" s="165"/>
      <c r="B79"/>
      <c r="C79" s="172"/>
      <c r="D79" s="172"/>
      <c r="F79" s="172"/>
      <c r="G79" s="172"/>
    </row>
    <row r="80" spans="1:7" s="87" customFormat="1" x14ac:dyDescent="0.25">
      <c r="A80" s="165"/>
      <c r="B80"/>
      <c r="C80" s="172"/>
      <c r="D80" s="172"/>
      <c r="F80" s="172"/>
      <c r="G80" s="172"/>
    </row>
    <row r="81" spans="1:7" s="87" customFormat="1" x14ac:dyDescent="0.25">
      <c r="A81" s="165"/>
      <c r="B81"/>
      <c r="C81" s="172"/>
      <c r="D81" s="172"/>
      <c r="F81" s="172"/>
      <c r="G81" s="172"/>
    </row>
    <row r="82" spans="1:7" s="87" customFormat="1" x14ac:dyDescent="0.25">
      <c r="A82" s="165"/>
      <c r="B82"/>
      <c r="C82" s="172"/>
      <c r="D82" s="172"/>
      <c r="F82" s="172"/>
      <c r="G82" s="172"/>
    </row>
    <row r="83" spans="1:7" s="87" customFormat="1" x14ac:dyDescent="0.25">
      <c r="A83" s="165"/>
      <c r="B83"/>
      <c r="C83" s="172"/>
      <c r="D83" s="172"/>
      <c r="F83" s="172"/>
      <c r="G83" s="172"/>
    </row>
    <row r="84" spans="1:7" s="87" customFormat="1" x14ac:dyDescent="0.25">
      <c r="A84" s="165"/>
      <c r="B84"/>
      <c r="C84" s="172"/>
      <c r="D84" s="172"/>
      <c r="F84" s="172"/>
      <c r="G84" s="172"/>
    </row>
    <row r="85" spans="1:7" s="87" customFormat="1" x14ac:dyDescent="0.25">
      <c r="A85" s="165"/>
      <c r="B85"/>
      <c r="C85" s="172"/>
      <c r="D85" s="172"/>
      <c r="F85" s="172"/>
      <c r="G85" s="172"/>
    </row>
    <row r="86" spans="1:7" s="87" customFormat="1" x14ac:dyDescent="0.25">
      <c r="A86" s="165"/>
      <c r="B86"/>
      <c r="C86" s="172"/>
      <c r="D86" s="172"/>
      <c r="F86" s="172"/>
      <c r="G86" s="172"/>
    </row>
    <row r="87" spans="1:7" s="87" customFormat="1" x14ac:dyDescent="0.25">
      <c r="A87" s="165"/>
      <c r="B87"/>
      <c r="C87" s="172"/>
      <c r="D87" s="172"/>
      <c r="F87" s="172"/>
      <c r="G87" s="172"/>
    </row>
    <row r="88" spans="1:7" s="87" customFormat="1" x14ac:dyDescent="0.25">
      <c r="A88" s="165"/>
      <c r="B88"/>
      <c r="C88" s="172"/>
      <c r="D88" s="172"/>
      <c r="F88" s="172"/>
      <c r="G88" s="172"/>
    </row>
    <row r="89" spans="1:7" s="87" customFormat="1" x14ac:dyDescent="0.25">
      <c r="A89" s="165"/>
      <c r="B89"/>
      <c r="C89" s="172"/>
      <c r="D89" s="172"/>
      <c r="F89" s="172"/>
      <c r="G89" s="172"/>
    </row>
    <row r="90" spans="1:7" s="87" customFormat="1" x14ac:dyDescent="0.25">
      <c r="A90" s="165"/>
      <c r="B90"/>
      <c r="C90" s="172"/>
      <c r="D90" s="172"/>
      <c r="F90" s="172"/>
      <c r="G90" s="172"/>
    </row>
    <row r="91" spans="1:7" s="87" customFormat="1" x14ac:dyDescent="0.25">
      <c r="A91" s="165"/>
      <c r="B91"/>
      <c r="C91" s="172"/>
      <c r="D91" s="172"/>
      <c r="F91" s="172"/>
      <c r="G91" s="172"/>
    </row>
    <row r="92" spans="1:7" s="87" customFormat="1" x14ac:dyDescent="0.25">
      <c r="A92" s="165"/>
      <c r="B92"/>
      <c r="C92" s="172"/>
      <c r="D92" s="172"/>
      <c r="F92" s="172"/>
      <c r="G92" s="172"/>
    </row>
    <row r="93" spans="1:7" s="87" customFormat="1" x14ac:dyDescent="0.25">
      <c r="A93" s="165"/>
      <c r="B93"/>
      <c r="C93" s="172"/>
      <c r="D93" s="172"/>
      <c r="F93" s="172"/>
      <c r="G93" s="172"/>
    </row>
    <row r="94" spans="1:7" s="87" customFormat="1" x14ac:dyDescent="0.25">
      <c r="A94" s="165"/>
      <c r="B94"/>
      <c r="C94" s="172"/>
      <c r="D94" s="172"/>
      <c r="F94" s="172"/>
      <c r="G94" s="172"/>
    </row>
    <row r="95" spans="1:7" s="87" customFormat="1" x14ac:dyDescent="0.25">
      <c r="A95" s="165"/>
      <c r="B95"/>
      <c r="C95" s="172"/>
      <c r="D95" s="172"/>
      <c r="F95" s="172"/>
      <c r="G95" s="172"/>
    </row>
    <row r="96" spans="1:7" s="87" customFormat="1" x14ac:dyDescent="0.25">
      <c r="A96" s="165"/>
      <c r="B96"/>
      <c r="C96" s="172"/>
      <c r="D96" s="172"/>
      <c r="F96" s="172"/>
      <c r="G96" s="172"/>
    </row>
    <row r="97" spans="1:7" s="87" customFormat="1" x14ac:dyDescent="0.25">
      <c r="A97" s="165"/>
      <c r="B97"/>
      <c r="C97" s="172"/>
      <c r="D97" s="172"/>
      <c r="F97" s="172"/>
      <c r="G97" s="172"/>
    </row>
    <row r="98" spans="1:7" s="87" customFormat="1" x14ac:dyDescent="0.25">
      <c r="A98" s="165"/>
      <c r="B98"/>
      <c r="C98" s="172"/>
      <c r="D98" s="172"/>
      <c r="F98" s="172"/>
      <c r="G98" s="172"/>
    </row>
    <row r="99" spans="1:7" s="87" customFormat="1" x14ac:dyDescent="0.25">
      <c r="A99" s="165"/>
      <c r="B99"/>
      <c r="C99" s="172"/>
      <c r="D99" s="172"/>
      <c r="F99" s="172"/>
      <c r="G99" s="172"/>
    </row>
    <row r="100" spans="1:7" s="87" customFormat="1" x14ac:dyDescent="0.25">
      <c r="A100" s="165"/>
      <c r="B100"/>
      <c r="C100" s="172"/>
      <c r="D100" s="172"/>
      <c r="F100" s="172"/>
      <c r="G100" s="172"/>
    </row>
    <row r="101" spans="1:7" s="87" customFormat="1" x14ac:dyDescent="0.25">
      <c r="A101" s="165"/>
      <c r="B101"/>
      <c r="C101" s="172"/>
      <c r="D101" s="172"/>
      <c r="F101" s="172"/>
      <c r="G101" s="172"/>
    </row>
    <row r="102" spans="1:7" s="87" customFormat="1" x14ac:dyDescent="0.25">
      <c r="A102" s="165"/>
      <c r="B102"/>
      <c r="C102" s="172"/>
      <c r="D102" s="172"/>
      <c r="F102" s="172"/>
      <c r="G102" s="172"/>
    </row>
    <row r="103" spans="1:7" s="87" customFormat="1" x14ac:dyDescent="0.25">
      <c r="A103" s="165"/>
      <c r="B103"/>
      <c r="C103" s="172"/>
      <c r="D103" s="172"/>
      <c r="F103" s="172"/>
      <c r="G103" s="172"/>
    </row>
    <row r="104" spans="1:7" s="87" customFormat="1" x14ac:dyDescent="0.25">
      <c r="A104" s="165"/>
      <c r="B104"/>
      <c r="C104" s="172"/>
      <c r="D104" s="172"/>
      <c r="F104" s="172"/>
      <c r="G104" s="172"/>
    </row>
    <row r="105" spans="1:7" s="87" customFormat="1" x14ac:dyDescent="0.25">
      <c r="A105" s="165"/>
      <c r="B105"/>
      <c r="C105" s="172"/>
      <c r="D105" s="172"/>
      <c r="F105" s="172"/>
      <c r="G105" s="172"/>
    </row>
    <row r="106" spans="1:7" s="87" customFormat="1" x14ac:dyDescent="0.25">
      <c r="A106" s="165"/>
      <c r="B106"/>
      <c r="C106" s="172"/>
      <c r="D106" s="172"/>
      <c r="F106" s="172"/>
      <c r="G106" s="172"/>
    </row>
    <row r="107" spans="1:7" s="87" customFormat="1" x14ac:dyDescent="0.25">
      <c r="A107" s="165"/>
      <c r="B107"/>
      <c r="C107" s="172"/>
      <c r="D107" s="172"/>
      <c r="F107" s="172"/>
      <c r="G107" s="172"/>
    </row>
    <row r="108" spans="1:7" s="87" customFormat="1" x14ac:dyDescent="0.25">
      <c r="A108" s="165"/>
      <c r="B108"/>
      <c r="C108" s="172"/>
      <c r="D108" s="172"/>
      <c r="F108" s="172"/>
      <c r="G108" s="172"/>
    </row>
    <row r="109" spans="1:7" s="87" customFormat="1" x14ac:dyDescent="0.25">
      <c r="A109" s="165"/>
      <c r="B109"/>
      <c r="C109" s="172"/>
      <c r="D109" s="172"/>
      <c r="F109" s="172"/>
      <c r="G109" s="172"/>
    </row>
    <row r="110" spans="1:7" s="87" customFormat="1" x14ac:dyDescent="0.25">
      <c r="A110" s="165"/>
      <c r="B110"/>
      <c r="C110" s="172"/>
      <c r="D110" s="172"/>
      <c r="F110" s="172"/>
      <c r="G110" s="172"/>
    </row>
    <row r="111" spans="1:7" s="87" customFormat="1" x14ac:dyDescent="0.25">
      <c r="A111" s="165"/>
      <c r="B111"/>
      <c r="C111" s="172"/>
      <c r="D111" s="172"/>
      <c r="F111" s="172"/>
      <c r="G111" s="172"/>
    </row>
    <row r="112" spans="1:7" s="87" customFormat="1" x14ac:dyDescent="0.25">
      <c r="A112" s="165"/>
      <c r="B112"/>
      <c r="C112" s="172"/>
      <c r="D112" s="172"/>
      <c r="F112" s="172"/>
      <c r="G112" s="172"/>
    </row>
    <row r="113" spans="1:7" s="87" customFormat="1" x14ac:dyDescent="0.25">
      <c r="A113" s="165"/>
      <c r="B113"/>
      <c r="C113" s="172"/>
      <c r="D113" s="172"/>
      <c r="F113" s="172"/>
      <c r="G113" s="172"/>
    </row>
    <row r="114" spans="1:7" s="87" customFormat="1" x14ac:dyDescent="0.25">
      <c r="A114" s="165"/>
      <c r="B114"/>
      <c r="C114" s="172"/>
      <c r="D114" s="172"/>
      <c r="F114" s="172"/>
      <c r="G114" s="172"/>
    </row>
    <row r="115" spans="1:7" s="87" customFormat="1" x14ac:dyDescent="0.25">
      <c r="A115" s="165"/>
      <c r="B115"/>
      <c r="C115" s="172"/>
      <c r="D115" s="172"/>
      <c r="F115" s="172"/>
      <c r="G115" s="172"/>
    </row>
    <row r="116" spans="1:7" s="87" customFormat="1" x14ac:dyDescent="0.25">
      <c r="A116" s="165"/>
      <c r="B116"/>
      <c r="C116" s="172"/>
      <c r="D116" s="172"/>
      <c r="F116" s="172"/>
      <c r="G116" s="172"/>
    </row>
    <row r="117" spans="1:7" s="87" customFormat="1" x14ac:dyDescent="0.25">
      <c r="A117" s="165"/>
      <c r="B117"/>
      <c r="C117" s="172"/>
      <c r="D117" s="172"/>
      <c r="F117" s="172"/>
      <c r="G117" s="172"/>
    </row>
    <row r="118" spans="1:7" s="87" customFormat="1" x14ac:dyDescent="0.25">
      <c r="A118" s="165"/>
      <c r="B118"/>
      <c r="C118" s="172"/>
      <c r="D118" s="172"/>
      <c r="F118" s="172"/>
      <c r="G118" s="172"/>
    </row>
    <row r="119" spans="1:7" s="87" customFormat="1" x14ac:dyDescent="0.25">
      <c r="A119" s="165"/>
      <c r="B119"/>
      <c r="C119" s="172"/>
      <c r="D119" s="172"/>
      <c r="F119" s="172"/>
      <c r="G119" s="172"/>
    </row>
    <row r="120" spans="1:7" s="87" customFormat="1" x14ac:dyDescent="0.25">
      <c r="A120" s="165"/>
      <c r="B120"/>
      <c r="C120" s="172"/>
      <c r="D120" s="172"/>
      <c r="F120" s="172"/>
      <c r="G120" s="172"/>
    </row>
    <row r="121" spans="1:7" s="87" customFormat="1" x14ac:dyDescent="0.25">
      <c r="A121" s="165"/>
      <c r="B121"/>
      <c r="C121" s="172"/>
      <c r="D121" s="172"/>
      <c r="F121" s="172"/>
      <c r="G121" s="172"/>
    </row>
    <row r="122" spans="1:7" s="87" customFormat="1" x14ac:dyDescent="0.25">
      <c r="A122" s="165"/>
      <c r="B122"/>
      <c r="C122" s="172"/>
      <c r="D122" s="172"/>
      <c r="F122" s="172"/>
      <c r="G122" s="172"/>
    </row>
    <row r="123" spans="1:7" s="87" customFormat="1" x14ac:dyDescent="0.25">
      <c r="A123" s="165"/>
      <c r="B123"/>
      <c r="C123" s="172"/>
      <c r="D123" s="172"/>
      <c r="F123" s="172"/>
      <c r="G123" s="172"/>
    </row>
    <row r="124" spans="1:7" s="87" customFormat="1" x14ac:dyDescent="0.25">
      <c r="A124" s="165"/>
      <c r="B124"/>
      <c r="C124" s="172"/>
      <c r="D124" s="172"/>
      <c r="F124" s="172"/>
      <c r="G124" s="172"/>
    </row>
    <row r="125" spans="1:7" s="87" customFormat="1" x14ac:dyDescent="0.25">
      <c r="A125" s="165"/>
      <c r="B125"/>
      <c r="C125" s="172"/>
      <c r="D125" s="172"/>
      <c r="F125" s="172"/>
      <c r="G125" s="172"/>
    </row>
    <row r="126" spans="1:7" s="87" customFormat="1" x14ac:dyDescent="0.25">
      <c r="A126" s="165"/>
      <c r="B126"/>
      <c r="C126" s="172"/>
      <c r="D126" s="172"/>
      <c r="F126" s="172"/>
      <c r="G126" s="172"/>
    </row>
    <row r="127" spans="1:7" s="87" customFormat="1" x14ac:dyDescent="0.25">
      <c r="A127" s="165"/>
      <c r="B127"/>
      <c r="C127" s="172"/>
      <c r="D127" s="172"/>
      <c r="F127" s="172"/>
      <c r="G127" s="172"/>
    </row>
    <row r="128" spans="1:7" s="87" customFormat="1" x14ac:dyDescent="0.25">
      <c r="A128" s="165"/>
      <c r="B128"/>
      <c r="C128" s="172"/>
      <c r="D128" s="172"/>
      <c r="F128" s="172"/>
      <c r="G128" s="172"/>
    </row>
    <row r="129" spans="1:7" s="87" customFormat="1" x14ac:dyDescent="0.25">
      <c r="A129" s="165"/>
      <c r="B129"/>
      <c r="C129" s="172"/>
      <c r="D129" s="172"/>
      <c r="F129" s="172"/>
      <c r="G129" s="172"/>
    </row>
    <row r="130" spans="1:7" s="87" customFormat="1" x14ac:dyDescent="0.25">
      <c r="A130" s="165"/>
      <c r="B130"/>
      <c r="C130" s="172"/>
      <c r="D130" s="172"/>
      <c r="F130" s="172"/>
      <c r="G130" s="172"/>
    </row>
    <row r="131" spans="1:7" s="87" customFormat="1" x14ac:dyDescent="0.25">
      <c r="A131" s="165"/>
      <c r="B131"/>
      <c r="C131" s="172"/>
      <c r="D131" s="172"/>
      <c r="F131" s="172"/>
      <c r="G131" s="172"/>
    </row>
    <row r="132" spans="1:7" s="87" customFormat="1" x14ac:dyDescent="0.25">
      <c r="A132" s="165"/>
      <c r="B132"/>
      <c r="C132" s="172"/>
      <c r="D132" s="172"/>
      <c r="F132" s="172"/>
      <c r="G132" s="172"/>
    </row>
    <row r="133" spans="1:7" s="87" customFormat="1" x14ac:dyDescent="0.25">
      <c r="A133" s="165"/>
      <c r="B133"/>
      <c r="C133" s="172"/>
      <c r="D133" s="172"/>
      <c r="F133" s="172"/>
      <c r="G133" s="172"/>
    </row>
    <row r="134" spans="1:7" s="87" customFormat="1" x14ac:dyDescent="0.25">
      <c r="A134" s="165"/>
      <c r="B134"/>
      <c r="C134" s="172"/>
      <c r="D134" s="172"/>
      <c r="F134" s="172"/>
      <c r="G134" s="172"/>
    </row>
    <row r="135" spans="1:7" s="87" customFormat="1" x14ac:dyDescent="0.25">
      <c r="A135" s="165"/>
      <c r="B135"/>
      <c r="C135" s="172"/>
      <c r="D135" s="172"/>
      <c r="F135" s="172"/>
      <c r="G135" s="172"/>
    </row>
    <row r="136" spans="1:7" s="87" customFormat="1" x14ac:dyDescent="0.25">
      <c r="A136" s="165"/>
      <c r="B136"/>
      <c r="C136" s="172"/>
      <c r="D136" s="172"/>
      <c r="F136" s="172"/>
      <c r="G136" s="172"/>
    </row>
    <row r="137" spans="1:7" s="87" customFormat="1" x14ac:dyDescent="0.25">
      <c r="A137" s="165"/>
      <c r="B137"/>
      <c r="C137" s="172"/>
      <c r="D137" s="172"/>
      <c r="F137" s="172"/>
      <c r="G137" s="172"/>
    </row>
    <row r="138" spans="1:7" s="87" customFormat="1" x14ac:dyDescent="0.25">
      <c r="A138" s="165"/>
      <c r="B138"/>
      <c r="C138" s="172"/>
      <c r="D138" s="172"/>
      <c r="F138" s="172"/>
      <c r="G138" s="172"/>
    </row>
    <row r="139" spans="1:7" s="87" customFormat="1" x14ac:dyDescent="0.25">
      <c r="A139" s="165"/>
      <c r="B139"/>
      <c r="C139" s="172"/>
      <c r="D139" s="172"/>
      <c r="F139" s="172"/>
      <c r="G139" s="172"/>
    </row>
    <row r="140" spans="1:7" s="87" customFormat="1" x14ac:dyDescent="0.25">
      <c r="A140" s="165"/>
      <c r="B140"/>
      <c r="C140" s="172"/>
      <c r="D140" s="172"/>
      <c r="F140" s="172"/>
      <c r="G140" s="172"/>
    </row>
    <row r="141" spans="1:7" s="87" customFormat="1" x14ac:dyDescent="0.25">
      <c r="A141" s="165"/>
      <c r="B141"/>
      <c r="C141" s="172"/>
      <c r="D141" s="172"/>
      <c r="F141" s="172"/>
      <c r="G141" s="172"/>
    </row>
    <row r="142" spans="1:7" s="87" customFormat="1" x14ac:dyDescent="0.25">
      <c r="A142" s="165"/>
      <c r="B142"/>
      <c r="C142" s="172"/>
      <c r="D142" s="172"/>
      <c r="F142" s="172"/>
      <c r="G142" s="172"/>
    </row>
    <row r="143" spans="1:7" s="87" customFormat="1" x14ac:dyDescent="0.25">
      <c r="A143" s="165"/>
      <c r="B143"/>
      <c r="C143" s="172"/>
      <c r="D143" s="172"/>
      <c r="F143" s="172"/>
      <c r="G143" s="172"/>
    </row>
    <row r="144" spans="1:7" s="87" customFormat="1" x14ac:dyDescent="0.25">
      <c r="A144" s="165"/>
      <c r="B144"/>
      <c r="C144" s="172"/>
      <c r="D144" s="172"/>
      <c r="F144" s="172"/>
      <c r="G144" s="172"/>
    </row>
    <row r="145" spans="1:7" s="87" customFormat="1" x14ac:dyDescent="0.25">
      <c r="A145" s="165"/>
      <c r="B145"/>
      <c r="C145" s="172"/>
      <c r="D145" s="172"/>
      <c r="F145" s="172"/>
      <c r="G145" s="172"/>
    </row>
    <row r="146" spans="1:7" s="87" customFormat="1" x14ac:dyDescent="0.25">
      <c r="A146" s="165"/>
      <c r="B146"/>
      <c r="C146" s="172"/>
      <c r="D146" s="172"/>
      <c r="F146" s="172"/>
      <c r="G146" s="172"/>
    </row>
    <row r="147" spans="1:7" s="87" customFormat="1" x14ac:dyDescent="0.25">
      <c r="A147" s="165"/>
      <c r="B147"/>
      <c r="C147" s="172"/>
      <c r="D147" s="172"/>
      <c r="F147" s="172"/>
      <c r="G147" s="172"/>
    </row>
    <row r="148" spans="1:7" s="87" customFormat="1" x14ac:dyDescent="0.25">
      <c r="A148" s="165"/>
      <c r="B148"/>
      <c r="C148" s="172"/>
      <c r="D148" s="172"/>
      <c r="F148" s="172"/>
      <c r="G148" s="172"/>
    </row>
    <row r="149" spans="1:7" s="87" customFormat="1" x14ac:dyDescent="0.25">
      <c r="A149" s="165"/>
      <c r="B149"/>
      <c r="C149" s="172"/>
      <c r="D149" s="172"/>
      <c r="F149" s="172"/>
      <c r="G149" s="172"/>
    </row>
    <row r="150" spans="1:7" s="87" customFormat="1" x14ac:dyDescent="0.25">
      <c r="A150" s="165"/>
      <c r="B150"/>
      <c r="C150" s="172"/>
      <c r="D150" s="172"/>
      <c r="F150" s="172"/>
      <c r="G150" s="172"/>
    </row>
    <row r="151" spans="1:7" s="87" customFormat="1" x14ac:dyDescent="0.25">
      <c r="A151" s="165"/>
      <c r="B151"/>
      <c r="C151" s="172"/>
      <c r="D151" s="172"/>
      <c r="F151" s="172"/>
      <c r="G151" s="172"/>
    </row>
    <row r="152" spans="1:7" s="87" customFormat="1" x14ac:dyDescent="0.25">
      <c r="A152" s="165"/>
      <c r="B152"/>
      <c r="C152" s="172"/>
      <c r="D152" s="172"/>
      <c r="F152" s="172"/>
      <c r="G152" s="172"/>
    </row>
    <row r="153" spans="1:7" s="87" customFormat="1" x14ac:dyDescent="0.25">
      <c r="A153" s="165"/>
      <c r="B153"/>
      <c r="C153" s="172"/>
      <c r="D153" s="172"/>
      <c r="F153" s="172"/>
      <c r="G153" s="172"/>
    </row>
    <row r="154" spans="1:7" s="87" customFormat="1" x14ac:dyDescent="0.25">
      <c r="A154" s="165"/>
      <c r="B154"/>
      <c r="C154" s="172"/>
      <c r="D154" s="172"/>
      <c r="F154" s="172"/>
      <c r="G154" s="172"/>
    </row>
    <row r="155" spans="1:7" s="87" customFormat="1" x14ac:dyDescent="0.25">
      <c r="A155" s="165"/>
      <c r="B155"/>
      <c r="C155" s="172"/>
      <c r="D155" s="172"/>
      <c r="F155" s="172"/>
      <c r="G155" s="172"/>
    </row>
    <row r="156" spans="1:7" s="87" customFormat="1" x14ac:dyDescent="0.25">
      <c r="A156" s="165"/>
      <c r="B156"/>
      <c r="C156" s="172"/>
      <c r="D156" s="172"/>
      <c r="F156" s="172"/>
      <c r="G156" s="172"/>
    </row>
    <row r="157" spans="1:7" s="87" customFormat="1" x14ac:dyDescent="0.25">
      <c r="A157" s="165"/>
      <c r="B157"/>
      <c r="C157" s="172"/>
      <c r="D157" s="172"/>
      <c r="F157" s="172"/>
      <c r="G157" s="172"/>
    </row>
    <row r="158" spans="1:7" s="87" customFormat="1" x14ac:dyDescent="0.25">
      <c r="A158" s="165"/>
      <c r="B158"/>
      <c r="C158" s="172"/>
      <c r="D158" s="172"/>
      <c r="F158" s="172"/>
      <c r="G158" s="172"/>
    </row>
    <row r="159" spans="1:7" s="87" customFormat="1" x14ac:dyDescent="0.25">
      <c r="A159" s="165"/>
      <c r="B159"/>
      <c r="C159" s="172"/>
      <c r="D159" s="172"/>
      <c r="F159" s="172"/>
      <c r="G159" s="172"/>
    </row>
    <row r="160" spans="1:7" s="87" customFormat="1" x14ac:dyDescent="0.25">
      <c r="A160" s="165"/>
      <c r="B160"/>
      <c r="C160" s="172"/>
      <c r="D160" s="172"/>
      <c r="F160" s="172"/>
      <c r="G160" s="172"/>
    </row>
    <row r="161" spans="1:7" s="87" customFormat="1" x14ac:dyDescent="0.25">
      <c r="A161" s="165"/>
      <c r="B161"/>
      <c r="C161" s="172"/>
      <c r="D161" s="172"/>
      <c r="F161" s="172"/>
      <c r="G161" s="172"/>
    </row>
    <row r="162" spans="1:7" s="87" customFormat="1" x14ac:dyDescent="0.25">
      <c r="A162" s="165"/>
      <c r="B162"/>
      <c r="C162" s="172"/>
      <c r="D162" s="172"/>
      <c r="F162" s="172"/>
      <c r="G162" s="172"/>
    </row>
    <row r="163" spans="1:7" s="87" customFormat="1" x14ac:dyDescent="0.25">
      <c r="A163" s="165"/>
      <c r="B163"/>
      <c r="C163" s="172"/>
      <c r="D163" s="172"/>
      <c r="F163" s="172"/>
      <c r="G163" s="172"/>
    </row>
    <row r="164" spans="1:7" s="87" customFormat="1" x14ac:dyDescent="0.25">
      <c r="A164" s="165"/>
      <c r="B164"/>
      <c r="C164" s="172"/>
      <c r="D164" s="172"/>
      <c r="F164" s="172"/>
      <c r="G164" s="172"/>
    </row>
    <row r="165" spans="1:7" s="87" customFormat="1" x14ac:dyDescent="0.25">
      <c r="A165" s="165"/>
      <c r="B165"/>
      <c r="C165" s="172"/>
      <c r="D165" s="172"/>
      <c r="F165" s="172"/>
      <c r="G165" s="172"/>
    </row>
    <row r="166" spans="1:7" s="87" customFormat="1" x14ac:dyDescent="0.25">
      <c r="A166" s="165"/>
      <c r="B166"/>
      <c r="C166" s="172"/>
      <c r="D166" s="172"/>
      <c r="F166" s="172"/>
      <c r="G166" s="172"/>
    </row>
    <row r="167" spans="1:7" s="87" customFormat="1" x14ac:dyDescent="0.25">
      <c r="A167" s="165"/>
      <c r="B167"/>
      <c r="C167" s="172"/>
      <c r="D167" s="172"/>
      <c r="F167" s="172"/>
      <c r="G167" s="172"/>
    </row>
    <row r="168" spans="1:7" s="87" customFormat="1" x14ac:dyDescent="0.25">
      <c r="A168" s="165"/>
      <c r="B168"/>
      <c r="C168" s="172"/>
      <c r="D168" s="172"/>
      <c r="F168" s="172"/>
      <c r="G168" s="172"/>
    </row>
    <row r="169" spans="1:7" s="87" customFormat="1" x14ac:dyDescent="0.25">
      <c r="A169" s="165"/>
      <c r="B169"/>
      <c r="C169" s="172"/>
      <c r="D169" s="172"/>
      <c r="F169" s="172"/>
      <c r="G169" s="172"/>
    </row>
    <row r="170" spans="1:7" s="87" customFormat="1" x14ac:dyDescent="0.25">
      <c r="A170" s="165"/>
      <c r="B170"/>
      <c r="C170" s="172"/>
      <c r="D170" s="172"/>
      <c r="F170" s="172"/>
      <c r="G170" s="172"/>
    </row>
    <row r="171" spans="1:7" s="87" customFormat="1" x14ac:dyDescent="0.25">
      <c r="A171" s="165"/>
      <c r="B171"/>
      <c r="C171" s="172"/>
      <c r="D171" s="172"/>
      <c r="F171" s="172"/>
      <c r="G171" s="172"/>
    </row>
    <row r="172" spans="1:7" s="87" customFormat="1" x14ac:dyDescent="0.25">
      <c r="A172" s="165"/>
      <c r="B172"/>
      <c r="C172" s="172"/>
      <c r="D172" s="172"/>
      <c r="F172" s="172"/>
      <c r="G172" s="172"/>
    </row>
    <row r="173" spans="1:7" s="87" customFormat="1" x14ac:dyDescent="0.25">
      <c r="A173" s="165"/>
      <c r="B173"/>
      <c r="C173" s="172"/>
      <c r="D173" s="172"/>
      <c r="F173" s="172"/>
      <c r="G173" s="172"/>
    </row>
    <row r="174" spans="1:7" s="87" customFormat="1" x14ac:dyDescent="0.25">
      <c r="A174" s="165"/>
      <c r="B174"/>
      <c r="C174" s="172"/>
      <c r="D174" s="172"/>
      <c r="F174" s="172"/>
      <c r="G174" s="172"/>
    </row>
    <row r="175" spans="1:7" s="87" customFormat="1" x14ac:dyDescent="0.25">
      <c r="A175" s="165"/>
      <c r="B175"/>
      <c r="C175" s="172"/>
      <c r="D175" s="172"/>
      <c r="F175" s="172"/>
      <c r="G175" s="172"/>
    </row>
    <row r="176" spans="1:7" s="87" customFormat="1" x14ac:dyDescent="0.25">
      <c r="A176" s="165"/>
      <c r="B176"/>
      <c r="C176" s="172"/>
      <c r="D176" s="172"/>
      <c r="F176" s="172"/>
      <c r="G176" s="172"/>
    </row>
    <row r="177" spans="1:7" s="87" customFormat="1" x14ac:dyDescent="0.25">
      <c r="A177" s="165"/>
      <c r="B177"/>
      <c r="C177" s="172"/>
      <c r="D177" s="172"/>
      <c r="F177" s="172"/>
      <c r="G177" s="172"/>
    </row>
    <row r="178" spans="1:7" s="87" customFormat="1" x14ac:dyDescent="0.25">
      <c r="A178" s="165"/>
      <c r="B178"/>
      <c r="C178" s="172"/>
      <c r="D178" s="172"/>
      <c r="F178" s="172"/>
      <c r="G178" s="172"/>
    </row>
    <row r="179" spans="1:7" s="87" customFormat="1" x14ac:dyDescent="0.25">
      <c r="A179" s="165"/>
      <c r="B179"/>
      <c r="C179" s="172"/>
      <c r="D179" s="172"/>
      <c r="F179" s="172"/>
      <c r="G179" s="172"/>
    </row>
    <row r="180" spans="1:7" s="87" customFormat="1" x14ac:dyDescent="0.25">
      <c r="A180" s="165"/>
      <c r="B180"/>
      <c r="C180" s="172"/>
      <c r="D180" s="172"/>
      <c r="F180" s="172"/>
      <c r="G180" s="172"/>
    </row>
    <row r="181" spans="1:7" s="87" customFormat="1" x14ac:dyDescent="0.25">
      <c r="A181" s="165"/>
      <c r="B181"/>
      <c r="C181" s="172"/>
      <c r="D181" s="172"/>
      <c r="F181" s="172"/>
      <c r="G181" s="172"/>
    </row>
    <row r="182" spans="1:7" s="87" customFormat="1" x14ac:dyDescent="0.25">
      <c r="A182" s="165"/>
      <c r="B182"/>
      <c r="C182" s="172"/>
      <c r="D182" s="172"/>
      <c r="F182" s="172"/>
      <c r="G182" s="172"/>
    </row>
    <row r="183" spans="1:7" s="87" customFormat="1" x14ac:dyDescent="0.25">
      <c r="A183" s="165"/>
      <c r="B183"/>
      <c r="C183" s="172"/>
      <c r="D183" s="172"/>
      <c r="F183" s="172"/>
      <c r="G183" s="172"/>
    </row>
    <row r="184" spans="1:7" s="87" customFormat="1" x14ac:dyDescent="0.25">
      <c r="A184" s="165"/>
      <c r="B184"/>
      <c r="C184" s="172"/>
      <c r="D184" s="172"/>
      <c r="F184" s="172"/>
      <c r="G184" s="172"/>
    </row>
    <row r="185" spans="1:7" s="87" customFormat="1" x14ac:dyDescent="0.25">
      <c r="A185" s="165"/>
      <c r="B185"/>
      <c r="C185" s="172"/>
      <c r="D185" s="172"/>
      <c r="F185" s="172"/>
      <c r="G185" s="172"/>
    </row>
    <row r="186" spans="1:7" s="87" customFormat="1" x14ac:dyDescent="0.25">
      <c r="A186" s="165"/>
      <c r="B186"/>
      <c r="C186" s="172"/>
      <c r="D186" s="172"/>
      <c r="F186" s="172"/>
      <c r="G186" s="172"/>
    </row>
    <row r="187" spans="1:7" s="87" customFormat="1" x14ac:dyDescent="0.25">
      <c r="A187" s="165"/>
      <c r="B187"/>
      <c r="C187" s="172"/>
      <c r="D187" s="172"/>
      <c r="F187" s="172"/>
      <c r="G187" s="172"/>
    </row>
    <row r="188" spans="1:7" s="87" customFormat="1" x14ac:dyDescent="0.25">
      <c r="A188" s="165"/>
      <c r="B188"/>
      <c r="C188" s="172"/>
      <c r="D188" s="172"/>
      <c r="F188" s="172"/>
      <c r="G188" s="172"/>
    </row>
    <row r="189" spans="1:7" s="87" customFormat="1" x14ac:dyDescent="0.25">
      <c r="A189" s="165"/>
      <c r="B189"/>
      <c r="C189" s="172"/>
      <c r="D189" s="172"/>
      <c r="F189" s="172"/>
      <c r="G189" s="172"/>
    </row>
    <row r="190" spans="1:7" s="87" customFormat="1" x14ac:dyDescent="0.25">
      <c r="A190" s="165"/>
      <c r="B190"/>
      <c r="C190" s="172"/>
      <c r="D190" s="172"/>
      <c r="F190" s="172"/>
      <c r="G190" s="172"/>
    </row>
    <row r="191" spans="1:7" s="87" customFormat="1" x14ac:dyDescent="0.25">
      <c r="A191" s="165"/>
      <c r="B191"/>
      <c r="C191" s="172"/>
      <c r="D191" s="172"/>
      <c r="F191" s="172"/>
      <c r="G191" s="172"/>
    </row>
    <row r="192" spans="1:7" s="87" customFormat="1" x14ac:dyDescent="0.25">
      <c r="A192" s="165"/>
      <c r="B192"/>
      <c r="C192" s="172"/>
      <c r="D192" s="172"/>
      <c r="F192" s="172"/>
      <c r="G192" s="172"/>
    </row>
    <row r="193" spans="1:7" s="87" customFormat="1" x14ac:dyDescent="0.25">
      <c r="A193" s="165"/>
      <c r="B193"/>
      <c r="C193" s="172"/>
      <c r="D193" s="172"/>
      <c r="F193" s="172"/>
      <c r="G193" s="172"/>
    </row>
    <row r="194" spans="1:7" s="87" customFormat="1" x14ac:dyDescent="0.25">
      <c r="A194" s="165"/>
      <c r="B194"/>
      <c r="C194" s="172"/>
      <c r="D194" s="172"/>
      <c r="F194" s="172"/>
      <c r="G194" s="172"/>
    </row>
    <row r="195" spans="1:7" s="87" customFormat="1" x14ac:dyDescent="0.25">
      <c r="A195" s="165"/>
      <c r="B195"/>
      <c r="C195" s="172"/>
      <c r="D195" s="172"/>
      <c r="F195" s="172"/>
      <c r="G195" s="172"/>
    </row>
    <row r="196" spans="1:7" s="87" customFormat="1" x14ac:dyDescent="0.25">
      <c r="A196" s="165"/>
      <c r="B196"/>
      <c r="C196" s="172"/>
      <c r="D196" s="172"/>
      <c r="F196" s="172"/>
      <c r="G196" s="172"/>
    </row>
    <row r="197" spans="1:7" s="87" customFormat="1" x14ac:dyDescent="0.25">
      <c r="A197" s="165"/>
      <c r="B197"/>
      <c r="C197" s="172"/>
      <c r="D197" s="172"/>
      <c r="F197" s="172"/>
      <c r="G197" s="172"/>
    </row>
    <row r="198" spans="1:7" s="87" customFormat="1" x14ac:dyDescent="0.25">
      <c r="A198" s="165"/>
      <c r="B198"/>
      <c r="C198" s="172"/>
      <c r="D198" s="172"/>
      <c r="F198" s="172"/>
      <c r="G198" s="172"/>
    </row>
    <row r="199" spans="1:7" s="87" customFormat="1" x14ac:dyDescent="0.25">
      <c r="A199" s="165"/>
      <c r="B199"/>
      <c r="C199" s="172"/>
      <c r="D199" s="172"/>
      <c r="F199" s="172"/>
      <c r="G199" s="172"/>
    </row>
    <row r="200" spans="1:7" s="87" customFormat="1" x14ac:dyDescent="0.25">
      <c r="A200" s="165"/>
      <c r="B200"/>
      <c r="C200" s="172"/>
      <c r="D200" s="172"/>
      <c r="F200" s="172"/>
      <c r="G200" s="172"/>
    </row>
    <row r="201" spans="1:7" s="87" customFormat="1" x14ac:dyDescent="0.25">
      <c r="A201" s="165"/>
      <c r="B201"/>
      <c r="C201" s="172"/>
      <c r="D201" s="172"/>
      <c r="F201" s="172"/>
      <c r="G201" s="172"/>
    </row>
    <row r="202" spans="1:7" s="87" customFormat="1" x14ac:dyDescent="0.25">
      <c r="A202" s="165"/>
      <c r="B202"/>
      <c r="C202" s="172"/>
      <c r="D202" s="172"/>
      <c r="F202" s="172"/>
      <c r="G202" s="172"/>
    </row>
    <row r="203" spans="1:7" s="87" customFormat="1" x14ac:dyDescent="0.25">
      <c r="A203" s="165"/>
      <c r="B203"/>
      <c r="C203" s="172"/>
      <c r="D203" s="172"/>
      <c r="F203" s="172"/>
      <c r="G203" s="172"/>
    </row>
    <row r="204" spans="1:7" s="87" customFormat="1" x14ac:dyDescent="0.25">
      <c r="A204" s="165"/>
      <c r="B204"/>
      <c r="C204" s="172"/>
      <c r="D204" s="172"/>
      <c r="F204" s="172"/>
      <c r="G204" s="172"/>
    </row>
    <row r="205" spans="1:7" s="87" customFormat="1" x14ac:dyDescent="0.25">
      <c r="A205" s="165"/>
      <c r="B205"/>
      <c r="C205" s="172"/>
      <c r="D205" s="172"/>
      <c r="F205" s="172"/>
      <c r="G205" s="172"/>
    </row>
    <row r="206" spans="1:7" s="87" customFormat="1" x14ac:dyDescent="0.25">
      <c r="A206" s="165"/>
      <c r="B206"/>
      <c r="C206" s="172"/>
      <c r="D206" s="172"/>
      <c r="F206" s="172"/>
      <c r="G206" s="172"/>
    </row>
    <row r="207" spans="1:7" s="87" customFormat="1" x14ac:dyDescent="0.25">
      <c r="A207" s="165"/>
      <c r="B207"/>
      <c r="C207" s="172"/>
      <c r="D207" s="172"/>
      <c r="F207" s="172"/>
      <c r="G207" s="172"/>
    </row>
    <row r="208" spans="1:7" s="87" customFormat="1" x14ac:dyDescent="0.25">
      <c r="A208" s="165"/>
      <c r="B208"/>
      <c r="C208" s="172"/>
      <c r="D208" s="172"/>
      <c r="F208" s="172"/>
      <c r="G208" s="172"/>
    </row>
    <row r="209" spans="1:7" s="87" customFormat="1" x14ac:dyDescent="0.25">
      <c r="A209" s="165"/>
      <c r="B209"/>
      <c r="C209" s="172"/>
      <c r="D209" s="172"/>
      <c r="F209" s="172"/>
      <c r="G209" s="172"/>
    </row>
    <row r="210" spans="1:7" s="87" customFormat="1" x14ac:dyDescent="0.25">
      <c r="A210" s="165"/>
      <c r="B210"/>
      <c r="C210" s="172"/>
      <c r="D210" s="172"/>
      <c r="F210" s="172"/>
      <c r="G210" s="172"/>
    </row>
    <row r="211" spans="1:7" s="87" customFormat="1" x14ac:dyDescent="0.25">
      <c r="A211" s="165"/>
      <c r="B211"/>
      <c r="C211" s="172"/>
      <c r="D211" s="172"/>
      <c r="F211" s="172"/>
      <c r="G211" s="172"/>
    </row>
    <row r="212" spans="1:7" s="87" customFormat="1" x14ac:dyDescent="0.25">
      <c r="A212" s="165"/>
      <c r="B212"/>
      <c r="C212" s="172"/>
      <c r="D212" s="172"/>
      <c r="F212" s="172"/>
      <c r="G212" s="172"/>
    </row>
    <row r="213" spans="1:7" s="87" customFormat="1" x14ac:dyDescent="0.25">
      <c r="A213" s="165"/>
      <c r="B213"/>
      <c r="C213" s="172"/>
      <c r="D213" s="172"/>
      <c r="F213" s="172"/>
      <c r="G213" s="172"/>
    </row>
    <row r="214" spans="1:7" s="87" customFormat="1" x14ac:dyDescent="0.25">
      <c r="A214" s="165"/>
      <c r="B214"/>
      <c r="C214" s="172"/>
      <c r="D214" s="172"/>
      <c r="F214" s="172"/>
      <c r="G214" s="172"/>
    </row>
    <row r="215" spans="1:7" s="87" customFormat="1" x14ac:dyDescent="0.25">
      <c r="A215" s="165"/>
      <c r="B215"/>
      <c r="C215" s="172"/>
      <c r="D215" s="172"/>
      <c r="F215" s="172"/>
      <c r="G215" s="172"/>
    </row>
    <row r="216" spans="1:7" s="87" customFormat="1" x14ac:dyDescent="0.25">
      <c r="A216" s="165"/>
      <c r="B216"/>
      <c r="C216" s="172"/>
      <c r="D216" s="172"/>
      <c r="F216" s="172"/>
      <c r="G216" s="172"/>
    </row>
    <row r="217" spans="1:7" s="87" customFormat="1" x14ac:dyDescent="0.25">
      <c r="A217" s="165"/>
      <c r="B217"/>
      <c r="C217" s="172"/>
      <c r="D217" s="172"/>
      <c r="F217" s="172"/>
      <c r="G217" s="172"/>
    </row>
    <row r="218" spans="1:7" s="87" customFormat="1" x14ac:dyDescent="0.25">
      <c r="A218" s="165"/>
      <c r="B218"/>
      <c r="C218" s="172"/>
      <c r="D218" s="172"/>
      <c r="F218" s="172"/>
      <c r="G218" s="172"/>
    </row>
    <row r="219" spans="1:7" s="87" customFormat="1" x14ac:dyDescent="0.25">
      <c r="A219" s="165"/>
      <c r="B219"/>
      <c r="C219" s="172"/>
      <c r="D219" s="172"/>
      <c r="F219" s="172"/>
      <c r="G219" s="172"/>
    </row>
    <row r="220" spans="1:7" s="87" customFormat="1" x14ac:dyDescent="0.25">
      <c r="A220" s="165"/>
      <c r="B220"/>
      <c r="C220" s="172"/>
      <c r="D220" s="172"/>
      <c r="F220" s="172"/>
      <c r="G220" s="172"/>
    </row>
    <row r="221" spans="1:7" s="87" customFormat="1" x14ac:dyDescent="0.25">
      <c r="A221" s="165"/>
      <c r="B221"/>
      <c r="C221" s="172"/>
      <c r="D221" s="172"/>
      <c r="F221" s="172"/>
      <c r="G221" s="172"/>
    </row>
    <row r="222" spans="1:7" s="87" customFormat="1" x14ac:dyDescent="0.25">
      <c r="A222" s="165"/>
      <c r="B222"/>
      <c r="C222" s="172"/>
      <c r="D222" s="172"/>
      <c r="F222" s="172"/>
      <c r="G222" s="172"/>
    </row>
    <row r="223" spans="1:7" s="87" customFormat="1" x14ac:dyDescent="0.25">
      <c r="A223" s="165"/>
      <c r="B223"/>
      <c r="C223" s="172"/>
      <c r="D223" s="172"/>
      <c r="F223" s="172"/>
      <c r="G223" s="172"/>
    </row>
    <row r="224" spans="1:7" s="87" customFormat="1" x14ac:dyDescent="0.25">
      <c r="A224" s="165"/>
      <c r="B224"/>
      <c r="C224" s="172"/>
      <c r="D224" s="172"/>
      <c r="F224" s="172"/>
      <c r="G224" s="172"/>
    </row>
    <row r="225" spans="1:7" s="87" customFormat="1" x14ac:dyDescent="0.25">
      <c r="A225" s="165"/>
      <c r="B225"/>
      <c r="C225" s="172"/>
      <c r="D225" s="172"/>
      <c r="F225" s="172"/>
      <c r="G225" s="172"/>
    </row>
    <row r="226" spans="1:7" s="87" customFormat="1" x14ac:dyDescent="0.25">
      <c r="A226" s="165"/>
      <c r="B226"/>
      <c r="C226" s="172"/>
      <c r="D226" s="172"/>
      <c r="F226" s="172"/>
      <c r="G226" s="172"/>
    </row>
    <row r="227" spans="1:7" s="87" customFormat="1" x14ac:dyDescent="0.25">
      <c r="A227" s="165"/>
      <c r="B227"/>
      <c r="C227" s="172"/>
      <c r="D227" s="172"/>
      <c r="F227" s="172"/>
      <c r="G227" s="172"/>
    </row>
    <row r="228" spans="1:7" s="87" customFormat="1" x14ac:dyDescent="0.25">
      <c r="A228" s="165"/>
      <c r="B228"/>
      <c r="C228" s="172"/>
      <c r="D228" s="172"/>
      <c r="F228" s="172"/>
      <c r="G228" s="172"/>
    </row>
    <row r="229" spans="1:7" s="87" customFormat="1" x14ac:dyDescent="0.25">
      <c r="A229" s="165"/>
      <c r="B229"/>
      <c r="C229" s="172"/>
      <c r="D229" s="172"/>
      <c r="F229" s="172"/>
      <c r="G229" s="172"/>
    </row>
    <row r="230" spans="1:7" s="87" customFormat="1" x14ac:dyDescent="0.25">
      <c r="A230" s="165"/>
      <c r="B230"/>
      <c r="C230" s="172"/>
      <c r="D230" s="172"/>
      <c r="F230" s="172"/>
      <c r="G230" s="172"/>
    </row>
    <row r="231" spans="1:7" s="87" customFormat="1" x14ac:dyDescent="0.25">
      <c r="A231" s="165"/>
      <c r="B231"/>
      <c r="C231" s="172"/>
      <c r="D231" s="172"/>
      <c r="F231" s="172"/>
      <c r="G231" s="172"/>
    </row>
    <row r="232" spans="1:7" s="87" customFormat="1" x14ac:dyDescent="0.25">
      <c r="A232" s="165"/>
      <c r="B232"/>
      <c r="C232" s="172"/>
      <c r="D232" s="172"/>
      <c r="F232" s="172"/>
      <c r="G232" s="172"/>
    </row>
    <row r="233" spans="1:7" s="87" customFormat="1" x14ac:dyDescent="0.25">
      <c r="A233" s="165"/>
      <c r="B233"/>
      <c r="C233" s="172"/>
      <c r="D233" s="172"/>
      <c r="F233" s="172"/>
      <c r="G233" s="172"/>
    </row>
    <row r="234" spans="1:7" s="87" customFormat="1" x14ac:dyDescent="0.25">
      <c r="A234" s="165"/>
      <c r="B234"/>
      <c r="C234" s="172"/>
      <c r="D234" s="172"/>
      <c r="F234" s="172"/>
      <c r="G234" s="172"/>
    </row>
    <row r="235" spans="1:7" s="87" customFormat="1" x14ac:dyDescent="0.25">
      <c r="A235" s="165"/>
      <c r="B235"/>
      <c r="C235" s="172"/>
      <c r="D235" s="172"/>
      <c r="F235" s="172"/>
      <c r="G235" s="172"/>
    </row>
    <row r="236" spans="1:7" s="87" customFormat="1" x14ac:dyDescent="0.25">
      <c r="A236" s="165"/>
      <c r="B236"/>
      <c r="C236" s="172"/>
      <c r="D236" s="172"/>
      <c r="F236" s="172"/>
      <c r="G236" s="172"/>
    </row>
    <row r="237" spans="1:7" s="87" customFormat="1" x14ac:dyDescent="0.25">
      <c r="A237" s="165"/>
      <c r="B237"/>
      <c r="C237" s="172"/>
      <c r="D237" s="172"/>
      <c r="F237" s="172"/>
      <c r="G237" s="172"/>
    </row>
    <row r="238" spans="1:7" s="87" customFormat="1" x14ac:dyDescent="0.25">
      <c r="A238" s="165"/>
      <c r="B238"/>
      <c r="C238" s="172"/>
      <c r="D238" s="172"/>
      <c r="F238" s="172"/>
      <c r="G238" s="172"/>
    </row>
    <row r="239" spans="1:7" s="87" customFormat="1" x14ac:dyDescent="0.25">
      <c r="A239" s="165"/>
      <c r="B239"/>
      <c r="C239" s="172"/>
      <c r="D239" s="172"/>
      <c r="F239" s="172"/>
      <c r="G239" s="172"/>
    </row>
    <row r="240" spans="1:7" s="87" customFormat="1" x14ac:dyDescent="0.25">
      <c r="A240" s="165"/>
      <c r="B240"/>
      <c r="C240" s="172"/>
      <c r="D240" s="172"/>
      <c r="F240" s="172"/>
      <c r="G240" s="172"/>
    </row>
    <row r="241" spans="1:7" s="87" customFormat="1" x14ac:dyDescent="0.25">
      <c r="A241" s="165"/>
      <c r="B241"/>
      <c r="C241" s="172"/>
      <c r="D241" s="172"/>
      <c r="F241" s="172"/>
      <c r="G241" s="172"/>
    </row>
    <row r="242" spans="1:7" s="87" customFormat="1" x14ac:dyDescent="0.25">
      <c r="A242" s="165"/>
      <c r="B242"/>
      <c r="C242" s="172"/>
      <c r="D242" s="172"/>
      <c r="F242" s="172"/>
      <c r="G242" s="172"/>
    </row>
    <row r="243" spans="1:7" s="87" customFormat="1" x14ac:dyDescent="0.25">
      <c r="A243" s="165"/>
      <c r="B243"/>
      <c r="C243" s="172"/>
      <c r="D243" s="172"/>
      <c r="F243" s="172"/>
      <c r="G243" s="172"/>
    </row>
    <row r="244" spans="1:7" s="87" customFormat="1" x14ac:dyDescent="0.25">
      <c r="A244" s="165"/>
      <c r="B244"/>
      <c r="C244" s="172"/>
      <c r="D244" s="172"/>
      <c r="F244" s="172"/>
      <c r="G244" s="172"/>
    </row>
    <row r="245" spans="1:7" s="87" customFormat="1" x14ac:dyDescent="0.25">
      <c r="A245" s="165"/>
      <c r="B245"/>
      <c r="C245" s="172"/>
      <c r="D245" s="172"/>
      <c r="F245" s="172"/>
      <c r="G245" s="172"/>
    </row>
    <row r="246" spans="1:7" s="87" customFormat="1" x14ac:dyDescent="0.25">
      <c r="A246" s="165"/>
      <c r="B246"/>
      <c r="C246" s="172"/>
      <c r="D246" s="172"/>
      <c r="F246" s="172"/>
      <c r="G246" s="172"/>
    </row>
    <row r="247" spans="1:7" s="87" customFormat="1" x14ac:dyDescent="0.25">
      <c r="A247" s="165"/>
      <c r="B247"/>
      <c r="C247" s="172"/>
      <c r="D247" s="172"/>
      <c r="F247" s="172"/>
      <c r="G247" s="172"/>
    </row>
    <row r="248" spans="1:7" s="87" customFormat="1" x14ac:dyDescent="0.25">
      <c r="A248" s="165"/>
      <c r="B248"/>
      <c r="C248" s="172"/>
      <c r="D248" s="172"/>
      <c r="F248" s="172"/>
      <c r="G248" s="172"/>
    </row>
    <row r="249" spans="1:7" s="87" customFormat="1" x14ac:dyDescent="0.25">
      <c r="A249" s="165"/>
      <c r="B249"/>
      <c r="C249" s="172"/>
      <c r="D249" s="172"/>
      <c r="F249" s="172"/>
      <c r="G249" s="172"/>
    </row>
    <row r="250" spans="1:7" s="87" customFormat="1" x14ac:dyDescent="0.25">
      <c r="A250" s="165"/>
      <c r="B250"/>
      <c r="C250" s="172"/>
      <c r="D250" s="172"/>
      <c r="F250" s="172"/>
      <c r="G250" s="172"/>
    </row>
    <row r="251" spans="1:7" s="87" customFormat="1" x14ac:dyDescent="0.25">
      <c r="A251" s="165"/>
      <c r="B251"/>
      <c r="C251" s="172"/>
      <c r="D251" s="172"/>
      <c r="F251" s="172"/>
      <c r="G251" s="172"/>
    </row>
    <row r="252" spans="1:7" s="87" customFormat="1" x14ac:dyDescent="0.25">
      <c r="A252" s="165"/>
      <c r="B252"/>
      <c r="C252" s="172"/>
      <c r="D252" s="172"/>
      <c r="F252" s="172"/>
      <c r="G252" s="172"/>
    </row>
    <row r="253" spans="1:7" s="87" customFormat="1" x14ac:dyDescent="0.25">
      <c r="A253" s="165"/>
      <c r="B253"/>
      <c r="C253" s="172"/>
      <c r="D253" s="172"/>
      <c r="F253" s="172"/>
      <c r="G253" s="172"/>
    </row>
    <row r="254" spans="1:7" s="87" customFormat="1" x14ac:dyDescent="0.25">
      <c r="A254" s="165"/>
      <c r="B254"/>
      <c r="C254" s="172"/>
      <c r="D254" s="172"/>
      <c r="F254" s="172"/>
      <c r="G254" s="172"/>
    </row>
    <row r="255" spans="1:7" s="87" customFormat="1" x14ac:dyDescent="0.25">
      <c r="A255" s="165"/>
      <c r="B255"/>
      <c r="C255" s="172"/>
      <c r="D255" s="172"/>
      <c r="F255" s="172"/>
      <c r="G255" s="172"/>
    </row>
    <row r="256" spans="1:7" s="87" customFormat="1" x14ac:dyDescent="0.25">
      <c r="A256" s="165"/>
      <c r="B256"/>
      <c r="C256" s="172"/>
      <c r="D256" s="172"/>
      <c r="F256" s="172"/>
      <c r="G256" s="172"/>
    </row>
    <row r="257" spans="1:7" s="87" customFormat="1" x14ac:dyDescent="0.25">
      <c r="A257" s="165"/>
      <c r="B257"/>
      <c r="C257" s="172"/>
      <c r="D257" s="172"/>
      <c r="F257" s="172"/>
      <c r="G257" s="172"/>
    </row>
    <row r="258" spans="1:7" s="87" customFormat="1" x14ac:dyDescent="0.25">
      <c r="A258" s="165"/>
      <c r="B258"/>
      <c r="C258" s="172"/>
      <c r="D258" s="172"/>
      <c r="F258" s="172"/>
      <c r="G258" s="172"/>
    </row>
    <row r="259" spans="1:7" s="87" customFormat="1" x14ac:dyDescent="0.25">
      <c r="A259" s="165"/>
      <c r="B259"/>
      <c r="C259" s="172"/>
      <c r="D259" s="172"/>
      <c r="F259" s="172"/>
      <c r="G259" s="172"/>
    </row>
    <row r="260" spans="1:7" s="87" customFormat="1" x14ac:dyDescent="0.25">
      <c r="A260" s="165"/>
      <c r="B260"/>
      <c r="C260" s="172"/>
      <c r="D260" s="172"/>
      <c r="F260" s="172"/>
      <c r="G260" s="172"/>
    </row>
    <row r="261" spans="1:7" s="87" customFormat="1" x14ac:dyDescent="0.25">
      <c r="A261" s="165"/>
      <c r="B261"/>
      <c r="C261" s="172"/>
      <c r="D261" s="172"/>
      <c r="F261" s="172"/>
      <c r="G261" s="172"/>
    </row>
    <row r="262" spans="1:7" s="87" customFormat="1" x14ac:dyDescent="0.25">
      <c r="A262" s="165"/>
      <c r="B262"/>
      <c r="C262" s="172"/>
      <c r="D262" s="172"/>
      <c r="F262" s="172"/>
      <c r="G262" s="172"/>
    </row>
    <row r="263" spans="1:7" s="87" customFormat="1" x14ac:dyDescent="0.25">
      <c r="A263" s="165"/>
      <c r="B263"/>
      <c r="C263" s="172"/>
      <c r="D263" s="172"/>
      <c r="F263" s="172"/>
      <c r="G263" s="172"/>
    </row>
    <row r="264" spans="1:7" s="87" customFormat="1" x14ac:dyDescent="0.25">
      <c r="A264" s="165"/>
      <c r="B264"/>
      <c r="C264" s="172"/>
      <c r="D264" s="172"/>
      <c r="F264" s="172"/>
      <c r="G264" s="172"/>
    </row>
    <row r="265" spans="1:7" s="87" customFormat="1" x14ac:dyDescent="0.25">
      <c r="A265" s="165"/>
      <c r="B265"/>
      <c r="C265" s="172"/>
      <c r="D265" s="172"/>
      <c r="F265" s="172"/>
      <c r="G265" s="172"/>
    </row>
    <row r="266" spans="1:7" s="87" customFormat="1" x14ac:dyDescent="0.25">
      <c r="A266" s="165"/>
      <c r="B266"/>
      <c r="C266" s="172"/>
      <c r="D266" s="172"/>
      <c r="F266" s="172"/>
      <c r="G266" s="172"/>
    </row>
    <row r="267" spans="1:7" s="87" customFormat="1" x14ac:dyDescent="0.25">
      <c r="A267" s="165"/>
      <c r="B267"/>
      <c r="C267" s="172"/>
      <c r="D267" s="172"/>
      <c r="F267" s="172"/>
      <c r="G267" s="172"/>
    </row>
    <row r="268" spans="1:7" s="87" customFormat="1" x14ac:dyDescent="0.25">
      <c r="A268" s="165"/>
      <c r="B268"/>
      <c r="C268" s="172"/>
      <c r="D268" s="172"/>
      <c r="F268" s="172"/>
      <c r="G268" s="172"/>
    </row>
    <row r="269" spans="1:7" s="87" customFormat="1" x14ac:dyDescent="0.25">
      <c r="A269" s="165"/>
      <c r="B269"/>
      <c r="C269" s="172"/>
      <c r="D269" s="172"/>
      <c r="F269" s="172"/>
      <c r="G269" s="172"/>
    </row>
    <row r="270" spans="1:7" s="87" customFormat="1" x14ac:dyDescent="0.25">
      <c r="A270" s="165"/>
      <c r="B270"/>
      <c r="C270" s="172"/>
      <c r="D270" s="172"/>
      <c r="F270" s="172"/>
      <c r="G270" s="172"/>
    </row>
    <row r="271" spans="1:7" s="87" customFormat="1" x14ac:dyDescent="0.25">
      <c r="A271" s="165"/>
      <c r="B271"/>
      <c r="C271" s="172"/>
      <c r="D271" s="172"/>
      <c r="F271" s="172"/>
      <c r="G271" s="172"/>
    </row>
    <row r="272" spans="1:7" s="87" customFormat="1" x14ac:dyDescent="0.25">
      <c r="A272" s="165"/>
      <c r="B272"/>
      <c r="C272" s="172"/>
      <c r="D272" s="172"/>
      <c r="F272" s="172"/>
      <c r="G272" s="172"/>
    </row>
    <row r="273" spans="1:7" s="87" customFormat="1" x14ac:dyDescent="0.25">
      <c r="A273" s="165"/>
      <c r="B273"/>
      <c r="C273" s="172"/>
      <c r="D273" s="172"/>
      <c r="F273" s="172"/>
      <c r="G273" s="172"/>
    </row>
    <row r="274" spans="1:7" s="87" customFormat="1" x14ac:dyDescent="0.25">
      <c r="A274" s="165"/>
      <c r="B274"/>
      <c r="C274" s="172"/>
      <c r="D274" s="172"/>
      <c r="F274" s="172"/>
      <c r="G274" s="172"/>
    </row>
    <row r="275" spans="1:7" s="87" customFormat="1" x14ac:dyDescent="0.25">
      <c r="A275" s="165"/>
      <c r="B275"/>
      <c r="C275" s="172"/>
      <c r="D275" s="172"/>
      <c r="F275" s="172"/>
      <c r="G275" s="172"/>
    </row>
    <row r="276" spans="1:7" s="87" customFormat="1" x14ac:dyDescent="0.25">
      <c r="A276" s="165"/>
      <c r="B276"/>
      <c r="C276" s="172"/>
      <c r="D276" s="172"/>
      <c r="F276" s="172"/>
      <c r="G276" s="172"/>
    </row>
    <row r="277" spans="1:7" s="87" customFormat="1" x14ac:dyDescent="0.25">
      <c r="A277" s="165"/>
      <c r="B277"/>
      <c r="C277" s="172"/>
      <c r="D277" s="172"/>
      <c r="F277" s="172"/>
      <c r="G277" s="172"/>
    </row>
    <row r="278" spans="1:7" s="87" customFormat="1" x14ac:dyDescent="0.25">
      <c r="A278" s="165"/>
      <c r="B278"/>
      <c r="C278" s="172"/>
      <c r="D278" s="172"/>
      <c r="F278" s="172"/>
      <c r="G278" s="172"/>
    </row>
    <row r="279" spans="1:7" s="87" customFormat="1" x14ac:dyDescent="0.25">
      <c r="A279" s="165"/>
      <c r="B279"/>
      <c r="C279" s="172"/>
      <c r="D279" s="172"/>
      <c r="F279" s="172"/>
      <c r="G279" s="172"/>
    </row>
    <row r="280" spans="1:7" s="87" customFormat="1" x14ac:dyDescent="0.25">
      <c r="A280" s="165"/>
      <c r="B280"/>
      <c r="C280" s="172"/>
      <c r="D280" s="172"/>
      <c r="F280" s="172"/>
      <c r="G280" s="172"/>
    </row>
    <row r="281" spans="1:7" s="87" customFormat="1" x14ac:dyDescent="0.25">
      <c r="A281" s="165"/>
      <c r="B281"/>
      <c r="C281" s="172"/>
      <c r="D281" s="172"/>
      <c r="F281" s="172"/>
      <c r="G281" s="172"/>
    </row>
    <row r="282" spans="1:7" s="87" customFormat="1" x14ac:dyDescent="0.25">
      <c r="A282" s="165"/>
      <c r="B282"/>
      <c r="C282" s="172"/>
      <c r="D282" s="172"/>
      <c r="F282" s="172"/>
      <c r="G282" s="172"/>
    </row>
    <row r="283" spans="1:7" s="87" customFormat="1" x14ac:dyDescent="0.25">
      <c r="A283" s="165"/>
      <c r="B283"/>
      <c r="C283" s="172"/>
      <c r="D283" s="172"/>
      <c r="F283" s="172"/>
      <c r="G283" s="172"/>
    </row>
    <row r="284" spans="1:7" s="87" customFormat="1" x14ac:dyDescent="0.25">
      <c r="A284" s="165"/>
      <c r="B284"/>
      <c r="C284" s="172"/>
      <c r="D284" s="172"/>
      <c r="F284" s="172"/>
      <c r="G284" s="172"/>
    </row>
    <row r="285" spans="1:7" s="87" customFormat="1" x14ac:dyDescent="0.25">
      <c r="A285" s="165"/>
      <c r="B285"/>
      <c r="C285" s="172"/>
      <c r="D285" s="172"/>
      <c r="F285" s="172"/>
      <c r="G285" s="172"/>
    </row>
    <row r="286" spans="1:7" s="87" customFormat="1" x14ac:dyDescent="0.25">
      <c r="A286" s="165"/>
      <c r="B286"/>
      <c r="C286" s="172"/>
      <c r="D286" s="172"/>
      <c r="F286" s="172"/>
      <c r="G286" s="172"/>
    </row>
    <row r="287" spans="1:7" s="87" customFormat="1" x14ac:dyDescent="0.25">
      <c r="A287" s="165"/>
      <c r="B287"/>
      <c r="C287" s="172"/>
      <c r="D287" s="172"/>
      <c r="F287" s="172"/>
      <c r="G287" s="172"/>
    </row>
    <row r="288" spans="1:7" s="87" customFormat="1" x14ac:dyDescent="0.25">
      <c r="A288" s="165"/>
      <c r="B288"/>
      <c r="C288" s="172"/>
      <c r="D288" s="172"/>
      <c r="F288" s="172"/>
      <c r="G288" s="172"/>
    </row>
    <row r="289" spans="1:7" s="87" customFormat="1" x14ac:dyDescent="0.25">
      <c r="A289" s="165"/>
      <c r="B289"/>
      <c r="C289" s="172"/>
      <c r="D289" s="172"/>
      <c r="F289" s="172"/>
      <c r="G289" s="172"/>
    </row>
    <row r="290" spans="1:7" s="87" customFormat="1" x14ac:dyDescent="0.25">
      <c r="A290" s="165"/>
      <c r="B290"/>
      <c r="C290" s="172"/>
      <c r="D290" s="172"/>
      <c r="F290" s="172"/>
      <c r="G290" s="172"/>
    </row>
    <row r="291" spans="1:7" s="87" customFormat="1" x14ac:dyDescent="0.25">
      <c r="A291" s="165"/>
      <c r="B291"/>
      <c r="C291" s="172"/>
      <c r="D291" s="172"/>
      <c r="F291" s="172"/>
      <c r="G291" s="172"/>
    </row>
    <row r="292" spans="1:7" s="87" customFormat="1" x14ac:dyDescent="0.25">
      <c r="A292" s="165"/>
      <c r="B292"/>
      <c r="C292" s="172"/>
      <c r="D292" s="172"/>
      <c r="F292" s="172"/>
      <c r="G292" s="172"/>
    </row>
    <row r="293" spans="1:7" s="87" customFormat="1" x14ac:dyDescent="0.25">
      <c r="A293" s="165"/>
      <c r="B293"/>
      <c r="C293" s="172"/>
      <c r="D293" s="172"/>
      <c r="F293" s="172"/>
      <c r="G293" s="172"/>
    </row>
    <row r="294" spans="1:7" s="87" customFormat="1" x14ac:dyDescent="0.25">
      <c r="A294" s="165"/>
      <c r="B294"/>
      <c r="C294" s="172"/>
      <c r="D294" s="172"/>
      <c r="F294" s="172"/>
      <c r="G294" s="172"/>
    </row>
    <row r="295" spans="1:7" s="87" customFormat="1" x14ac:dyDescent="0.25">
      <c r="A295" s="165"/>
      <c r="B295"/>
      <c r="C295" s="172"/>
      <c r="D295" s="172"/>
      <c r="F295" s="172"/>
      <c r="G295" s="172"/>
    </row>
    <row r="296" spans="1:7" s="87" customFormat="1" x14ac:dyDescent="0.25">
      <c r="A296" s="165"/>
      <c r="B296"/>
      <c r="C296" s="172"/>
      <c r="D296" s="172"/>
      <c r="F296" s="172"/>
      <c r="G296" s="172"/>
    </row>
    <row r="297" spans="1:7" s="87" customFormat="1" x14ac:dyDescent="0.25">
      <c r="A297" s="165"/>
      <c r="B297"/>
      <c r="C297" s="172"/>
      <c r="D297" s="172"/>
      <c r="F297" s="172"/>
      <c r="G297" s="172"/>
    </row>
    <row r="298" spans="1:7" s="87" customFormat="1" x14ac:dyDescent="0.25">
      <c r="A298" s="165"/>
      <c r="B298"/>
      <c r="C298" s="172"/>
      <c r="D298" s="172"/>
      <c r="F298" s="172"/>
      <c r="G298" s="172"/>
    </row>
    <row r="299" spans="1:7" s="87" customFormat="1" x14ac:dyDescent="0.25">
      <c r="A299" s="165"/>
      <c r="B299"/>
      <c r="C299" s="172"/>
      <c r="D299" s="172"/>
      <c r="F299" s="172"/>
      <c r="G299" s="172"/>
    </row>
    <row r="300" spans="1:7" s="87" customFormat="1" x14ac:dyDescent="0.25">
      <c r="A300" s="165"/>
      <c r="B300"/>
      <c r="C300" s="172"/>
      <c r="D300" s="172"/>
      <c r="F300" s="172"/>
      <c r="G300" s="172"/>
    </row>
    <row r="301" spans="1:7" s="87" customFormat="1" x14ac:dyDescent="0.25">
      <c r="A301" s="165"/>
      <c r="B301"/>
      <c r="C301" s="172"/>
      <c r="D301" s="172"/>
      <c r="F301" s="172"/>
      <c r="G301" s="172"/>
    </row>
    <row r="302" spans="1:7" s="87" customFormat="1" x14ac:dyDescent="0.25">
      <c r="A302" s="165"/>
      <c r="B302"/>
      <c r="C302" s="172"/>
      <c r="D302" s="172"/>
      <c r="F302" s="172"/>
      <c r="G302" s="172"/>
    </row>
    <row r="303" spans="1:7" s="87" customFormat="1" x14ac:dyDescent="0.25">
      <c r="A303" s="165"/>
      <c r="B303"/>
      <c r="C303" s="172"/>
      <c r="D303" s="172"/>
      <c r="F303" s="172"/>
      <c r="G303" s="172"/>
    </row>
    <row r="304" spans="1:7" s="87" customFormat="1" x14ac:dyDescent="0.25">
      <c r="A304" s="165"/>
      <c r="B304"/>
      <c r="C304" s="172"/>
      <c r="D304" s="172"/>
      <c r="F304" s="172"/>
      <c r="G304" s="172"/>
    </row>
    <row r="305" spans="1:7" s="87" customFormat="1" x14ac:dyDescent="0.25">
      <c r="A305" s="165"/>
      <c r="B305"/>
      <c r="C305" s="172"/>
      <c r="D305" s="172"/>
      <c r="F305" s="172"/>
      <c r="G305" s="172"/>
    </row>
    <row r="306" spans="1:7" s="87" customFormat="1" x14ac:dyDescent="0.25">
      <c r="A306" s="165"/>
      <c r="B306"/>
      <c r="C306" s="172"/>
      <c r="D306" s="172"/>
      <c r="F306" s="172"/>
      <c r="G306" s="172"/>
    </row>
    <row r="307" spans="1:7" s="87" customFormat="1" x14ac:dyDescent="0.25">
      <c r="A307" s="165"/>
      <c r="B307"/>
      <c r="C307" s="172"/>
      <c r="D307" s="172"/>
      <c r="F307" s="172"/>
      <c r="G307" s="172"/>
    </row>
    <row r="308" spans="1:7" s="87" customFormat="1" x14ac:dyDescent="0.25">
      <c r="A308" s="165"/>
      <c r="B308"/>
      <c r="C308" s="172"/>
      <c r="D308" s="172"/>
      <c r="F308" s="172"/>
      <c r="G308" s="172"/>
    </row>
    <row r="309" spans="1:7" s="87" customFormat="1" x14ac:dyDescent="0.25">
      <c r="A309" s="165"/>
      <c r="B309"/>
      <c r="C309" s="172"/>
      <c r="D309" s="172"/>
      <c r="F309" s="172"/>
      <c r="G309" s="172"/>
    </row>
    <row r="310" spans="1:7" s="87" customFormat="1" x14ac:dyDescent="0.25">
      <c r="A310" s="165"/>
      <c r="B310"/>
      <c r="C310" s="172"/>
      <c r="D310" s="172"/>
      <c r="F310" s="172"/>
      <c r="G310" s="172"/>
    </row>
    <row r="311" spans="1:7" s="87" customFormat="1" x14ac:dyDescent="0.25">
      <c r="A311" s="165"/>
      <c r="B311"/>
      <c r="C311" s="172"/>
      <c r="D311" s="172"/>
      <c r="F311" s="172"/>
      <c r="G311" s="172"/>
    </row>
    <row r="312" spans="1:7" s="87" customFormat="1" x14ac:dyDescent="0.25">
      <c r="A312" s="165"/>
      <c r="B312"/>
      <c r="C312" s="172"/>
      <c r="D312" s="172"/>
      <c r="F312" s="172"/>
      <c r="G312" s="172"/>
    </row>
    <row r="313" spans="1:7" s="87" customFormat="1" x14ac:dyDescent="0.25">
      <c r="A313" s="165"/>
      <c r="B313"/>
      <c r="C313" s="172"/>
      <c r="D313" s="172"/>
      <c r="F313" s="172"/>
      <c r="G313" s="172"/>
    </row>
    <row r="314" spans="1:7" s="87" customFormat="1" x14ac:dyDescent="0.25">
      <c r="A314" s="165"/>
      <c r="B314"/>
      <c r="C314" s="172"/>
      <c r="D314" s="172"/>
      <c r="F314" s="172"/>
      <c r="G314" s="172"/>
    </row>
    <row r="315" spans="1:7" x14ac:dyDescent="0.25">
      <c r="A315" s="165"/>
      <c r="C315" s="172"/>
      <c r="D315" s="172"/>
      <c r="E315" s="87"/>
      <c r="F315" s="172"/>
      <c r="G315" s="172"/>
    </row>
    <row r="316" spans="1:7" x14ac:dyDescent="0.25">
      <c r="A316" s="165"/>
      <c r="C316" s="172"/>
      <c r="D316" s="172"/>
      <c r="E316" s="87"/>
      <c r="F316" s="172"/>
      <c r="G316" s="172"/>
    </row>
    <row r="317" spans="1:7" x14ac:dyDescent="0.25">
      <c r="A317" s="165"/>
      <c r="C317" s="172"/>
      <c r="D317" s="172"/>
      <c r="E317" s="87"/>
      <c r="F317" s="172"/>
      <c r="G317" s="172"/>
    </row>
    <row r="318" spans="1:7" x14ac:dyDescent="0.25">
      <c r="A318" s="165"/>
      <c r="C318" s="172"/>
      <c r="D318" s="172"/>
      <c r="E318" s="87"/>
      <c r="F318" s="172"/>
      <c r="G318" s="172"/>
    </row>
    <row r="319" spans="1:7" x14ac:dyDescent="0.25">
      <c r="A319" s="165"/>
      <c r="C319" s="172"/>
      <c r="D319" s="172"/>
      <c r="E319" s="87"/>
      <c r="F319" s="172"/>
      <c r="G319" s="172"/>
    </row>
    <row r="320" spans="1:7" x14ac:dyDescent="0.25">
      <c r="A320" s="165"/>
      <c r="C320" s="172"/>
      <c r="D320" s="172"/>
      <c r="E320" s="87"/>
      <c r="F320" s="172"/>
      <c r="G320" s="172"/>
    </row>
    <row r="321" spans="1:7" x14ac:dyDescent="0.25">
      <c r="A321" s="165"/>
      <c r="C321" s="172"/>
      <c r="D321" s="172"/>
      <c r="E321" s="87"/>
      <c r="F321" s="172"/>
      <c r="G321" s="172"/>
    </row>
    <row r="322" spans="1:7" x14ac:dyDescent="0.25">
      <c r="A322" s="165"/>
      <c r="C322" s="172"/>
      <c r="D322" s="172"/>
      <c r="E322" s="87"/>
      <c r="F322" s="172"/>
      <c r="G322" s="172"/>
    </row>
    <row r="323" spans="1:7" x14ac:dyDescent="0.25">
      <c r="A323" s="165"/>
      <c r="C323" s="172"/>
      <c r="D323" s="172"/>
      <c r="E323" s="87"/>
      <c r="F323" s="172"/>
      <c r="G323" s="172"/>
    </row>
    <row r="324" spans="1:7" x14ac:dyDescent="0.25">
      <c r="A324" s="165"/>
      <c r="C324" s="172"/>
      <c r="D324" s="172"/>
      <c r="E324" s="87"/>
      <c r="F324" s="172"/>
      <c r="G324" s="172"/>
    </row>
    <row r="325" spans="1:7" x14ac:dyDescent="0.25">
      <c r="A325" s="165"/>
      <c r="C325" s="172"/>
      <c r="D325" s="172"/>
      <c r="E325" s="87"/>
      <c r="F325" s="172"/>
      <c r="G325" s="172"/>
    </row>
    <row r="326" spans="1:7" x14ac:dyDescent="0.25">
      <c r="A326" s="165"/>
      <c r="C326" s="172"/>
      <c r="D326" s="172"/>
      <c r="E326" s="87"/>
      <c r="F326" s="172"/>
      <c r="G326" s="172"/>
    </row>
    <row r="327" spans="1:7" x14ac:dyDescent="0.25">
      <c r="A327" s="165"/>
      <c r="C327" s="172"/>
      <c r="D327" s="172"/>
      <c r="E327" s="87"/>
      <c r="F327" s="172"/>
      <c r="G327" s="172"/>
    </row>
    <row r="328" spans="1:7" x14ac:dyDescent="0.25">
      <c r="A328" s="165"/>
      <c r="C328" s="172"/>
      <c r="D328" s="172"/>
      <c r="E328" s="87"/>
      <c r="F328" s="172"/>
      <c r="G328" s="172"/>
    </row>
    <row r="329" spans="1:7" x14ac:dyDescent="0.25">
      <c r="A329" s="165"/>
      <c r="C329" s="172"/>
      <c r="D329" s="172"/>
      <c r="E329" s="87"/>
      <c r="F329" s="172"/>
      <c r="G329" s="172"/>
    </row>
    <row r="330" spans="1:7" x14ac:dyDescent="0.25">
      <c r="A330" s="165"/>
      <c r="C330" s="172"/>
      <c r="D330" s="172"/>
      <c r="E330" s="87"/>
      <c r="F330" s="172"/>
      <c r="G330" s="172"/>
    </row>
    <row r="331" spans="1:7" x14ac:dyDescent="0.25">
      <c r="A331" s="165"/>
      <c r="C331" s="172"/>
      <c r="D331" s="172"/>
      <c r="E331" s="87"/>
      <c r="F331" s="172"/>
      <c r="G331" s="172"/>
    </row>
    <row r="332" spans="1:7" x14ac:dyDescent="0.25">
      <c r="A332" s="165"/>
      <c r="C332" s="172"/>
      <c r="D332" s="172"/>
      <c r="E332" s="87"/>
      <c r="F332" s="172"/>
      <c r="G332" s="172"/>
    </row>
    <row r="333" spans="1:7" x14ac:dyDescent="0.25">
      <c r="A333" s="165"/>
      <c r="C333" s="172"/>
      <c r="D333" s="172"/>
      <c r="E333" s="87"/>
      <c r="F333" s="172"/>
      <c r="G333" s="172"/>
    </row>
    <row r="334" spans="1:7" x14ac:dyDescent="0.25">
      <c r="A334" s="165"/>
      <c r="C334" s="172"/>
      <c r="D334" s="172"/>
      <c r="E334" s="87"/>
      <c r="F334" s="172"/>
      <c r="G334" s="172"/>
    </row>
    <row r="335" spans="1:7" x14ac:dyDescent="0.25">
      <c r="A335" s="165"/>
      <c r="C335" s="172"/>
      <c r="D335" s="172"/>
      <c r="E335" s="87"/>
      <c r="F335" s="172"/>
      <c r="G335" s="172"/>
    </row>
    <row r="336" spans="1:7" x14ac:dyDescent="0.25">
      <c r="A336" s="165"/>
      <c r="C336" s="172"/>
      <c r="D336" s="172"/>
      <c r="E336" s="87"/>
      <c r="F336" s="172"/>
      <c r="G336" s="172"/>
    </row>
    <row r="337" spans="1:7" x14ac:dyDescent="0.25">
      <c r="A337" s="165"/>
      <c r="C337" s="172"/>
      <c r="D337" s="172"/>
      <c r="E337" s="87"/>
      <c r="F337" s="172"/>
      <c r="G337" s="172"/>
    </row>
    <row r="338" spans="1:7" x14ac:dyDescent="0.25">
      <c r="A338" s="165"/>
      <c r="C338" s="172"/>
      <c r="D338" s="172"/>
      <c r="E338" s="87"/>
      <c r="F338" s="172"/>
      <c r="G338" s="172"/>
    </row>
    <row r="339" spans="1:7" x14ac:dyDescent="0.25">
      <c r="A339" s="165"/>
      <c r="C339" s="172"/>
      <c r="D339" s="172"/>
      <c r="E339" s="87"/>
      <c r="F339" s="172"/>
      <c r="G339" s="172"/>
    </row>
    <row r="340" spans="1:7" x14ac:dyDescent="0.25">
      <c r="A340" s="165"/>
      <c r="C340" s="172"/>
      <c r="D340" s="172"/>
      <c r="E340" s="87"/>
      <c r="F340" s="172"/>
      <c r="G340" s="172"/>
    </row>
    <row r="341" spans="1:7" x14ac:dyDescent="0.25">
      <c r="A341" s="165"/>
      <c r="C341" s="172"/>
      <c r="D341" s="172"/>
      <c r="E341" s="87"/>
      <c r="F341" s="172"/>
      <c r="G341" s="172"/>
    </row>
    <row r="342" spans="1:7" x14ac:dyDescent="0.25">
      <c r="A342" s="165"/>
      <c r="C342" s="172"/>
      <c r="D342" s="172"/>
      <c r="E342" s="87"/>
      <c r="F342" s="172"/>
      <c r="G342" s="172"/>
    </row>
    <row r="343" spans="1:7" x14ac:dyDescent="0.25">
      <c r="A343" s="165"/>
      <c r="C343" s="172"/>
      <c r="D343" s="172"/>
      <c r="E343" s="87"/>
      <c r="F343" s="172"/>
      <c r="G343" s="172"/>
    </row>
    <row r="344" spans="1:7" x14ac:dyDescent="0.25">
      <c r="A344" s="165"/>
      <c r="C344" s="172"/>
      <c r="D344" s="172"/>
      <c r="E344" s="87"/>
      <c r="F344" s="172"/>
      <c r="G344" s="172"/>
    </row>
    <row r="345" spans="1:7" x14ac:dyDescent="0.25">
      <c r="A345" s="165"/>
      <c r="C345" s="172"/>
      <c r="D345" s="172"/>
      <c r="E345" s="87"/>
      <c r="F345" s="172"/>
      <c r="G345" s="172"/>
    </row>
    <row r="346" spans="1:7" x14ac:dyDescent="0.25">
      <c r="A346" s="165"/>
      <c r="C346" s="172"/>
      <c r="D346" s="172"/>
      <c r="E346" s="87"/>
      <c r="F346" s="172"/>
      <c r="G346" s="172"/>
    </row>
    <row r="347" spans="1:7" x14ac:dyDescent="0.25">
      <c r="A347" s="165"/>
      <c r="C347" s="172"/>
      <c r="D347" s="172"/>
      <c r="E347" s="87"/>
      <c r="F347" s="172"/>
      <c r="G347" s="172"/>
    </row>
    <row r="348" spans="1:7" x14ac:dyDescent="0.25">
      <c r="A348" s="165"/>
      <c r="C348" s="172"/>
      <c r="D348" s="172"/>
      <c r="E348" s="87"/>
      <c r="F348" s="172"/>
      <c r="G348" s="172"/>
    </row>
    <row r="349" spans="1:7" x14ac:dyDescent="0.25">
      <c r="A349" s="165"/>
      <c r="C349" s="172"/>
      <c r="D349" s="172"/>
      <c r="E349" s="87"/>
      <c r="F349" s="172"/>
      <c r="G349" s="172"/>
    </row>
    <row r="350" spans="1:7" x14ac:dyDescent="0.25">
      <c r="A350" s="165"/>
      <c r="C350" s="172"/>
      <c r="D350" s="172"/>
      <c r="E350" s="87"/>
      <c r="F350" s="172"/>
      <c r="G350" s="172"/>
    </row>
    <row r="351" spans="1:7" x14ac:dyDescent="0.25">
      <c r="A351" s="165"/>
      <c r="C351" s="172"/>
      <c r="D351" s="172"/>
      <c r="E351" s="87"/>
      <c r="F351" s="172"/>
      <c r="G351" s="172"/>
    </row>
    <row r="352" spans="1:7" x14ac:dyDescent="0.25">
      <c r="A352" s="165"/>
      <c r="C352" s="172"/>
      <c r="D352" s="172"/>
      <c r="E352" s="87"/>
      <c r="F352" s="172"/>
      <c r="G352" s="172"/>
    </row>
    <row r="353" spans="1:7" x14ac:dyDescent="0.25">
      <c r="A353" s="165"/>
      <c r="C353" s="172"/>
      <c r="D353" s="172"/>
      <c r="E353" s="87"/>
      <c r="F353" s="172"/>
      <c r="G353" s="172"/>
    </row>
    <row r="354" spans="1:7" x14ac:dyDescent="0.25">
      <c r="A354" s="165"/>
      <c r="C354" s="172"/>
      <c r="D354" s="172"/>
      <c r="E354" s="87"/>
      <c r="F354" s="172"/>
      <c r="G354" s="172"/>
    </row>
    <row r="355" spans="1:7" x14ac:dyDescent="0.25">
      <c r="A355" s="165"/>
      <c r="C355" s="172"/>
      <c r="D355" s="172"/>
      <c r="E355" s="87"/>
      <c r="F355" s="172"/>
      <c r="G355" s="172"/>
    </row>
    <row r="356" spans="1:7" x14ac:dyDescent="0.25">
      <c r="A356" s="165"/>
      <c r="C356" s="172"/>
      <c r="D356" s="172"/>
      <c r="E356" s="87"/>
      <c r="F356" s="172"/>
      <c r="G356" s="172"/>
    </row>
    <row r="357" spans="1:7" x14ac:dyDescent="0.25">
      <c r="A357" s="165"/>
      <c r="C357" s="172"/>
      <c r="D357" s="172"/>
      <c r="E357" s="87"/>
      <c r="F357" s="172"/>
      <c r="G357" s="172"/>
    </row>
    <row r="358" spans="1:7" x14ac:dyDescent="0.25">
      <c r="A358" s="165"/>
      <c r="C358" s="172"/>
      <c r="D358" s="172"/>
      <c r="E358" s="87"/>
      <c r="F358" s="172"/>
      <c r="G358" s="172"/>
    </row>
    <row r="359" spans="1:7" x14ac:dyDescent="0.25">
      <c r="A359" s="165"/>
      <c r="C359" s="172"/>
      <c r="D359" s="172"/>
      <c r="E359" s="87"/>
      <c r="F359" s="172"/>
      <c r="G359" s="172"/>
    </row>
    <row r="360" spans="1:7" x14ac:dyDescent="0.25">
      <c r="A360" s="165"/>
      <c r="C360" s="172"/>
      <c r="D360" s="172"/>
      <c r="E360" s="87"/>
      <c r="F360" s="172"/>
      <c r="G360" s="172"/>
    </row>
    <row r="361" spans="1:7" x14ac:dyDescent="0.25">
      <c r="A361" s="165"/>
      <c r="C361" s="172"/>
      <c r="D361" s="172"/>
      <c r="E361" s="87"/>
      <c r="F361" s="172"/>
      <c r="G361" s="172"/>
    </row>
    <row r="362" spans="1:7" x14ac:dyDescent="0.25">
      <c r="A362" s="165"/>
      <c r="C362" s="172"/>
      <c r="D362" s="172"/>
      <c r="E362" s="87"/>
      <c r="F362" s="172"/>
      <c r="G362" s="172"/>
    </row>
    <row r="363" spans="1:7" x14ac:dyDescent="0.25">
      <c r="A363" s="165"/>
      <c r="C363" s="172"/>
      <c r="D363" s="172"/>
      <c r="E363" s="87"/>
      <c r="F363" s="172"/>
      <c r="G363" s="172"/>
    </row>
    <row r="364" spans="1:7" x14ac:dyDescent="0.25">
      <c r="A364" s="165"/>
      <c r="C364" s="172"/>
      <c r="D364" s="172"/>
      <c r="E364" s="87"/>
      <c r="F364" s="172"/>
      <c r="G364" s="172"/>
    </row>
    <row r="365" spans="1:7" x14ac:dyDescent="0.25">
      <c r="A365" s="165"/>
      <c r="C365" s="172"/>
      <c r="D365" s="172"/>
      <c r="E365" s="87"/>
      <c r="F365" s="172"/>
      <c r="G365" s="172"/>
    </row>
    <row r="366" spans="1:7" x14ac:dyDescent="0.25">
      <c r="A366" s="165"/>
      <c r="C366" s="172"/>
      <c r="D366" s="172"/>
      <c r="E366" s="87"/>
      <c r="F366" s="172"/>
      <c r="G366" s="172"/>
    </row>
    <row r="367" spans="1:7" x14ac:dyDescent="0.25">
      <c r="A367" s="165"/>
      <c r="C367" s="172"/>
      <c r="D367" s="172"/>
      <c r="E367" s="87"/>
      <c r="F367" s="172"/>
      <c r="G367" s="172"/>
    </row>
    <row r="368" spans="1:7" x14ac:dyDescent="0.25">
      <c r="A368" s="165"/>
      <c r="C368" s="172"/>
      <c r="D368" s="172"/>
      <c r="E368" s="87"/>
      <c r="F368" s="172"/>
      <c r="G368" s="172"/>
    </row>
    <row r="369" spans="1:7" x14ac:dyDescent="0.25">
      <c r="A369" s="165"/>
      <c r="C369" s="172"/>
      <c r="D369" s="172"/>
      <c r="E369" s="87"/>
      <c r="F369" s="172"/>
      <c r="G369" s="172"/>
    </row>
    <row r="370" spans="1:7" x14ac:dyDescent="0.25">
      <c r="A370" s="165"/>
      <c r="C370" s="172"/>
      <c r="D370" s="172"/>
      <c r="E370" s="87"/>
      <c r="F370" s="172"/>
      <c r="G370" s="172"/>
    </row>
    <row r="371" spans="1:7" x14ac:dyDescent="0.25">
      <c r="A371" s="165"/>
      <c r="C371" s="172"/>
      <c r="D371" s="172"/>
      <c r="E371" s="87"/>
      <c r="F371" s="172"/>
      <c r="G371" s="172"/>
    </row>
    <row r="372" spans="1:7" x14ac:dyDescent="0.25">
      <c r="A372" s="165"/>
      <c r="C372" s="172"/>
      <c r="D372" s="172"/>
      <c r="E372" s="87"/>
      <c r="F372" s="172"/>
      <c r="G372" s="172"/>
    </row>
    <row r="373" spans="1:7" x14ac:dyDescent="0.25">
      <c r="A373" s="165"/>
      <c r="C373" s="172"/>
      <c r="D373" s="172"/>
      <c r="E373" s="87"/>
      <c r="F373" s="172"/>
      <c r="G373" s="172"/>
    </row>
    <row r="374" spans="1:7" x14ac:dyDescent="0.25">
      <c r="A374" s="165"/>
      <c r="C374" s="172"/>
      <c r="D374" s="172"/>
      <c r="E374" s="87"/>
      <c r="F374" s="172"/>
      <c r="G374" s="172"/>
    </row>
    <row r="375" spans="1:7" x14ac:dyDescent="0.25">
      <c r="A375" s="165"/>
      <c r="C375" s="172"/>
      <c r="D375" s="172"/>
      <c r="E375" s="87"/>
      <c r="F375" s="172"/>
      <c r="G375" s="172"/>
    </row>
    <row r="376" spans="1:7" x14ac:dyDescent="0.25">
      <c r="A376" s="165"/>
      <c r="C376" s="172"/>
      <c r="D376" s="172"/>
      <c r="E376" s="87"/>
      <c r="F376" s="172"/>
      <c r="G376" s="172"/>
    </row>
    <row r="377" spans="1:7" x14ac:dyDescent="0.25">
      <c r="A377" s="165"/>
      <c r="C377" s="172"/>
      <c r="D377" s="172"/>
      <c r="E377" s="87"/>
      <c r="F377" s="172"/>
      <c r="G377" s="172"/>
    </row>
    <row r="378" spans="1:7" x14ac:dyDescent="0.25">
      <c r="A378" s="165"/>
      <c r="C378" s="172"/>
      <c r="D378" s="172"/>
      <c r="E378" s="87"/>
      <c r="F378" s="172"/>
      <c r="G378" s="172"/>
    </row>
    <row r="379" spans="1:7" x14ac:dyDescent="0.25">
      <c r="A379" s="165"/>
      <c r="C379" s="172"/>
      <c r="D379" s="172"/>
      <c r="E379" s="87"/>
      <c r="F379" s="172"/>
      <c r="G379" s="172"/>
    </row>
    <row r="380" spans="1:7" x14ac:dyDescent="0.25">
      <c r="A380" s="165"/>
      <c r="C380" s="172"/>
      <c r="D380" s="172"/>
      <c r="E380" s="87"/>
      <c r="F380" s="172"/>
      <c r="G380" s="172"/>
    </row>
    <row r="381" spans="1:7" x14ac:dyDescent="0.25">
      <c r="A381" s="165"/>
      <c r="C381" s="172"/>
      <c r="D381" s="172"/>
      <c r="E381" s="87"/>
      <c r="F381" s="172"/>
      <c r="G381" s="172"/>
    </row>
    <row r="382" spans="1:7" x14ac:dyDescent="0.25">
      <c r="A382" s="165"/>
      <c r="C382" s="172"/>
      <c r="D382" s="172"/>
      <c r="E382" s="87"/>
      <c r="F382" s="172"/>
      <c r="G382" s="172"/>
    </row>
    <row r="383" spans="1:7" x14ac:dyDescent="0.25">
      <c r="A383" s="165"/>
      <c r="C383" s="172"/>
      <c r="D383" s="172"/>
      <c r="E383" s="87"/>
      <c r="F383" s="172"/>
      <c r="G383" s="172"/>
    </row>
    <row r="384" spans="1:7" x14ac:dyDescent="0.25">
      <c r="A384" s="165"/>
      <c r="C384" s="172"/>
      <c r="D384" s="172"/>
      <c r="E384" s="87"/>
      <c r="F384" s="172"/>
      <c r="G384" s="172"/>
    </row>
    <row r="385" spans="1:7" x14ac:dyDescent="0.25">
      <c r="A385" s="165"/>
      <c r="C385" s="172"/>
      <c r="D385" s="172"/>
      <c r="E385" s="87"/>
      <c r="F385" s="172"/>
      <c r="G385" s="172"/>
    </row>
    <row r="386" spans="1:7" x14ac:dyDescent="0.25">
      <c r="A386" s="165"/>
      <c r="C386" s="172"/>
      <c r="D386" s="172"/>
      <c r="E386" s="87"/>
      <c r="F386" s="172"/>
      <c r="G386" s="172"/>
    </row>
    <row r="387" spans="1:7" x14ac:dyDescent="0.25">
      <c r="A387" s="165"/>
      <c r="C387" s="172"/>
      <c r="D387" s="172"/>
      <c r="E387" s="87"/>
      <c r="F387" s="172"/>
      <c r="G387" s="172"/>
    </row>
    <row r="388" spans="1:7" x14ac:dyDescent="0.25">
      <c r="A388" s="165"/>
      <c r="C388" s="172"/>
      <c r="D388" s="172"/>
      <c r="E388" s="87"/>
      <c r="F388" s="172"/>
      <c r="G388" s="172"/>
    </row>
    <row r="389" spans="1:7" x14ac:dyDescent="0.25">
      <c r="A389" s="165"/>
      <c r="C389" s="172"/>
      <c r="D389" s="172"/>
      <c r="E389" s="87"/>
      <c r="F389" s="172"/>
      <c r="G389" s="172"/>
    </row>
    <row r="390" spans="1:7" x14ac:dyDescent="0.25">
      <c r="A390" s="165"/>
      <c r="C390" s="172"/>
      <c r="D390" s="172"/>
      <c r="E390" s="87"/>
      <c r="F390" s="172"/>
      <c r="G390" s="172"/>
    </row>
    <row r="391" spans="1:7" x14ac:dyDescent="0.25">
      <c r="A391" s="165"/>
      <c r="C391" s="172"/>
      <c r="D391" s="172"/>
      <c r="E391" s="87"/>
      <c r="F391" s="172"/>
      <c r="G391" s="172"/>
    </row>
    <row r="392" spans="1:7" x14ac:dyDescent="0.25">
      <c r="A392" s="165"/>
      <c r="C392" s="172"/>
      <c r="D392" s="172"/>
      <c r="E392" s="87"/>
      <c r="F392" s="172"/>
      <c r="G392" s="172"/>
    </row>
    <row r="393" spans="1:7" x14ac:dyDescent="0.25">
      <c r="A393" s="165"/>
      <c r="C393" s="172"/>
      <c r="D393" s="172"/>
      <c r="E393" s="87"/>
      <c r="F393" s="172"/>
      <c r="G393" s="172"/>
    </row>
    <row r="394" spans="1:7" x14ac:dyDescent="0.25">
      <c r="A394" s="165"/>
      <c r="C394" s="172"/>
      <c r="D394" s="172"/>
      <c r="E394" s="87"/>
      <c r="F394" s="172"/>
      <c r="G394" s="172"/>
    </row>
    <row r="395" spans="1:7" x14ac:dyDescent="0.25">
      <c r="A395" s="165"/>
      <c r="C395" s="172"/>
      <c r="D395" s="172"/>
      <c r="E395" s="87"/>
      <c r="F395" s="172"/>
      <c r="G395" s="172"/>
    </row>
    <row r="396" spans="1:7" x14ac:dyDescent="0.25">
      <c r="A396" s="165"/>
      <c r="C396" s="172"/>
      <c r="D396" s="172"/>
      <c r="E396" s="87"/>
      <c r="F396" s="172"/>
      <c r="G396" s="172"/>
    </row>
    <row r="397" spans="1:7" x14ac:dyDescent="0.25">
      <c r="A397" s="165"/>
      <c r="C397" s="172"/>
      <c r="D397" s="172"/>
      <c r="E397" s="87"/>
      <c r="F397" s="172"/>
      <c r="G397" s="172"/>
    </row>
    <row r="398" spans="1:7" x14ac:dyDescent="0.25">
      <c r="A398" s="165"/>
      <c r="C398" s="172"/>
      <c r="D398" s="172"/>
      <c r="E398" s="87"/>
      <c r="F398" s="172"/>
      <c r="G398" s="172"/>
    </row>
    <row r="399" spans="1:7" x14ac:dyDescent="0.25">
      <c r="A399" s="165"/>
      <c r="C399" s="172"/>
      <c r="D399" s="172"/>
      <c r="E399" s="87"/>
      <c r="F399" s="172"/>
      <c r="G399" s="172"/>
    </row>
    <row r="400" spans="1:7" x14ac:dyDescent="0.25">
      <c r="A400" s="165"/>
      <c r="C400" s="172"/>
      <c r="D400" s="172"/>
      <c r="E400" s="87"/>
      <c r="F400" s="172"/>
      <c r="G400" s="172"/>
    </row>
    <row r="401" spans="1:7" x14ac:dyDescent="0.25">
      <c r="A401" s="165"/>
      <c r="C401" s="172"/>
      <c r="D401" s="172"/>
      <c r="E401" s="87"/>
      <c r="F401" s="172"/>
      <c r="G401" s="172"/>
    </row>
    <row r="402" spans="1:7" x14ac:dyDescent="0.25">
      <c r="A402" s="165"/>
      <c r="C402" s="172"/>
      <c r="D402" s="172"/>
      <c r="E402" s="87"/>
      <c r="F402" s="172"/>
      <c r="G402" s="172"/>
    </row>
    <row r="403" spans="1:7" x14ac:dyDescent="0.25">
      <c r="A403" s="165"/>
      <c r="C403" s="172"/>
      <c r="D403" s="172"/>
      <c r="E403" s="87"/>
      <c r="F403" s="172"/>
      <c r="G403" s="172"/>
    </row>
    <row r="404" spans="1:7" x14ac:dyDescent="0.25">
      <c r="A404" s="165"/>
      <c r="C404" s="172"/>
      <c r="D404" s="172"/>
      <c r="E404" s="87"/>
      <c r="F404" s="172"/>
      <c r="G404" s="172"/>
    </row>
    <row r="405" spans="1:7" x14ac:dyDescent="0.25">
      <c r="A405" s="165"/>
      <c r="C405" s="172"/>
      <c r="D405" s="172"/>
      <c r="E405" s="87"/>
      <c r="F405" s="172"/>
      <c r="G405" s="172"/>
    </row>
    <row r="406" spans="1:7" x14ac:dyDescent="0.25">
      <c r="A406" s="165"/>
      <c r="C406" s="172"/>
      <c r="D406" s="172"/>
      <c r="E406" s="87"/>
      <c r="F406" s="172"/>
      <c r="G406" s="172"/>
    </row>
    <row r="407" spans="1:7" x14ac:dyDescent="0.25">
      <c r="A407" s="165"/>
      <c r="C407" s="172"/>
      <c r="D407" s="172"/>
      <c r="E407" s="87"/>
      <c r="F407" s="172"/>
      <c r="G407" s="172"/>
    </row>
    <row r="408" spans="1:7" x14ac:dyDescent="0.25">
      <c r="A408" s="165"/>
      <c r="C408" s="172"/>
      <c r="D408" s="172"/>
      <c r="E408" s="87"/>
      <c r="F408" s="172"/>
      <c r="G408" s="172"/>
    </row>
    <row r="409" spans="1:7" x14ac:dyDescent="0.25">
      <c r="A409" s="165"/>
      <c r="C409" s="172"/>
      <c r="D409" s="172"/>
      <c r="E409" s="87"/>
      <c r="F409" s="172"/>
      <c r="G409" s="172"/>
    </row>
    <row r="410" spans="1:7" x14ac:dyDescent="0.25">
      <c r="A410" s="165"/>
      <c r="C410" s="172"/>
      <c r="D410" s="172"/>
      <c r="E410" s="87"/>
      <c r="F410" s="172"/>
      <c r="G410" s="172"/>
    </row>
    <row r="411" spans="1:7" x14ac:dyDescent="0.25">
      <c r="A411" s="165"/>
      <c r="C411" s="172"/>
      <c r="D411" s="172"/>
      <c r="E411" s="87"/>
      <c r="F411" s="172"/>
      <c r="G411" s="172"/>
    </row>
    <row r="412" spans="1:7" x14ac:dyDescent="0.25">
      <c r="A412" s="165"/>
      <c r="C412" s="172"/>
      <c r="D412" s="172"/>
      <c r="E412" s="87"/>
      <c r="F412" s="172"/>
      <c r="G412" s="172"/>
    </row>
    <row r="413" spans="1:7" x14ac:dyDescent="0.25">
      <c r="A413" s="165"/>
      <c r="C413" s="172"/>
      <c r="D413" s="172"/>
      <c r="E413" s="87"/>
      <c r="F413" s="172"/>
      <c r="G413" s="172"/>
    </row>
    <row r="414" spans="1:7" x14ac:dyDescent="0.25">
      <c r="A414" s="165"/>
      <c r="C414" s="172"/>
      <c r="D414" s="172"/>
      <c r="E414" s="87"/>
      <c r="F414" s="172"/>
      <c r="G414" s="172"/>
    </row>
    <row r="415" spans="1:7" x14ac:dyDescent="0.25">
      <c r="A415" s="165"/>
      <c r="C415" s="172"/>
      <c r="D415" s="172"/>
      <c r="E415" s="87"/>
      <c r="F415" s="172"/>
      <c r="G415" s="172"/>
    </row>
    <row r="416" spans="1:7" x14ac:dyDescent="0.25">
      <c r="A416" s="165"/>
      <c r="C416" s="172"/>
      <c r="D416" s="172"/>
      <c r="E416" s="87"/>
      <c r="F416" s="172"/>
      <c r="G416" s="172"/>
    </row>
    <row r="417" spans="1:7" x14ac:dyDescent="0.25">
      <c r="A417" s="165"/>
      <c r="C417" s="172"/>
      <c r="D417" s="172"/>
      <c r="E417" s="87"/>
      <c r="F417" s="172"/>
      <c r="G417" s="172"/>
    </row>
    <row r="418" spans="1:7" x14ac:dyDescent="0.25">
      <c r="A418" s="165"/>
      <c r="C418" s="172"/>
      <c r="D418" s="172"/>
      <c r="E418" s="87"/>
      <c r="F418" s="172"/>
      <c r="G418" s="172"/>
    </row>
    <row r="419" spans="1:7" x14ac:dyDescent="0.25">
      <c r="A419" s="165"/>
      <c r="C419" s="172"/>
      <c r="D419" s="172"/>
      <c r="E419" s="87"/>
      <c r="F419" s="172"/>
      <c r="G419" s="172"/>
    </row>
    <row r="420" spans="1:7" x14ac:dyDescent="0.25">
      <c r="A420" s="165"/>
      <c r="C420" s="172"/>
      <c r="D420" s="172"/>
      <c r="E420" s="87"/>
      <c r="F420" s="172"/>
      <c r="G420" s="172"/>
    </row>
    <row r="421" spans="1:7" x14ac:dyDescent="0.25">
      <c r="A421" s="165"/>
      <c r="C421" s="172"/>
      <c r="D421" s="172"/>
      <c r="E421" s="87"/>
      <c r="F421" s="172"/>
      <c r="G421" s="172"/>
    </row>
    <row r="422" spans="1:7" x14ac:dyDescent="0.25">
      <c r="A422" s="165"/>
      <c r="C422" s="172"/>
      <c r="D422" s="172"/>
      <c r="E422" s="87"/>
      <c r="F422" s="172"/>
      <c r="G422" s="172"/>
    </row>
    <row r="423" spans="1:7" x14ac:dyDescent="0.25">
      <c r="A423" s="165"/>
      <c r="C423" s="172"/>
      <c r="D423" s="172"/>
      <c r="E423" s="87"/>
      <c r="F423" s="172"/>
      <c r="G423" s="172"/>
    </row>
    <row r="424" spans="1:7" x14ac:dyDescent="0.25">
      <c r="A424" s="165"/>
      <c r="C424" s="172"/>
      <c r="D424" s="172"/>
      <c r="E424" s="87"/>
      <c r="F424" s="172"/>
      <c r="G424" s="172"/>
    </row>
    <row r="425" spans="1:7" x14ac:dyDescent="0.25">
      <c r="A425" s="165"/>
      <c r="C425" s="172"/>
      <c r="D425" s="172"/>
      <c r="E425" s="87"/>
      <c r="F425" s="172"/>
      <c r="G425" s="172"/>
    </row>
    <row r="426" spans="1:7" x14ac:dyDescent="0.25">
      <c r="A426" s="165"/>
      <c r="C426" s="172"/>
      <c r="D426" s="172"/>
      <c r="E426" s="87"/>
      <c r="F426" s="172"/>
      <c r="G426" s="172"/>
    </row>
    <row r="427" spans="1:7" x14ac:dyDescent="0.25">
      <c r="A427" s="165"/>
      <c r="C427" s="172"/>
      <c r="D427" s="172"/>
      <c r="E427" s="87"/>
      <c r="F427" s="172"/>
      <c r="G427" s="172"/>
    </row>
    <row r="428" spans="1:7" x14ac:dyDescent="0.25">
      <c r="A428" s="165"/>
      <c r="C428" s="172"/>
      <c r="D428" s="172"/>
      <c r="E428" s="87"/>
      <c r="F428" s="172"/>
      <c r="G428" s="172"/>
    </row>
    <row r="429" spans="1:7" x14ac:dyDescent="0.25">
      <c r="A429" s="165"/>
      <c r="C429" s="172"/>
      <c r="D429" s="172"/>
      <c r="E429" s="87"/>
      <c r="F429" s="172"/>
      <c r="G429" s="172"/>
    </row>
    <row r="430" spans="1:7" x14ac:dyDescent="0.25">
      <c r="A430" s="165"/>
      <c r="C430" s="172"/>
      <c r="D430" s="172"/>
      <c r="E430" s="87"/>
      <c r="F430" s="172"/>
      <c r="G430" s="172"/>
    </row>
    <row r="431" spans="1:7" x14ac:dyDescent="0.25">
      <c r="A431" s="165"/>
      <c r="C431" s="172"/>
      <c r="D431" s="172"/>
      <c r="E431" s="87"/>
      <c r="F431" s="172"/>
      <c r="G431" s="172"/>
    </row>
    <row r="432" spans="1:7" x14ac:dyDescent="0.25">
      <c r="A432" s="165"/>
      <c r="C432" s="172"/>
      <c r="D432" s="172"/>
      <c r="E432" s="87"/>
      <c r="F432" s="172"/>
      <c r="G432" s="172"/>
    </row>
    <row r="433" spans="1:7" x14ac:dyDescent="0.25">
      <c r="A433" s="165"/>
      <c r="C433" s="172"/>
      <c r="D433" s="172"/>
      <c r="E433" s="87"/>
      <c r="F433" s="172"/>
      <c r="G433" s="172"/>
    </row>
    <row r="434" spans="1:7" x14ac:dyDescent="0.25">
      <c r="A434" s="165"/>
      <c r="C434" s="172"/>
      <c r="D434" s="172"/>
      <c r="E434" s="87"/>
      <c r="F434" s="172"/>
      <c r="G434" s="172"/>
    </row>
    <row r="435" spans="1:7" x14ac:dyDescent="0.25">
      <c r="A435" s="165"/>
      <c r="C435" s="172"/>
      <c r="D435" s="172"/>
      <c r="E435" s="87"/>
      <c r="F435" s="172"/>
      <c r="G435" s="172"/>
    </row>
    <row r="436" spans="1:7" x14ac:dyDescent="0.25">
      <c r="A436" s="165"/>
      <c r="C436" s="172"/>
      <c r="D436" s="172"/>
      <c r="E436" s="87"/>
      <c r="F436" s="172"/>
      <c r="G436" s="172"/>
    </row>
    <row r="437" spans="1:7" x14ac:dyDescent="0.25">
      <c r="A437" s="165"/>
      <c r="C437" s="172"/>
      <c r="D437" s="172"/>
      <c r="E437" s="87"/>
      <c r="F437" s="172"/>
      <c r="G437" s="172"/>
    </row>
    <row r="438" spans="1:7" x14ac:dyDescent="0.25">
      <c r="A438" s="165"/>
      <c r="C438" s="172"/>
      <c r="D438" s="172"/>
      <c r="E438" s="87"/>
      <c r="F438" s="172"/>
      <c r="G438" s="172"/>
    </row>
    <row r="439" spans="1:7" x14ac:dyDescent="0.25">
      <c r="A439" s="165"/>
      <c r="C439" s="172"/>
      <c r="D439" s="172"/>
      <c r="E439" s="87"/>
      <c r="F439" s="172"/>
      <c r="G439" s="172"/>
    </row>
    <row r="440" spans="1:7" x14ac:dyDescent="0.25">
      <c r="A440" s="165"/>
      <c r="C440" s="172"/>
      <c r="D440" s="172"/>
      <c r="E440" s="87"/>
      <c r="F440" s="172"/>
      <c r="G440" s="172"/>
    </row>
    <row r="441" spans="1:7" x14ac:dyDescent="0.25">
      <c r="A441" s="165"/>
      <c r="C441" s="172"/>
      <c r="D441" s="172"/>
      <c r="E441" s="87"/>
      <c r="F441" s="172"/>
      <c r="G441" s="172"/>
    </row>
    <row r="442" spans="1:7" x14ac:dyDescent="0.25">
      <c r="A442" s="165"/>
      <c r="C442" s="172"/>
      <c r="D442" s="172"/>
      <c r="E442" s="87"/>
      <c r="F442" s="172"/>
      <c r="G442" s="172"/>
    </row>
    <row r="443" spans="1:7" x14ac:dyDescent="0.25">
      <c r="A443" s="165"/>
      <c r="C443" s="172"/>
      <c r="D443" s="172"/>
      <c r="E443" s="87"/>
      <c r="F443" s="172"/>
      <c r="G443" s="172"/>
    </row>
    <row r="444" spans="1:7" x14ac:dyDescent="0.25">
      <c r="A444" s="165"/>
      <c r="C444" s="172"/>
      <c r="D444" s="172"/>
      <c r="E444" s="87"/>
      <c r="F444" s="172"/>
      <c r="G444" s="172"/>
    </row>
    <row r="445" spans="1:7" x14ac:dyDescent="0.25">
      <c r="A445" s="165"/>
      <c r="C445" s="172"/>
      <c r="D445" s="172"/>
      <c r="E445" s="87"/>
      <c r="F445" s="172"/>
      <c r="G445" s="172"/>
    </row>
    <row r="446" spans="1:7" x14ac:dyDescent="0.25">
      <c r="A446" s="165"/>
      <c r="C446" s="172"/>
      <c r="D446" s="172"/>
      <c r="E446" s="87"/>
      <c r="F446" s="172"/>
      <c r="G446" s="172"/>
    </row>
    <row r="447" spans="1:7" x14ac:dyDescent="0.25">
      <c r="A447" s="165"/>
      <c r="C447" s="172"/>
      <c r="D447" s="172"/>
      <c r="E447" s="87"/>
      <c r="F447" s="172"/>
      <c r="G447" s="172"/>
    </row>
    <row r="448" spans="1:7" x14ac:dyDescent="0.25">
      <c r="A448" s="165"/>
      <c r="C448" s="172"/>
      <c r="D448" s="172"/>
      <c r="E448" s="87"/>
      <c r="F448" s="172"/>
      <c r="G448" s="172"/>
    </row>
    <row r="449" spans="1:7" x14ac:dyDescent="0.25">
      <c r="A449" s="165"/>
      <c r="C449" s="172"/>
      <c r="D449" s="172"/>
      <c r="E449" s="87"/>
      <c r="F449" s="172"/>
      <c r="G449" s="172"/>
    </row>
    <row r="450" spans="1:7" x14ac:dyDescent="0.25">
      <c r="A450" s="165"/>
      <c r="C450" s="172"/>
      <c r="D450" s="172"/>
      <c r="E450" s="87"/>
      <c r="F450" s="172"/>
      <c r="G450" s="172"/>
    </row>
    <row r="451" spans="1:7" x14ac:dyDescent="0.25">
      <c r="A451" s="165"/>
      <c r="C451" s="172"/>
      <c r="D451" s="172"/>
      <c r="E451" s="87"/>
      <c r="F451" s="172"/>
      <c r="G451" s="172"/>
    </row>
    <row r="452" spans="1:7" x14ac:dyDescent="0.25">
      <c r="A452" s="165"/>
      <c r="C452" s="172"/>
      <c r="D452" s="172"/>
      <c r="E452" s="87"/>
      <c r="F452" s="172"/>
      <c r="G452" s="172"/>
    </row>
    <row r="453" spans="1:7" x14ac:dyDescent="0.25">
      <c r="A453" s="165"/>
      <c r="C453" s="172"/>
      <c r="D453" s="172"/>
      <c r="E453" s="87"/>
      <c r="F453" s="172"/>
      <c r="G453" s="172"/>
    </row>
    <row r="454" spans="1:7" x14ac:dyDescent="0.25">
      <c r="A454" s="165"/>
      <c r="C454" s="172"/>
      <c r="D454" s="172"/>
      <c r="E454" s="87"/>
      <c r="F454" s="172"/>
      <c r="G454" s="172"/>
    </row>
    <row r="455" spans="1:7" x14ac:dyDescent="0.25">
      <c r="A455" s="165"/>
      <c r="C455" s="172"/>
      <c r="D455" s="172"/>
      <c r="E455" s="87"/>
      <c r="F455" s="172"/>
      <c r="G455" s="172"/>
    </row>
    <row r="456" spans="1:7" x14ac:dyDescent="0.25">
      <c r="A456" s="165"/>
      <c r="C456" s="172"/>
      <c r="D456" s="172"/>
      <c r="E456" s="87"/>
      <c r="F456" s="172"/>
      <c r="G456" s="172"/>
    </row>
    <row r="457" spans="1:7" x14ac:dyDescent="0.25">
      <c r="A457" s="165"/>
      <c r="C457" s="172"/>
      <c r="D457" s="172"/>
      <c r="E457" s="87"/>
      <c r="F457" s="172"/>
      <c r="G457" s="172"/>
    </row>
    <row r="458" spans="1:7" x14ac:dyDescent="0.25">
      <c r="A458" s="165"/>
      <c r="C458" s="172"/>
      <c r="D458" s="172"/>
      <c r="E458" s="87"/>
      <c r="F458" s="172"/>
      <c r="G458" s="172"/>
    </row>
    <row r="459" spans="1:7" x14ac:dyDescent="0.25">
      <c r="A459" s="165"/>
      <c r="C459" s="172"/>
      <c r="D459" s="172"/>
      <c r="E459" s="87"/>
      <c r="F459" s="172"/>
      <c r="G459" s="172"/>
    </row>
    <row r="460" spans="1:7" x14ac:dyDescent="0.25">
      <c r="A460" s="165"/>
      <c r="C460" s="172"/>
      <c r="D460" s="172"/>
      <c r="E460" s="87"/>
      <c r="F460" s="172"/>
      <c r="G460" s="172"/>
    </row>
    <row r="461" spans="1:7" x14ac:dyDescent="0.25">
      <c r="A461" s="165"/>
      <c r="C461" s="172"/>
      <c r="D461" s="172"/>
      <c r="E461" s="87"/>
      <c r="F461" s="172"/>
      <c r="G461" s="172"/>
    </row>
    <row r="462" spans="1:7" x14ac:dyDescent="0.25">
      <c r="A462" s="165"/>
      <c r="C462" s="172"/>
      <c r="D462" s="172"/>
      <c r="E462" s="87"/>
      <c r="F462" s="172"/>
      <c r="G462" s="172"/>
    </row>
    <row r="463" spans="1:7" x14ac:dyDescent="0.25">
      <c r="A463" s="165"/>
      <c r="C463" s="172"/>
      <c r="D463" s="172"/>
      <c r="E463" s="87"/>
      <c r="F463" s="172"/>
      <c r="G463" s="172"/>
    </row>
    <row r="464" spans="1:7" x14ac:dyDescent="0.25">
      <c r="A464" s="165"/>
      <c r="C464" s="172"/>
      <c r="D464" s="172"/>
      <c r="E464" s="87"/>
      <c r="F464" s="172"/>
      <c r="G464" s="172"/>
    </row>
    <row r="465" spans="1:7" x14ac:dyDescent="0.25">
      <c r="A465" s="165"/>
      <c r="C465" s="172"/>
      <c r="D465" s="172"/>
      <c r="E465" s="87"/>
      <c r="F465" s="172"/>
      <c r="G465" s="172"/>
    </row>
    <row r="466" spans="1:7" x14ac:dyDescent="0.25">
      <c r="A466" s="165"/>
      <c r="C466" s="172"/>
      <c r="D466" s="172"/>
      <c r="E466" s="87"/>
      <c r="F466" s="172"/>
      <c r="G466" s="172"/>
    </row>
    <row r="467" spans="1:7" x14ac:dyDescent="0.25">
      <c r="A467" s="165"/>
      <c r="C467" s="172"/>
      <c r="D467" s="172"/>
      <c r="E467" s="87"/>
      <c r="F467" s="172"/>
      <c r="G467" s="172"/>
    </row>
    <row r="468" spans="1:7" x14ac:dyDescent="0.25">
      <c r="A468" s="165"/>
      <c r="C468" s="172"/>
      <c r="D468" s="172"/>
      <c r="E468" s="87"/>
      <c r="F468" s="172"/>
      <c r="G468" s="172"/>
    </row>
    <row r="469" spans="1:7" x14ac:dyDescent="0.25">
      <c r="A469" s="165"/>
      <c r="C469" s="172"/>
      <c r="D469" s="172"/>
      <c r="E469" s="87"/>
      <c r="F469" s="172"/>
      <c r="G469" s="172"/>
    </row>
    <row r="470" spans="1:7" x14ac:dyDescent="0.25">
      <c r="A470" s="165"/>
      <c r="C470" s="172"/>
      <c r="D470" s="172"/>
      <c r="E470" s="87"/>
      <c r="F470" s="172"/>
      <c r="G470" s="172"/>
    </row>
    <row r="471" spans="1:7" x14ac:dyDescent="0.25">
      <c r="A471" s="165"/>
      <c r="C471" s="172"/>
      <c r="D471" s="172"/>
      <c r="E471" s="87"/>
      <c r="F471" s="172"/>
      <c r="G471" s="172"/>
    </row>
    <row r="472" spans="1:7" x14ac:dyDescent="0.25">
      <c r="A472" s="165"/>
      <c r="C472" s="172"/>
      <c r="D472" s="172"/>
      <c r="E472" s="87"/>
      <c r="F472" s="172"/>
      <c r="G472" s="172"/>
    </row>
    <row r="473" spans="1:7" x14ac:dyDescent="0.25">
      <c r="A473" s="165"/>
      <c r="C473" s="172"/>
      <c r="D473" s="172"/>
      <c r="E473" s="87"/>
      <c r="F473" s="172"/>
      <c r="G473" s="172"/>
    </row>
    <row r="474" spans="1:7" x14ac:dyDescent="0.25">
      <c r="A474" s="165"/>
      <c r="C474" s="172"/>
      <c r="D474" s="172"/>
      <c r="E474" s="87"/>
      <c r="F474" s="172"/>
      <c r="G474" s="172"/>
    </row>
    <row r="475" spans="1:7" x14ac:dyDescent="0.25">
      <c r="A475" s="165"/>
      <c r="C475" s="172"/>
      <c r="D475" s="172"/>
      <c r="E475" s="87"/>
      <c r="F475" s="172"/>
      <c r="G475" s="172"/>
    </row>
    <row r="476" spans="1:7" x14ac:dyDescent="0.25">
      <c r="A476" s="165"/>
      <c r="C476" s="172"/>
      <c r="D476" s="172"/>
      <c r="E476" s="87"/>
      <c r="F476" s="172"/>
      <c r="G476" s="172"/>
    </row>
    <row r="477" spans="1:7" x14ac:dyDescent="0.25">
      <c r="A477" s="165"/>
      <c r="C477" s="172"/>
      <c r="D477" s="172"/>
      <c r="E477" s="87"/>
      <c r="F477" s="172"/>
      <c r="G477" s="172"/>
    </row>
    <row r="478" spans="1:7" x14ac:dyDescent="0.25">
      <c r="A478" s="165"/>
      <c r="C478" s="172"/>
      <c r="D478" s="172"/>
      <c r="E478" s="87"/>
      <c r="F478" s="172"/>
      <c r="G478" s="172"/>
    </row>
    <row r="479" spans="1:7" x14ac:dyDescent="0.25">
      <c r="A479" s="165"/>
      <c r="C479" s="172"/>
      <c r="D479" s="172"/>
      <c r="E479" s="87"/>
      <c r="F479" s="172"/>
      <c r="G479" s="172"/>
    </row>
    <row r="480" spans="1:7" x14ac:dyDescent="0.25">
      <c r="A480" s="165"/>
      <c r="C480" s="172"/>
      <c r="D480" s="172"/>
      <c r="E480" s="87"/>
      <c r="F480" s="172"/>
      <c r="G480" s="172"/>
    </row>
    <row r="481" spans="1:7" x14ac:dyDescent="0.25">
      <c r="A481" s="165"/>
      <c r="C481" s="172"/>
      <c r="D481" s="172"/>
      <c r="E481" s="87"/>
      <c r="F481" s="172"/>
      <c r="G481" s="172"/>
    </row>
    <row r="482" spans="1:7" x14ac:dyDescent="0.25">
      <c r="A482" s="165"/>
      <c r="C482" s="172"/>
      <c r="D482" s="172"/>
      <c r="E482" s="87"/>
      <c r="F482" s="172"/>
      <c r="G482" s="172"/>
    </row>
    <row r="483" spans="1:7" x14ac:dyDescent="0.25">
      <c r="A483" s="165"/>
      <c r="C483" s="172"/>
      <c r="D483" s="172"/>
      <c r="E483" s="87"/>
      <c r="F483" s="172"/>
      <c r="G483" s="172"/>
    </row>
    <row r="484" spans="1:7" x14ac:dyDescent="0.25">
      <c r="A484" s="165"/>
      <c r="C484" s="172"/>
      <c r="D484" s="172"/>
      <c r="E484" s="87"/>
      <c r="F484" s="172"/>
      <c r="G484" s="172"/>
    </row>
    <row r="485" spans="1:7" x14ac:dyDescent="0.25">
      <c r="A485" s="165"/>
      <c r="C485" s="172"/>
      <c r="D485" s="172"/>
      <c r="E485" s="87"/>
      <c r="F485" s="172"/>
      <c r="G485" s="172"/>
    </row>
    <row r="486" spans="1:7" x14ac:dyDescent="0.25">
      <c r="A486" s="165"/>
      <c r="C486" s="172"/>
      <c r="D486" s="172"/>
      <c r="E486" s="87"/>
      <c r="F486" s="172"/>
      <c r="G486" s="172"/>
    </row>
    <row r="487" spans="1:7" x14ac:dyDescent="0.25">
      <c r="A487" s="165"/>
      <c r="C487" s="172"/>
      <c r="D487" s="172"/>
      <c r="E487" s="87"/>
      <c r="F487" s="172"/>
      <c r="G487" s="172"/>
    </row>
    <row r="488" spans="1:7" x14ac:dyDescent="0.25">
      <c r="A488" s="165"/>
      <c r="C488" s="172"/>
      <c r="D488" s="172"/>
      <c r="E488" s="87"/>
      <c r="F488" s="172"/>
      <c r="G488" s="172"/>
    </row>
    <row r="489" spans="1:7" x14ac:dyDescent="0.25">
      <c r="A489" s="165"/>
      <c r="C489" s="172"/>
      <c r="D489" s="172"/>
      <c r="E489" s="87"/>
      <c r="F489" s="172"/>
      <c r="G489" s="172"/>
    </row>
    <row r="490" spans="1:7" x14ac:dyDescent="0.25">
      <c r="A490" s="165"/>
      <c r="C490" s="172"/>
      <c r="D490" s="172"/>
      <c r="E490" s="87"/>
      <c r="F490" s="172"/>
      <c r="G490" s="172"/>
    </row>
    <row r="491" spans="1:7" x14ac:dyDescent="0.25">
      <c r="A491" s="165"/>
      <c r="C491" s="172"/>
      <c r="D491" s="172"/>
      <c r="E491" s="87"/>
      <c r="F491" s="172"/>
      <c r="G491" s="172"/>
    </row>
    <row r="492" spans="1:7" x14ac:dyDescent="0.25">
      <c r="A492" s="165"/>
      <c r="C492" s="172"/>
      <c r="D492" s="172"/>
      <c r="E492" s="87"/>
      <c r="F492" s="172"/>
      <c r="G492" s="172"/>
    </row>
    <row r="493" spans="1:7" x14ac:dyDescent="0.25">
      <c r="A493" s="165"/>
      <c r="C493" s="172"/>
      <c r="D493" s="172"/>
      <c r="E493" s="87"/>
      <c r="F493" s="172"/>
      <c r="G493" s="172"/>
    </row>
    <row r="494" spans="1:7" x14ac:dyDescent="0.25">
      <c r="A494" s="165"/>
      <c r="C494" s="172"/>
      <c r="D494" s="172"/>
      <c r="E494" s="87"/>
      <c r="F494" s="172"/>
      <c r="G494" s="172"/>
    </row>
    <row r="495" spans="1:7" x14ac:dyDescent="0.25">
      <c r="A495" s="165"/>
      <c r="C495" s="172"/>
      <c r="D495" s="172"/>
      <c r="E495" s="87"/>
      <c r="F495" s="172"/>
      <c r="G495" s="172"/>
    </row>
    <row r="496" spans="1:7" x14ac:dyDescent="0.25">
      <c r="A496" s="165"/>
      <c r="C496" s="172"/>
      <c r="D496" s="172"/>
      <c r="E496" s="87"/>
      <c r="F496" s="172"/>
      <c r="G496" s="172"/>
    </row>
    <row r="497" spans="1:7" x14ac:dyDescent="0.25">
      <c r="A497" s="165"/>
      <c r="C497" s="172"/>
      <c r="D497" s="172"/>
      <c r="E497" s="87"/>
      <c r="F497" s="172"/>
      <c r="G497" s="172"/>
    </row>
    <row r="498" spans="1:7" x14ac:dyDescent="0.25">
      <c r="A498" s="165"/>
      <c r="C498" s="172"/>
      <c r="D498" s="172"/>
      <c r="E498" s="87"/>
      <c r="F498" s="172"/>
      <c r="G498" s="172"/>
    </row>
    <row r="499" spans="1:7" x14ac:dyDescent="0.25">
      <c r="A499" s="165"/>
      <c r="C499" s="172"/>
      <c r="D499" s="172"/>
      <c r="E499" s="87"/>
      <c r="F499" s="172"/>
      <c r="G499" s="172"/>
    </row>
    <row r="500" spans="1:7" x14ac:dyDescent="0.25">
      <c r="A500" s="165"/>
      <c r="C500" s="172"/>
      <c r="D500" s="172"/>
      <c r="E500" s="87"/>
      <c r="F500" s="172"/>
      <c r="G500" s="172"/>
    </row>
    <row r="501" spans="1:7" x14ac:dyDescent="0.25">
      <c r="A501" s="165"/>
      <c r="C501" s="172"/>
      <c r="D501" s="172"/>
      <c r="E501" s="87"/>
      <c r="F501" s="172"/>
      <c r="G501" s="172"/>
    </row>
    <row r="502" spans="1:7" x14ac:dyDescent="0.25">
      <c r="A502" s="165"/>
      <c r="C502" s="172"/>
      <c r="D502" s="172"/>
      <c r="E502" s="87"/>
      <c r="F502" s="172"/>
      <c r="G502" s="172"/>
    </row>
    <row r="503" spans="1:7" x14ac:dyDescent="0.25">
      <c r="A503" s="165"/>
      <c r="C503" s="172"/>
      <c r="D503" s="172"/>
      <c r="E503" s="87"/>
      <c r="F503" s="172"/>
      <c r="G503" s="172"/>
    </row>
    <row r="504" spans="1:7" x14ac:dyDescent="0.25">
      <c r="A504" s="165"/>
      <c r="C504" s="172"/>
      <c r="D504" s="172"/>
      <c r="E504" s="87"/>
      <c r="F504" s="172"/>
      <c r="G504" s="172"/>
    </row>
    <row r="505" spans="1:7" x14ac:dyDescent="0.25">
      <c r="A505" s="165"/>
      <c r="C505" s="172"/>
      <c r="D505" s="172"/>
      <c r="E505" s="87"/>
      <c r="F505" s="172"/>
      <c r="G505" s="172"/>
    </row>
    <row r="506" spans="1:7" x14ac:dyDescent="0.25">
      <c r="A506" s="165"/>
      <c r="C506" s="172"/>
      <c r="D506" s="172"/>
      <c r="E506" s="87"/>
      <c r="F506" s="172"/>
      <c r="G506" s="172"/>
    </row>
    <row r="507" spans="1:7" x14ac:dyDescent="0.25">
      <c r="A507" s="165"/>
      <c r="C507" s="172"/>
      <c r="D507" s="172"/>
      <c r="E507" s="87"/>
      <c r="F507" s="172"/>
      <c r="G507" s="172"/>
    </row>
    <row r="508" spans="1:7" x14ac:dyDescent="0.25">
      <c r="A508" s="165"/>
      <c r="C508" s="172"/>
      <c r="D508" s="172"/>
      <c r="E508" s="87"/>
      <c r="F508" s="172"/>
      <c r="G508" s="172"/>
    </row>
    <row r="509" spans="1:7" x14ac:dyDescent="0.25">
      <c r="A509" s="165"/>
      <c r="C509" s="172"/>
      <c r="D509" s="172"/>
      <c r="E509" s="87"/>
      <c r="F509" s="172"/>
      <c r="G509" s="172"/>
    </row>
    <row r="510" spans="1:7" x14ac:dyDescent="0.25">
      <c r="A510" s="165"/>
      <c r="C510" s="172"/>
      <c r="D510" s="172"/>
      <c r="E510" s="87"/>
      <c r="F510" s="172"/>
      <c r="G510" s="172"/>
    </row>
    <row r="511" spans="1:7" x14ac:dyDescent="0.25">
      <c r="A511" s="165"/>
      <c r="C511" s="172"/>
      <c r="D511" s="172"/>
      <c r="E511" s="87"/>
      <c r="F511" s="172"/>
      <c r="G511" s="172"/>
    </row>
    <row r="512" spans="1:7" x14ac:dyDescent="0.25">
      <c r="A512" s="165"/>
      <c r="C512" s="172"/>
      <c r="D512" s="172"/>
      <c r="E512" s="87"/>
      <c r="F512" s="172"/>
      <c r="G512" s="172"/>
    </row>
    <row r="513" spans="1:7" x14ac:dyDescent="0.25">
      <c r="A513" s="165"/>
      <c r="C513" s="172"/>
      <c r="D513" s="172"/>
      <c r="E513" s="87"/>
      <c r="F513" s="172"/>
      <c r="G513" s="172"/>
    </row>
    <row r="514" spans="1:7" x14ac:dyDescent="0.25">
      <c r="A514" s="165"/>
      <c r="C514" s="172"/>
      <c r="D514" s="172"/>
      <c r="E514" s="87"/>
      <c r="F514" s="172"/>
      <c r="G514" s="172"/>
    </row>
    <row r="515" spans="1:7" x14ac:dyDescent="0.25">
      <c r="A515" s="165"/>
      <c r="C515" s="172"/>
      <c r="D515" s="172"/>
      <c r="E515" s="87"/>
      <c r="F515" s="172"/>
      <c r="G515" s="172"/>
    </row>
    <row r="516" spans="1:7" x14ac:dyDescent="0.25">
      <c r="A516" s="165"/>
      <c r="C516" s="172"/>
      <c r="D516" s="172"/>
      <c r="E516" s="87"/>
      <c r="F516" s="172"/>
      <c r="G516" s="172"/>
    </row>
    <row r="517" spans="1:7" x14ac:dyDescent="0.25">
      <c r="A517" s="165"/>
      <c r="C517" s="172"/>
      <c r="D517" s="172"/>
      <c r="E517" s="87"/>
      <c r="F517" s="172"/>
      <c r="G517" s="172"/>
    </row>
    <row r="518" spans="1:7" x14ac:dyDescent="0.25">
      <c r="A518" s="165"/>
      <c r="C518" s="172"/>
      <c r="D518" s="172"/>
      <c r="E518" s="87"/>
      <c r="F518" s="172"/>
      <c r="G518" s="172"/>
    </row>
    <row r="519" spans="1:7" x14ac:dyDescent="0.25">
      <c r="A519" s="165"/>
      <c r="C519" s="172"/>
      <c r="D519" s="172"/>
      <c r="E519" s="87"/>
      <c r="F519" s="172"/>
      <c r="G519" s="172"/>
    </row>
    <row r="520" spans="1:7" x14ac:dyDescent="0.25">
      <c r="A520" s="165"/>
      <c r="C520" s="172"/>
      <c r="D520" s="172"/>
      <c r="E520" s="87"/>
      <c r="F520" s="172"/>
      <c r="G520" s="172"/>
    </row>
    <row r="521" spans="1:7" x14ac:dyDescent="0.25">
      <c r="A521" s="165"/>
      <c r="C521" s="172"/>
      <c r="D521" s="172"/>
      <c r="E521" s="87"/>
      <c r="F521" s="172"/>
      <c r="G521" s="172"/>
    </row>
    <row r="522" spans="1:7" x14ac:dyDescent="0.25">
      <c r="A522" s="165"/>
      <c r="C522" s="172"/>
      <c r="D522" s="172"/>
      <c r="E522" s="87"/>
      <c r="F522" s="172"/>
      <c r="G522" s="172"/>
    </row>
    <row r="523" spans="1:7" x14ac:dyDescent="0.25">
      <c r="A523" s="165"/>
      <c r="C523" s="172"/>
      <c r="D523" s="172"/>
      <c r="E523" s="87"/>
      <c r="F523" s="172"/>
      <c r="G523" s="172"/>
    </row>
    <row r="524" spans="1:7" x14ac:dyDescent="0.25">
      <c r="A524" s="165"/>
      <c r="C524" s="172"/>
      <c r="D524" s="172"/>
      <c r="E524" s="87"/>
      <c r="F524" s="172"/>
      <c r="G524" s="172"/>
    </row>
    <row r="525" spans="1:7" x14ac:dyDescent="0.25">
      <c r="A525" s="165"/>
      <c r="C525" s="172"/>
      <c r="D525" s="172"/>
      <c r="E525" s="87"/>
      <c r="F525" s="172"/>
      <c r="G525" s="172"/>
    </row>
    <row r="526" spans="1:7" x14ac:dyDescent="0.25">
      <c r="A526" s="165"/>
      <c r="C526" s="172"/>
      <c r="D526" s="172"/>
      <c r="E526" s="87"/>
      <c r="F526" s="172"/>
      <c r="G526" s="172"/>
    </row>
    <row r="527" spans="1:7" x14ac:dyDescent="0.25">
      <c r="A527" s="165"/>
      <c r="C527" s="172"/>
      <c r="D527" s="172"/>
      <c r="E527" s="87"/>
      <c r="F527" s="172"/>
      <c r="G527" s="172"/>
    </row>
    <row r="528" spans="1:7" x14ac:dyDescent="0.25">
      <c r="A528" s="165"/>
      <c r="C528" s="172"/>
      <c r="D528" s="172"/>
      <c r="E528" s="87"/>
      <c r="F528" s="172"/>
      <c r="G528" s="172"/>
    </row>
    <row r="529" spans="1:7" x14ac:dyDescent="0.25">
      <c r="A529" s="165"/>
      <c r="C529" s="172"/>
      <c r="D529" s="172"/>
      <c r="E529" s="87"/>
      <c r="F529" s="172"/>
      <c r="G529" s="172"/>
    </row>
    <row r="530" spans="1:7" x14ac:dyDescent="0.25">
      <c r="A530" s="165"/>
      <c r="C530" s="172"/>
      <c r="D530" s="172"/>
      <c r="E530" s="87"/>
      <c r="F530" s="172"/>
      <c r="G530" s="172"/>
    </row>
    <row r="531" spans="1:7" x14ac:dyDescent="0.25">
      <c r="A531" s="165"/>
      <c r="C531" s="172"/>
      <c r="D531" s="172"/>
      <c r="E531" s="87"/>
      <c r="F531" s="172"/>
      <c r="G531" s="172"/>
    </row>
    <row r="532" spans="1:7" x14ac:dyDescent="0.25">
      <c r="A532" s="165"/>
      <c r="C532" s="172"/>
      <c r="D532" s="172"/>
      <c r="E532" s="87"/>
      <c r="F532" s="172"/>
      <c r="G532" s="172"/>
    </row>
    <row r="533" spans="1:7" x14ac:dyDescent="0.25">
      <c r="A533" s="165"/>
      <c r="C533" s="172"/>
      <c r="D533" s="172"/>
      <c r="E533" s="87"/>
      <c r="F533" s="172"/>
      <c r="G533" s="172"/>
    </row>
    <row r="534" spans="1:7" x14ac:dyDescent="0.25">
      <c r="A534" s="165"/>
      <c r="C534" s="172"/>
      <c r="D534" s="172"/>
      <c r="E534" s="87"/>
      <c r="F534" s="172"/>
      <c r="G534" s="172"/>
    </row>
    <row r="535" spans="1:7" x14ac:dyDescent="0.25">
      <c r="A535" s="165"/>
      <c r="C535" s="172"/>
      <c r="D535" s="172"/>
      <c r="E535" s="87"/>
      <c r="F535" s="172"/>
      <c r="G535" s="172"/>
    </row>
    <row r="536" spans="1:7" x14ac:dyDescent="0.25">
      <c r="A536" s="165"/>
      <c r="C536" s="172"/>
      <c r="D536" s="172"/>
      <c r="E536" s="87"/>
      <c r="F536" s="172"/>
      <c r="G536" s="172"/>
    </row>
    <row r="537" spans="1:7" x14ac:dyDescent="0.25">
      <c r="A537" s="165"/>
      <c r="C537" s="172"/>
      <c r="D537" s="172"/>
      <c r="E537" s="87"/>
      <c r="F537" s="172"/>
      <c r="G537" s="172"/>
    </row>
    <row r="538" spans="1:7" x14ac:dyDescent="0.25">
      <c r="A538" s="165"/>
      <c r="C538" s="172"/>
      <c r="D538" s="172"/>
      <c r="E538" s="87"/>
      <c r="F538" s="172"/>
      <c r="G538" s="172"/>
    </row>
    <row r="539" spans="1:7" x14ac:dyDescent="0.25">
      <c r="A539" s="165"/>
      <c r="C539" s="172"/>
      <c r="D539" s="172"/>
      <c r="E539" s="87"/>
      <c r="F539" s="172"/>
      <c r="G539" s="172"/>
    </row>
    <row r="540" spans="1:7" x14ac:dyDescent="0.25">
      <c r="A540" s="165"/>
      <c r="C540" s="172"/>
      <c r="D540" s="172"/>
      <c r="E540" s="87"/>
      <c r="F540" s="172"/>
      <c r="G540" s="172"/>
    </row>
    <row r="541" spans="1:7" x14ac:dyDescent="0.25">
      <c r="A541" s="165"/>
      <c r="C541" s="172"/>
      <c r="D541" s="172"/>
      <c r="E541" s="87"/>
      <c r="F541" s="172"/>
      <c r="G541" s="172"/>
    </row>
    <row r="542" spans="1:7" x14ac:dyDescent="0.25">
      <c r="A542" s="165"/>
      <c r="C542" s="172"/>
      <c r="D542" s="172"/>
      <c r="E542" s="87"/>
      <c r="F542" s="172"/>
      <c r="G542" s="172"/>
    </row>
    <row r="543" spans="1:7" x14ac:dyDescent="0.25">
      <c r="A543" s="165"/>
      <c r="C543" s="172"/>
      <c r="D543" s="172"/>
      <c r="E543" s="87"/>
      <c r="F543" s="172"/>
      <c r="G543" s="172"/>
    </row>
    <row r="544" spans="1:7" x14ac:dyDescent="0.25">
      <c r="A544" s="165"/>
      <c r="C544" s="172"/>
      <c r="D544" s="172"/>
      <c r="E544" s="87"/>
      <c r="F544" s="172"/>
      <c r="G544" s="172"/>
    </row>
    <row r="545" spans="1:7" x14ac:dyDescent="0.25">
      <c r="A545" s="165"/>
      <c r="C545" s="172"/>
      <c r="D545" s="172"/>
      <c r="E545" s="87"/>
      <c r="F545" s="172"/>
      <c r="G545" s="172"/>
    </row>
    <row r="546" spans="1:7" x14ac:dyDescent="0.25">
      <c r="A546" s="165"/>
      <c r="C546" s="172"/>
      <c r="D546" s="172"/>
      <c r="E546" s="87"/>
      <c r="F546" s="172"/>
      <c r="G546" s="172"/>
    </row>
    <row r="547" spans="1:7" x14ac:dyDescent="0.25">
      <c r="A547" s="165"/>
      <c r="C547" s="172"/>
      <c r="D547" s="172"/>
      <c r="E547" s="87"/>
      <c r="F547" s="172"/>
      <c r="G547" s="172"/>
    </row>
    <row r="548" spans="1:7" x14ac:dyDescent="0.25">
      <c r="A548" s="165"/>
      <c r="C548" s="172"/>
      <c r="D548" s="172"/>
      <c r="E548" s="87"/>
      <c r="F548" s="172"/>
      <c r="G548" s="172"/>
    </row>
    <row r="549" spans="1:7" x14ac:dyDescent="0.25">
      <c r="A549" s="165"/>
      <c r="C549" s="172"/>
      <c r="D549" s="172"/>
      <c r="E549" s="87"/>
      <c r="F549" s="172"/>
      <c r="G549" s="172"/>
    </row>
    <row r="550" spans="1:7" x14ac:dyDescent="0.25">
      <c r="A550" s="165"/>
      <c r="C550" s="172"/>
      <c r="D550" s="172"/>
      <c r="E550" s="87"/>
      <c r="F550" s="172"/>
      <c r="G550" s="172"/>
    </row>
    <row r="551" spans="1:7" x14ac:dyDescent="0.25">
      <c r="A551" s="165"/>
      <c r="C551" s="172"/>
      <c r="D551" s="172"/>
      <c r="E551" s="87"/>
      <c r="F551" s="172"/>
      <c r="G551" s="172"/>
    </row>
    <row r="552" spans="1:7" x14ac:dyDescent="0.25">
      <c r="A552" s="165"/>
      <c r="C552" s="172"/>
      <c r="D552" s="172"/>
      <c r="E552" s="87"/>
      <c r="F552" s="172"/>
      <c r="G552" s="172"/>
    </row>
    <row r="553" spans="1:7" x14ac:dyDescent="0.25">
      <c r="A553" s="165"/>
      <c r="C553" s="172"/>
      <c r="D553" s="172"/>
      <c r="E553" s="87"/>
      <c r="F553" s="172"/>
      <c r="G553" s="172"/>
    </row>
    <row r="554" spans="1:7" x14ac:dyDescent="0.25">
      <c r="A554" s="165"/>
      <c r="C554" s="172"/>
      <c r="D554" s="172"/>
      <c r="E554" s="87"/>
      <c r="F554" s="172"/>
      <c r="G554" s="172"/>
    </row>
    <row r="555" spans="1:7" x14ac:dyDescent="0.25">
      <c r="A555" s="165"/>
      <c r="C555" s="172"/>
      <c r="D555" s="172"/>
      <c r="E555" s="87"/>
      <c r="F555" s="172"/>
      <c r="G555" s="172"/>
    </row>
    <row r="556" spans="1:7" x14ac:dyDescent="0.25">
      <c r="A556" s="165"/>
      <c r="C556" s="172"/>
      <c r="D556" s="172"/>
      <c r="E556" s="87"/>
      <c r="F556" s="172"/>
      <c r="G556" s="172"/>
    </row>
    <row r="557" spans="1:7" x14ac:dyDescent="0.25">
      <c r="A557" s="165"/>
      <c r="C557" s="172"/>
      <c r="D557" s="172"/>
      <c r="E557" s="87"/>
      <c r="F557" s="172"/>
      <c r="G557" s="172"/>
    </row>
    <row r="558" spans="1:7" x14ac:dyDescent="0.25">
      <c r="A558" s="165"/>
      <c r="C558" s="172"/>
      <c r="D558" s="172"/>
      <c r="E558" s="87"/>
      <c r="F558" s="172"/>
      <c r="G558" s="172"/>
    </row>
    <row r="559" spans="1:7" x14ac:dyDescent="0.25">
      <c r="A559" s="165"/>
      <c r="C559" s="172"/>
      <c r="D559" s="172"/>
      <c r="E559" s="87"/>
      <c r="F559" s="172"/>
      <c r="G559" s="172"/>
    </row>
    <row r="560" spans="1:7" x14ac:dyDescent="0.25">
      <c r="A560" s="165"/>
      <c r="C560" s="172"/>
      <c r="D560" s="172"/>
      <c r="E560" s="87"/>
      <c r="F560" s="172"/>
      <c r="G560" s="172"/>
    </row>
    <row r="561" spans="1:7" x14ac:dyDescent="0.25">
      <c r="A561" s="165"/>
      <c r="C561" s="172"/>
      <c r="D561" s="172"/>
      <c r="E561" s="87"/>
      <c r="F561" s="172"/>
      <c r="G561" s="172"/>
    </row>
    <row r="562" spans="1:7" x14ac:dyDescent="0.25">
      <c r="A562" s="165"/>
      <c r="C562" s="172"/>
      <c r="D562" s="172"/>
      <c r="E562" s="87"/>
      <c r="F562" s="172"/>
      <c r="G562" s="172"/>
    </row>
    <row r="563" spans="1:7" x14ac:dyDescent="0.25">
      <c r="A563" s="165"/>
      <c r="C563" s="172"/>
      <c r="D563" s="172"/>
      <c r="E563" s="87"/>
      <c r="F563" s="172"/>
      <c r="G563" s="172"/>
    </row>
    <row r="564" spans="1:7" x14ac:dyDescent="0.25">
      <c r="A564" s="165"/>
      <c r="C564" s="172"/>
      <c r="D564" s="172"/>
      <c r="E564" s="87"/>
      <c r="F564" s="172"/>
      <c r="G564" s="172"/>
    </row>
    <row r="565" spans="1:7" x14ac:dyDescent="0.25">
      <c r="A565" s="165"/>
      <c r="C565" s="172"/>
      <c r="D565" s="172"/>
      <c r="E565" s="87"/>
      <c r="F565" s="172"/>
      <c r="G565" s="172"/>
    </row>
    <row r="566" spans="1:7" x14ac:dyDescent="0.25">
      <c r="A566" s="165"/>
      <c r="C566" s="172"/>
      <c r="D566" s="172"/>
      <c r="E566" s="87"/>
      <c r="F566" s="172"/>
      <c r="G566" s="172"/>
    </row>
    <row r="567" spans="1:7" x14ac:dyDescent="0.25">
      <c r="A567" s="165"/>
      <c r="C567" s="172"/>
      <c r="D567" s="172"/>
      <c r="E567" s="87"/>
      <c r="F567" s="172"/>
      <c r="G567" s="172"/>
    </row>
    <row r="568" spans="1:7" x14ac:dyDescent="0.25">
      <c r="A568" s="165"/>
      <c r="C568" s="172"/>
      <c r="D568" s="172"/>
      <c r="E568" s="87"/>
      <c r="F568" s="172"/>
      <c r="G568" s="172"/>
    </row>
    <row r="569" spans="1:7" x14ac:dyDescent="0.25">
      <c r="A569" s="165"/>
      <c r="C569" s="172"/>
      <c r="D569" s="172"/>
      <c r="E569" s="87"/>
      <c r="F569" s="172"/>
      <c r="G569" s="172"/>
    </row>
    <row r="570" spans="1:7" x14ac:dyDescent="0.25">
      <c r="A570" s="165"/>
      <c r="C570" s="172"/>
      <c r="D570" s="172"/>
      <c r="E570" s="87"/>
      <c r="F570" s="172"/>
      <c r="G570" s="172"/>
    </row>
    <row r="571" spans="1:7" x14ac:dyDescent="0.25">
      <c r="A571" s="165"/>
      <c r="C571" s="172"/>
      <c r="D571" s="172"/>
      <c r="E571" s="87"/>
      <c r="F571" s="172"/>
      <c r="G571" s="172"/>
    </row>
    <row r="572" spans="1:7" x14ac:dyDescent="0.25">
      <c r="F572"/>
    </row>
    <row r="573" spans="1:7" x14ac:dyDescent="0.25">
      <c r="F573"/>
    </row>
    <row r="574" spans="1:7" x14ac:dyDescent="0.25">
      <c r="F574"/>
    </row>
    <row r="575" spans="1:7" x14ac:dyDescent="0.25">
      <c r="F575"/>
    </row>
    <row r="576" spans="1:7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  <row r="1433" spans="6:6" x14ac:dyDescent="0.25">
      <c r="F1433"/>
    </row>
    <row r="1434" spans="6:6" x14ac:dyDescent="0.25">
      <c r="F1434"/>
    </row>
    <row r="1435" spans="6:6" x14ac:dyDescent="0.25">
      <c r="F1435"/>
    </row>
    <row r="1436" spans="6:6" x14ac:dyDescent="0.25">
      <c r="F1436"/>
    </row>
    <row r="1437" spans="6:6" x14ac:dyDescent="0.25">
      <c r="F1437"/>
    </row>
    <row r="1438" spans="6:6" x14ac:dyDescent="0.25">
      <c r="F1438"/>
    </row>
    <row r="1439" spans="6:6" x14ac:dyDescent="0.25">
      <c r="F1439"/>
    </row>
    <row r="1440" spans="6:6" x14ac:dyDescent="0.25">
      <c r="F1440"/>
    </row>
    <row r="1441" spans="6:6" x14ac:dyDescent="0.25">
      <c r="F1441"/>
    </row>
    <row r="1442" spans="6:6" x14ac:dyDescent="0.25">
      <c r="F1442"/>
    </row>
    <row r="1443" spans="6:6" x14ac:dyDescent="0.25">
      <c r="F1443"/>
    </row>
    <row r="1444" spans="6:6" x14ac:dyDescent="0.25">
      <c r="F1444"/>
    </row>
    <row r="1445" spans="6:6" x14ac:dyDescent="0.25">
      <c r="F1445"/>
    </row>
    <row r="1446" spans="6:6" x14ac:dyDescent="0.25">
      <c r="F1446"/>
    </row>
    <row r="1447" spans="6:6" x14ac:dyDescent="0.25">
      <c r="F1447"/>
    </row>
    <row r="1448" spans="6:6" x14ac:dyDescent="0.25">
      <c r="F1448"/>
    </row>
    <row r="1449" spans="6:6" x14ac:dyDescent="0.25">
      <c r="F1449"/>
    </row>
    <row r="1450" spans="6:6" x14ac:dyDescent="0.25">
      <c r="F1450"/>
    </row>
    <row r="1451" spans="6:6" x14ac:dyDescent="0.25">
      <c r="F1451"/>
    </row>
    <row r="1452" spans="6:6" x14ac:dyDescent="0.25">
      <c r="F1452"/>
    </row>
    <row r="1453" spans="6:6" x14ac:dyDescent="0.25">
      <c r="F1453"/>
    </row>
    <row r="1454" spans="6:6" x14ac:dyDescent="0.25">
      <c r="F1454"/>
    </row>
    <row r="1455" spans="6:6" x14ac:dyDescent="0.25">
      <c r="F1455"/>
    </row>
    <row r="1456" spans="6:6" x14ac:dyDescent="0.25">
      <c r="F1456"/>
    </row>
    <row r="1457" spans="6:6" x14ac:dyDescent="0.25">
      <c r="F1457"/>
    </row>
    <row r="1458" spans="6:6" x14ac:dyDescent="0.25">
      <c r="F1458"/>
    </row>
    <row r="1459" spans="6:6" x14ac:dyDescent="0.25">
      <c r="F1459"/>
    </row>
    <row r="1460" spans="6:6" x14ac:dyDescent="0.25">
      <c r="F1460"/>
    </row>
    <row r="1461" spans="6:6" x14ac:dyDescent="0.25">
      <c r="F1461"/>
    </row>
    <row r="1462" spans="6:6" x14ac:dyDescent="0.25">
      <c r="F1462"/>
    </row>
    <row r="1463" spans="6:6" x14ac:dyDescent="0.25">
      <c r="F1463"/>
    </row>
    <row r="1464" spans="6:6" x14ac:dyDescent="0.25">
      <c r="F1464"/>
    </row>
    <row r="1465" spans="6:6" x14ac:dyDescent="0.25">
      <c r="F1465"/>
    </row>
    <row r="1466" spans="6:6" x14ac:dyDescent="0.25">
      <c r="F1466"/>
    </row>
    <row r="1467" spans="6:6" x14ac:dyDescent="0.25">
      <c r="F1467"/>
    </row>
    <row r="1468" spans="6:6" x14ac:dyDescent="0.25">
      <c r="F1468"/>
    </row>
    <row r="1469" spans="6:6" x14ac:dyDescent="0.25">
      <c r="F1469"/>
    </row>
    <row r="1470" spans="6:6" x14ac:dyDescent="0.25">
      <c r="F1470"/>
    </row>
    <row r="1471" spans="6:6" x14ac:dyDescent="0.25">
      <c r="F1471"/>
    </row>
    <row r="1472" spans="6:6" x14ac:dyDescent="0.25">
      <c r="F1472"/>
    </row>
    <row r="1473" spans="6:6" x14ac:dyDescent="0.25">
      <c r="F1473"/>
    </row>
    <row r="1474" spans="6:6" x14ac:dyDescent="0.25">
      <c r="F1474"/>
    </row>
    <row r="1475" spans="6:6" x14ac:dyDescent="0.25">
      <c r="F1475"/>
    </row>
    <row r="1476" spans="6:6" x14ac:dyDescent="0.25">
      <c r="F1476"/>
    </row>
    <row r="1477" spans="6:6" x14ac:dyDescent="0.25">
      <c r="F1477"/>
    </row>
    <row r="1478" spans="6:6" x14ac:dyDescent="0.25">
      <c r="F1478"/>
    </row>
    <row r="1479" spans="6:6" x14ac:dyDescent="0.25">
      <c r="F1479"/>
    </row>
    <row r="1480" spans="6:6" x14ac:dyDescent="0.25">
      <c r="F1480"/>
    </row>
    <row r="1481" spans="6:6" x14ac:dyDescent="0.25">
      <c r="F1481"/>
    </row>
    <row r="1482" spans="6:6" x14ac:dyDescent="0.25">
      <c r="F1482"/>
    </row>
    <row r="1483" spans="6:6" x14ac:dyDescent="0.25">
      <c r="F1483"/>
    </row>
    <row r="1484" spans="6:6" x14ac:dyDescent="0.25">
      <c r="F1484"/>
    </row>
    <row r="1485" spans="6:6" x14ac:dyDescent="0.25">
      <c r="F1485"/>
    </row>
    <row r="1486" spans="6:6" x14ac:dyDescent="0.25">
      <c r="F1486"/>
    </row>
    <row r="1487" spans="6:6" x14ac:dyDescent="0.25">
      <c r="F1487"/>
    </row>
    <row r="1488" spans="6:6" x14ac:dyDescent="0.25">
      <c r="F1488"/>
    </row>
    <row r="1489" spans="6:6" x14ac:dyDescent="0.25">
      <c r="F1489"/>
    </row>
    <row r="1490" spans="6:6" x14ac:dyDescent="0.25">
      <c r="F1490"/>
    </row>
    <row r="1491" spans="6:6" x14ac:dyDescent="0.25">
      <c r="F1491"/>
    </row>
    <row r="1492" spans="6:6" x14ac:dyDescent="0.25">
      <c r="F1492"/>
    </row>
    <row r="1493" spans="6:6" x14ac:dyDescent="0.25">
      <c r="F1493"/>
    </row>
    <row r="1494" spans="6:6" x14ac:dyDescent="0.25">
      <c r="F1494"/>
    </row>
    <row r="1495" spans="6:6" x14ac:dyDescent="0.25">
      <c r="F1495"/>
    </row>
    <row r="1496" spans="6:6" x14ac:dyDescent="0.25">
      <c r="F1496"/>
    </row>
    <row r="1497" spans="6:6" x14ac:dyDescent="0.25">
      <c r="F1497"/>
    </row>
    <row r="1498" spans="6:6" x14ac:dyDescent="0.25">
      <c r="F1498"/>
    </row>
    <row r="1499" spans="6:6" x14ac:dyDescent="0.25">
      <c r="F1499"/>
    </row>
    <row r="1500" spans="6:6" x14ac:dyDescent="0.25">
      <c r="F1500"/>
    </row>
    <row r="1501" spans="6:6" x14ac:dyDescent="0.25">
      <c r="F1501"/>
    </row>
    <row r="1502" spans="6:6" x14ac:dyDescent="0.25">
      <c r="F1502"/>
    </row>
    <row r="1503" spans="6:6" x14ac:dyDescent="0.25">
      <c r="F1503"/>
    </row>
    <row r="1504" spans="6:6" x14ac:dyDescent="0.25">
      <c r="F1504"/>
    </row>
    <row r="1505" spans="6:6" x14ac:dyDescent="0.25">
      <c r="F1505"/>
    </row>
    <row r="1506" spans="6:6" x14ac:dyDescent="0.25">
      <c r="F1506"/>
    </row>
    <row r="1507" spans="6:6" x14ac:dyDescent="0.25">
      <c r="F1507"/>
    </row>
    <row r="1508" spans="6:6" x14ac:dyDescent="0.25">
      <c r="F1508"/>
    </row>
    <row r="1509" spans="6:6" x14ac:dyDescent="0.25">
      <c r="F1509"/>
    </row>
    <row r="1510" spans="6:6" x14ac:dyDescent="0.25">
      <c r="F1510"/>
    </row>
    <row r="1511" spans="6:6" x14ac:dyDescent="0.25">
      <c r="F1511"/>
    </row>
    <row r="1512" spans="6:6" x14ac:dyDescent="0.25">
      <c r="F1512"/>
    </row>
    <row r="1513" spans="6:6" x14ac:dyDescent="0.25">
      <c r="F1513"/>
    </row>
    <row r="1514" spans="6:6" x14ac:dyDescent="0.25">
      <c r="F1514"/>
    </row>
    <row r="1515" spans="6:6" x14ac:dyDescent="0.25">
      <c r="F1515"/>
    </row>
    <row r="1516" spans="6:6" x14ac:dyDescent="0.25">
      <c r="F1516"/>
    </row>
    <row r="1517" spans="6:6" x14ac:dyDescent="0.25">
      <c r="F1517"/>
    </row>
    <row r="1518" spans="6:6" x14ac:dyDescent="0.25">
      <c r="F1518"/>
    </row>
    <row r="1519" spans="6:6" x14ac:dyDescent="0.25">
      <c r="F1519"/>
    </row>
    <row r="1520" spans="6:6" x14ac:dyDescent="0.25">
      <c r="F1520"/>
    </row>
    <row r="1521" spans="6:6" x14ac:dyDescent="0.25">
      <c r="F1521"/>
    </row>
    <row r="1522" spans="6:6" x14ac:dyDescent="0.25">
      <c r="F1522"/>
    </row>
    <row r="1523" spans="6:6" x14ac:dyDescent="0.25">
      <c r="F1523"/>
    </row>
    <row r="1524" spans="6:6" x14ac:dyDescent="0.25">
      <c r="F1524"/>
    </row>
    <row r="1525" spans="6:6" x14ac:dyDescent="0.25">
      <c r="F1525"/>
    </row>
    <row r="1526" spans="6:6" x14ac:dyDescent="0.25">
      <c r="F1526"/>
    </row>
    <row r="1527" spans="6:6" x14ac:dyDescent="0.25">
      <c r="F1527"/>
    </row>
    <row r="1528" spans="6:6" x14ac:dyDescent="0.25">
      <c r="F1528"/>
    </row>
    <row r="1529" spans="6:6" x14ac:dyDescent="0.25">
      <c r="F1529"/>
    </row>
    <row r="1530" spans="6:6" x14ac:dyDescent="0.25">
      <c r="F1530"/>
    </row>
    <row r="1531" spans="6:6" x14ac:dyDescent="0.25">
      <c r="F1531"/>
    </row>
    <row r="1532" spans="6:6" x14ac:dyDescent="0.25">
      <c r="F1532"/>
    </row>
    <row r="1533" spans="6:6" x14ac:dyDescent="0.25">
      <c r="F1533"/>
    </row>
    <row r="1534" spans="6:6" x14ac:dyDescent="0.25">
      <c r="F1534"/>
    </row>
    <row r="1535" spans="6:6" x14ac:dyDescent="0.25">
      <c r="F1535"/>
    </row>
    <row r="1536" spans="6:6" x14ac:dyDescent="0.25">
      <c r="F1536"/>
    </row>
    <row r="1537" spans="6:6" x14ac:dyDescent="0.25">
      <c r="F1537"/>
    </row>
    <row r="1538" spans="6:6" x14ac:dyDescent="0.25">
      <c r="F1538"/>
    </row>
    <row r="1539" spans="6:6" x14ac:dyDescent="0.25">
      <c r="F1539"/>
    </row>
    <row r="1540" spans="6:6" x14ac:dyDescent="0.25">
      <c r="F1540"/>
    </row>
    <row r="1541" spans="6:6" x14ac:dyDescent="0.25">
      <c r="F1541"/>
    </row>
    <row r="1542" spans="6:6" x14ac:dyDescent="0.25">
      <c r="F1542"/>
    </row>
    <row r="1543" spans="6:6" x14ac:dyDescent="0.25">
      <c r="F1543"/>
    </row>
    <row r="1544" spans="6:6" x14ac:dyDescent="0.25">
      <c r="F1544"/>
    </row>
    <row r="1545" spans="6:6" x14ac:dyDescent="0.25">
      <c r="F1545"/>
    </row>
    <row r="1546" spans="6:6" x14ac:dyDescent="0.25">
      <c r="F1546"/>
    </row>
    <row r="1547" spans="6:6" x14ac:dyDescent="0.25">
      <c r="F1547"/>
    </row>
    <row r="1548" spans="6:6" x14ac:dyDescent="0.25">
      <c r="F1548"/>
    </row>
    <row r="1549" spans="6:6" x14ac:dyDescent="0.25">
      <c r="F1549"/>
    </row>
    <row r="1550" spans="6:6" x14ac:dyDescent="0.25">
      <c r="F1550"/>
    </row>
    <row r="1551" spans="6:6" x14ac:dyDescent="0.25">
      <c r="F1551"/>
    </row>
    <row r="1552" spans="6:6" x14ac:dyDescent="0.25">
      <c r="F1552"/>
    </row>
    <row r="1553" spans="6:6" x14ac:dyDescent="0.25">
      <c r="F1553"/>
    </row>
    <row r="1554" spans="6:6" x14ac:dyDescent="0.25">
      <c r="F1554"/>
    </row>
    <row r="1555" spans="6:6" x14ac:dyDescent="0.25">
      <c r="F1555"/>
    </row>
    <row r="1556" spans="6:6" x14ac:dyDescent="0.25">
      <c r="F1556"/>
    </row>
    <row r="1557" spans="6:6" x14ac:dyDescent="0.25">
      <c r="F1557"/>
    </row>
    <row r="1558" spans="6:6" x14ac:dyDescent="0.25">
      <c r="F1558"/>
    </row>
    <row r="1559" spans="6:6" x14ac:dyDescent="0.25">
      <c r="F1559"/>
    </row>
    <row r="1560" spans="6:6" x14ac:dyDescent="0.25">
      <c r="F1560"/>
    </row>
    <row r="1561" spans="6:6" x14ac:dyDescent="0.25">
      <c r="F1561"/>
    </row>
    <row r="1562" spans="6:6" x14ac:dyDescent="0.25">
      <c r="F1562"/>
    </row>
    <row r="1563" spans="6:6" x14ac:dyDescent="0.25">
      <c r="F1563"/>
    </row>
    <row r="1564" spans="6:6" x14ac:dyDescent="0.25">
      <c r="F1564"/>
    </row>
    <row r="1565" spans="6:6" x14ac:dyDescent="0.25">
      <c r="F1565"/>
    </row>
    <row r="1566" spans="6:6" x14ac:dyDescent="0.25">
      <c r="F1566"/>
    </row>
    <row r="1567" spans="6:6" x14ac:dyDescent="0.25">
      <c r="F1567"/>
    </row>
    <row r="1568" spans="6:6" x14ac:dyDescent="0.25">
      <c r="F1568"/>
    </row>
    <row r="1569" spans="6:6" x14ac:dyDescent="0.25">
      <c r="F1569"/>
    </row>
    <row r="1570" spans="6:6" x14ac:dyDescent="0.25">
      <c r="F1570"/>
    </row>
    <row r="1571" spans="6:6" x14ac:dyDescent="0.25">
      <c r="F1571"/>
    </row>
    <row r="1572" spans="6:6" x14ac:dyDescent="0.25">
      <c r="F1572"/>
    </row>
    <row r="1573" spans="6:6" x14ac:dyDescent="0.25">
      <c r="F1573"/>
    </row>
    <row r="1574" spans="6:6" x14ac:dyDescent="0.25">
      <c r="F1574"/>
    </row>
    <row r="1575" spans="6:6" x14ac:dyDescent="0.25">
      <c r="F1575"/>
    </row>
    <row r="1576" spans="6:6" x14ac:dyDescent="0.25">
      <c r="F1576"/>
    </row>
    <row r="1577" spans="6:6" x14ac:dyDescent="0.25">
      <c r="F1577"/>
    </row>
    <row r="1578" spans="6:6" x14ac:dyDescent="0.25">
      <c r="F1578"/>
    </row>
    <row r="1579" spans="6:6" x14ac:dyDescent="0.25">
      <c r="F1579"/>
    </row>
    <row r="1580" spans="6:6" x14ac:dyDescent="0.25">
      <c r="F1580"/>
    </row>
    <row r="1581" spans="6:6" x14ac:dyDescent="0.25">
      <c r="F1581"/>
    </row>
    <row r="1582" spans="6:6" x14ac:dyDescent="0.25">
      <c r="F1582"/>
    </row>
    <row r="1583" spans="6:6" x14ac:dyDescent="0.25">
      <c r="F1583"/>
    </row>
    <row r="1584" spans="6:6" x14ac:dyDescent="0.25">
      <c r="F1584"/>
    </row>
    <row r="1585" spans="6:6" x14ac:dyDescent="0.25">
      <c r="F1585"/>
    </row>
    <row r="1586" spans="6:6" x14ac:dyDescent="0.25">
      <c r="F1586"/>
    </row>
    <row r="1587" spans="6:6" x14ac:dyDescent="0.25">
      <c r="F1587"/>
    </row>
    <row r="1588" spans="6:6" x14ac:dyDescent="0.25">
      <c r="F1588"/>
    </row>
    <row r="1589" spans="6:6" x14ac:dyDescent="0.25">
      <c r="F1589"/>
    </row>
    <row r="1590" spans="6:6" x14ac:dyDescent="0.25">
      <c r="F1590"/>
    </row>
    <row r="1591" spans="6:6" x14ac:dyDescent="0.25">
      <c r="F1591"/>
    </row>
    <row r="1592" spans="6:6" x14ac:dyDescent="0.25">
      <c r="F1592"/>
    </row>
    <row r="1593" spans="6:6" x14ac:dyDescent="0.25">
      <c r="F1593"/>
    </row>
    <row r="1594" spans="6:6" x14ac:dyDescent="0.25">
      <c r="F1594"/>
    </row>
    <row r="1595" spans="6:6" x14ac:dyDescent="0.25">
      <c r="F1595"/>
    </row>
    <row r="1596" spans="6:6" x14ac:dyDescent="0.25">
      <c r="F1596"/>
    </row>
    <row r="1597" spans="6:6" x14ac:dyDescent="0.25">
      <c r="F1597"/>
    </row>
    <row r="1598" spans="6:6" x14ac:dyDescent="0.25">
      <c r="F1598"/>
    </row>
    <row r="1599" spans="6:6" x14ac:dyDescent="0.25">
      <c r="F1599"/>
    </row>
    <row r="1600" spans="6:6" x14ac:dyDescent="0.25">
      <c r="F1600"/>
    </row>
    <row r="1601" spans="6:6" x14ac:dyDescent="0.25">
      <c r="F1601"/>
    </row>
    <row r="1602" spans="6:6" x14ac:dyDescent="0.25">
      <c r="F1602"/>
    </row>
    <row r="1603" spans="6:6" x14ac:dyDescent="0.25">
      <c r="F1603"/>
    </row>
    <row r="1604" spans="6:6" x14ac:dyDescent="0.25">
      <c r="F1604"/>
    </row>
    <row r="1605" spans="6:6" x14ac:dyDescent="0.25">
      <c r="F1605"/>
    </row>
    <row r="1606" spans="6:6" x14ac:dyDescent="0.25">
      <c r="F1606"/>
    </row>
    <row r="1607" spans="6:6" x14ac:dyDescent="0.25">
      <c r="F1607"/>
    </row>
    <row r="1608" spans="6:6" x14ac:dyDescent="0.25">
      <c r="F1608"/>
    </row>
    <row r="1609" spans="6:6" x14ac:dyDescent="0.25">
      <c r="F1609"/>
    </row>
    <row r="1610" spans="6:6" x14ac:dyDescent="0.25">
      <c r="F1610"/>
    </row>
    <row r="1611" spans="6:6" x14ac:dyDescent="0.25">
      <c r="F1611"/>
    </row>
    <row r="1612" spans="6:6" x14ac:dyDescent="0.25">
      <c r="F1612"/>
    </row>
    <row r="1613" spans="6:6" x14ac:dyDescent="0.25">
      <c r="F1613"/>
    </row>
    <row r="1614" spans="6:6" x14ac:dyDescent="0.25">
      <c r="F1614"/>
    </row>
    <row r="1615" spans="6:6" x14ac:dyDescent="0.25">
      <c r="F1615"/>
    </row>
    <row r="1616" spans="6:6" x14ac:dyDescent="0.25">
      <c r="F1616"/>
    </row>
    <row r="1617" spans="6:6" x14ac:dyDescent="0.25">
      <c r="F1617"/>
    </row>
    <row r="1618" spans="6:6" x14ac:dyDescent="0.25">
      <c r="F1618"/>
    </row>
    <row r="1619" spans="6:6" x14ac:dyDescent="0.25">
      <c r="F1619"/>
    </row>
    <row r="1620" spans="6:6" x14ac:dyDescent="0.25">
      <c r="F1620"/>
    </row>
    <row r="1621" spans="6:6" x14ac:dyDescent="0.25">
      <c r="F1621"/>
    </row>
    <row r="1622" spans="6:6" x14ac:dyDescent="0.25">
      <c r="F1622"/>
    </row>
    <row r="1623" spans="6:6" x14ac:dyDescent="0.25">
      <c r="F1623"/>
    </row>
    <row r="1624" spans="6:6" x14ac:dyDescent="0.25">
      <c r="F1624"/>
    </row>
    <row r="1625" spans="6:6" x14ac:dyDescent="0.25">
      <c r="F1625"/>
    </row>
    <row r="1626" spans="6:6" x14ac:dyDescent="0.25">
      <c r="F1626"/>
    </row>
    <row r="1627" spans="6:6" x14ac:dyDescent="0.25">
      <c r="F1627"/>
    </row>
    <row r="1628" spans="6:6" x14ac:dyDescent="0.25">
      <c r="F1628"/>
    </row>
    <row r="1629" spans="6:6" x14ac:dyDescent="0.25">
      <c r="F1629"/>
    </row>
    <row r="1630" spans="6:6" x14ac:dyDescent="0.25">
      <c r="F1630"/>
    </row>
    <row r="1631" spans="6:6" x14ac:dyDescent="0.25">
      <c r="F1631"/>
    </row>
    <row r="1632" spans="6:6" x14ac:dyDescent="0.25">
      <c r="F1632"/>
    </row>
    <row r="1633" spans="6:6" x14ac:dyDescent="0.25">
      <c r="F1633"/>
    </row>
    <row r="1634" spans="6:6" x14ac:dyDescent="0.25">
      <c r="F1634"/>
    </row>
    <row r="1635" spans="6:6" x14ac:dyDescent="0.25">
      <c r="F1635"/>
    </row>
    <row r="1636" spans="6:6" x14ac:dyDescent="0.25">
      <c r="F1636"/>
    </row>
    <row r="1637" spans="6:6" x14ac:dyDescent="0.25">
      <c r="F1637"/>
    </row>
    <row r="1638" spans="6:6" x14ac:dyDescent="0.25">
      <c r="F1638"/>
    </row>
    <row r="1639" spans="6:6" x14ac:dyDescent="0.25">
      <c r="F1639"/>
    </row>
    <row r="1640" spans="6:6" x14ac:dyDescent="0.25">
      <c r="F1640"/>
    </row>
    <row r="1641" spans="6:6" x14ac:dyDescent="0.25">
      <c r="F1641"/>
    </row>
    <row r="1642" spans="6:6" x14ac:dyDescent="0.25">
      <c r="F1642"/>
    </row>
    <row r="1643" spans="6:6" x14ac:dyDescent="0.25">
      <c r="F1643"/>
    </row>
    <row r="1644" spans="6:6" x14ac:dyDescent="0.25">
      <c r="F1644"/>
    </row>
    <row r="1645" spans="6:6" x14ac:dyDescent="0.25">
      <c r="F1645"/>
    </row>
    <row r="1646" spans="6:6" x14ac:dyDescent="0.25">
      <c r="F1646"/>
    </row>
    <row r="1647" spans="6:6" x14ac:dyDescent="0.25">
      <c r="F1647"/>
    </row>
    <row r="1648" spans="6:6" x14ac:dyDescent="0.25">
      <c r="F1648"/>
    </row>
    <row r="1649" spans="6:6" x14ac:dyDescent="0.25">
      <c r="F1649"/>
    </row>
    <row r="1650" spans="6:6" x14ac:dyDescent="0.25">
      <c r="F1650"/>
    </row>
    <row r="1651" spans="6:6" x14ac:dyDescent="0.25">
      <c r="F1651"/>
    </row>
    <row r="1652" spans="6:6" x14ac:dyDescent="0.25">
      <c r="F1652"/>
    </row>
    <row r="1653" spans="6:6" x14ac:dyDescent="0.25">
      <c r="F1653"/>
    </row>
    <row r="1654" spans="6:6" x14ac:dyDescent="0.25">
      <c r="F1654"/>
    </row>
    <row r="1655" spans="6:6" x14ac:dyDescent="0.25">
      <c r="F1655"/>
    </row>
    <row r="1656" spans="6:6" x14ac:dyDescent="0.25">
      <c r="F1656"/>
    </row>
    <row r="1657" spans="6:6" x14ac:dyDescent="0.25">
      <c r="F1657"/>
    </row>
    <row r="1658" spans="6:6" x14ac:dyDescent="0.25">
      <c r="F1658"/>
    </row>
    <row r="1659" spans="6:6" x14ac:dyDescent="0.25">
      <c r="F1659"/>
    </row>
    <row r="1660" spans="6:6" x14ac:dyDescent="0.25">
      <c r="F1660"/>
    </row>
    <row r="1661" spans="6:6" x14ac:dyDescent="0.25">
      <c r="F1661"/>
    </row>
    <row r="1662" spans="6:6" x14ac:dyDescent="0.25">
      <c r="F1662"/>
    </row>
    <row r="1663" spans="6:6" x14ac:dyDescent="0.25">
      <c r="F1663"/>
    </row>
    <row r="1664" spans="6:6" x14ac:dyDescent="0.25">
      <c r="F1664"/>
    </row>
    <row r="1665" spans="6:6" x14ac:dyDescent="0.25">
      <c r="F1665"/>
    </row>
    <row r="1666" spans="6:6" x14ac:dyDescent="0.25">
      <c r="F1666"/>
    </row>
    <row r="1667" spans="6:6" x14ac:dyDescent="0.25">
      <c r="F1667"/>
    </row>
    <row r="1668" spans="6:6" x14ac:dyDescent="0.25">
      <c r="F1668"/>
    </row>
    <row r="1669" spans="6:6" x14ac:dyDescent="0.25">
      <c r="F1669"/>
    </row>
    <row r="1670" spans="6:6" x14ac:dyDescent="0.25">
      <c r="F1670"/>
    </row>
    <row r="1671" spans="6:6" x14ac:dyDescent="0.25">
      <c r="F1671"/>
    </row>
    <row r="1672" spans="6:6" x14ac:dyDescent="0.25">
      <c r="F1672"/>
    </row>
    <row r="1673" spans="6:6" x14ac:dyDescent="0.25">
      <c r="F1673"/>
    </row>
    <row r="1674" spans="6:6" x14ac:dyDescent="0.25">
      <c r="F1674"/>
    </row>
    <row r="1675" spans="6:6" x14ac:dyDescent="0.25">
      <c r="F1675"/>
    </row>
    <row r="1676" spans="6:6" x14ac:dyDescent="0.25">
      <c r="F1676"/>
    </row>
    <row r="1677" spans="6:6" x14ac:dyDescent="0.25">
      <c r="F1677"/>
    </row>
    <row r="1678" spans="6:6" x14ac:dyDescent="0.25">
      <c r="F1678"/>
    </row>
    <row r="1679" spans="6:6" x14ac:dyDescent="0.25">
      <c r="F1679"/>
    </row>
    <row r="1680" spans="6:6" x14ac:dyDescent="0.25">
      <c r="F1680"/>
    </row>
    <row r="1681" spans="6:6" x14ac:dyDescent="0.25">
      <c r="F1681"/>
    </row>
    <row r="1682" spans="6:6" x14ac:dyDescent="0.25">
      <c r="F1682"/>
    </row>
    <row r="1683" spans="6:6" x14ac:dyDescent="0.25">
      <c r="F1683"/>
    </row>
    <row r="1684" spans="6:6" x14ac:dyDescent="0.25">
      <c r="F1684"/>
    </row>
    <row r="1685" spans="6:6" x14ac:dyDescent="0.25">
      <c r="F1685"/>
    </row>
    <row r="1686" spans="6:6" x14ac:dyDescent="0.25">
      <c r="F1686"/>
    </row>
    <row r="1687" spans="6:6" x14ac:dyDescent="0.25">
      <c r="F1687"/>
    </row>
    <row r="1688" spans="6:6" x14ac:dyDescent="0.25">
      <c r="F1688"/>
    </row>
    <row r="1689" spans="6:6" x14ac:dyDescent="0.25">
      <c r="F1689"/>
    </row>
    <row r="1690" spans="6:6" x14ac:dyDescent="0.25">
      <c r="F1690"/>
    </row>
    <row r="1691" spans="6:6" x14ac:dyDescent="0.25">
      <c r="F1691"/>
    </row>
    <row r="1692" spans="6:6" x14ac:dyDescent="0.25">
      <c r="F1692"/>
    </row>
    <row r="1693" spans="6:6" x14ac:dyDescent="0.25">
      <c r="F1693"/>
    </row>
    <row r="1694" spans="6:6" x14ac:dyDescent="0.25">
      <c r="F1694"/>
    </row>
    <row r="1695" spans="6:6" x14ac:dyDescent="0.25">
      <c r="F1695"/>
    </row>
    <row r="1696" spans="6:6" x14ac:dyDescent="0.25">
      <c r="F1696"/>
    </row>
    <row r="1697" spans="6:6" x14ac:dyDescent="0.25">
      <c r="F1697"/>
    </row>
    <row r="1698" spans="6:6" x14ac:dyDescent="0.25">
      <c r="F1698"/>
    </row>
    <row r="1699" spans="6:6" x14ac:dyDescent="0.25">
      <c r="F1699"/>
    </row>
    <row r="1700" spans="6:6" x14ac:dyDescent="0.25">
      <c r="F1700"/>
    </row>
    <row r="1701" spans="6:6" x14ac:dyDescent="0.25">
      <c r="F1701"/>
    </row>
    <row r="1702" spans="6:6" x14ac:dyDescent="0.25">
      <c r="F1702"/>
    </row>
    <row r="1703" spans="6:6" x14ac:dyDescent="0.25">
      <c r="F1703"/>
    </row>
    <row r="1704" spans="6:6" x14ac:dyDescent="0.25">
      <c r="F1704"/>
    </row>
    <row r="1705" spans="6:6" x14ac:dyDescent="0.25">
      <c r="F1705"/>
    </row>
    <row r="1706" spans="6:6" x14ac:dyDescent="0.25">
      <c r="F1706"/>
    </row>
    <row r="1707" spans="6:6" x14ac:dyDescent="0.25">
      <c r="F1707"/>
    </row>
    <row r="1708" spans="6:6" x14ac:dyDescent="0.25">
      <c r="F1708"/>
    </row>
    <row r="1709" spans="6:6" x14ac:dyDescent="0.25">
      <c r="F1709"/>
    </row>
    <row r="1710" spans="6:6" x14ac:dyDescent="0.25">
      <c r="F1710"/>
    </row>
    <row r="1711" spans="6:6" x14ac:dyDescent="0.25">
      <c r="F1711"/>
    </row>
    <row r="1712" spans="6:6" x14ac:dyDescent="0.25">
      <c r="F1712"/>
    </row>
    <row r="1713" spans="6:6" x14ac:dyDescent="0.25">
      <c r="F1713"/>
    </row>
    <row r="1714" spans="6:6" x14ac:dyDescent="0.25">
      <c r="F1714"/>
    </row>
    <row r="1715" spans="6:6" x14ac:dyDescent="0.25">
      <c r="F1715"/>
    </row>
    <row r="1716" spans="6:6" x14ac:dyDescent="0.25">
      <c r="F1716"/>
    </row>
    <row r="1717" spans="6:6" x14ac:dyDescent="0.25">
      <c r="F1717"/>
    </row>
    <row r="1718" spans="6:6" x14ac:dyDescent="0.25">
      <c r="F1718"/>
    </row>
    <row r="1719" spans="6:6" x14ac:dyDescent="0.25">
      <c r="F1719"/>
    </row>
    <row r="1720" spans="6:6" x14ac:dyDescent="0.25">
      <c r="F1720"/>
    </row>
    <row r="1721" spans="6:6" x14ac:dyDescent="0.25">
      <c r="F1721"/>
    </row>
    <row r="1722" spans="6:6" x14ac:dyDescent="0.25">
      <c r="F1722"/>
    </row>
    <row r="1723" spans="6:6" x14ac:dyDescent="0.25">
      <c r="F1723"/>
    </row>
    <row r="1724" spans="6:6" x14ac:dyDescent="0.25">
      <c r="F1724"/>
    </row>
    <row r="1725" spans="6:6" x14ac:dyDescent="0.25">
      <c r="F1725"/>
    </row>
    <row r="1726" spans="6:6" x14ac:dyDescent="0.25">
      <c r="F1726"/>
    </row>
    <row r="1727" spans="6:6" x14ac:dyDescent="0.25">
      <c r="F1727"/>
    </row>
    <row r="1728" spans="6:6" x14ac:dyDescent="0.25">
      <c r="F1728"/>
    </row>
    <row r="1729" spans="6:6" x14ac:dyDescent="0.25">
      <c r="F1729"/>
    </row>
    <row r="1730" spans="6:6" x14ac:dyDescent="0.25">
      <c r="F1730"/>
    </row>
    <row r="1731" spans="6:6" x14ac:dyDescent="0.25">
      <c r="F1731"/>
    </row>
    <row r="1732" spans="6:6" x14ac:dyDescent="0.25">
      <c r="F1732"/>
    </row>
    <row r="1733" spans="6:6" x14ac:dyDescent="0.25">
      <c r="F1733"/>
    </row>
    <row r="1734" spans="6:6" x14ac:dyDescent="0.25">
      <c r="F1734"/>
    </row>
    <row r="1735" spans="6:6" x14ac:dyDescent="0.25">
      <c r="F1735"/>
    </row>
    <row r="1736" spans="6:6" x14ac:dyDescent="0.25">
      <c r="F1736"/>
    </row>
    <row r="1737" spans="6:6" x14ac:dyDescent="0.25">
      <c r="F1737"/>
    </row>
    <row r="1738" spans="6:6" x14ac:dyDescent="0.25">
      <c r="F1738"/>
    </row>
    <row r="1739" spans="6:6" x14ac:dyDescent="0.25">
      <c r="F1739"/>
    </row>
    <row r="1740" spans="6:6" x14ac:dyDescent="0.25">
      <c r="F1740"/>
    </row>
    <row r="1741" spans="6:6" x14ac:dyDescent="0.25">
      <c r="F1741"/>
    </row>
    <row r="1742" spans="6:6" x14ac:dyDescent="0.25">
      <c r="F1742"/>
    </row>
    <row r="1743" spans="6:6" x14ac:dyDescent="0.25">
      <c r="F1743"/>
    </row>
    <row r="1744" spans="6:6" x14ac:dyDescent="0.25">
      <c r="F1744"/>
    </row>
    <row r="1745" spans="6:6" x14ac:dyDescent="0.25">
      <c r="F1745"/>
    </row>
    <row r="1746" spans="6:6" x14ac:dyDescent="0.25">
      <c r="F1746"/>
    </row>
    <row r="1747" spans="6:6" x14ac:dyDescent="0.25">
      <c r="F1747"/>
    </row>
    <row r="1748" spans="6:6" x14ac:dyDescent="0.25">
      <c r="F1748"/>
    </row>
    <row r="1749" spans="6:6" x14ac:dyDescent="0.25">
      <c r="F1749"/>
    </row>
    <row r="1750" spans="6:6" x14ac:dyDescent="0.25">
      <c r="F1750"/>
    </row>
    <row r="1751" spans="6:6" x14ac:dyDescent="0.25">
      <c r="F1751"/>
    </row>
    <row r="1752" spans="6:6" x14ac:dyDescent="0.25">
      <c r="F1752"/>
    </row>
    <row r="1753" spans="6:6" x14ac:dyDescent="0.25">
      <c r="F1753"/>
    </row>
    <row r="1754" spans="6:6" x14ac:dyDescent="0.25">
      <c r="F1754"/>
    </row>
    <row r="1755" spans="6:6" x14ac:dyDescent="0.25">
      <c r="F1755"/>
    </row>
    <row r="1756" spans="6:6" x14ac:dyDescent="0.25">
      <c r="F1756"/>
    </row>
    <row r="1757" spans="6:6" x14ac:dyDescent="0.25">
      <c r="F1757"/>
    </row>
    <row r="1758" spans="6:6" x14ac:dyDescent="0.25">
      <c r="F1758"/>
    </row>
    <row r="1759" spans="6:6" x14ac:dyDescent="0.25">
      <c r="F1759"/>
    </row>
    <row r="1760" spans="6:6" x14ac:dyDescent="0.25">
      <c r="F1760"/>
    </row>
    <row r="1761" spans="6:6" x14ac:dyDescent="0.25">
      <c r="F1761"/>
    </row>
    <row r="1762" spans="6:6" x14ac:dyDescent="0.25">
      <c r="F1762"/>
    </row>
    <row r="1763" spans="6:6" x14ac:dyDescent="0.25">
      <c r="F1763"/>
    </row>
    <row r="1764" spans="6:6" x14ac:dyDescent="0.25">
      <c r="F1764"/>
    </row>
    <row r="1765" spans="6:6" x14ac:dyDescent="0.25">
      <c r="F1765"/>
    </row>
    <row r="1766" spans="6:6" x14ac:dyDescent="0.25">
      <c r="F1766"/>
    </row>
    <row r="1767" spans="6:6" x14ac:dyDescent="0.25">
      <c r="F1767"/>
    </row>
    <row r="1768" spans="6:6" x14ac:dyDescent="0.25">
      <c r="F1768"/>
    </row>
    <row r="1769" spans="6:6" x14ac:dyDescent="0.25">
      <c r="F1769"/>
    </row>
    <row r="1770" spans="6:6" x14ac:dyDescent="0.25">
      <c r="F1770"/>
    </row>
    <row r="1771" spans="6:6" x14ac:dyDescent="0.25">
      <c r="F1771"/>
    </row>
    <row r="1772" spans="6:6" x14ac:dyDescent="0.25">
      <c r="F1772"/>
    </row>
    <row r="1773" spans="6:6" x14ac:dyDescent="0.25">
      <c r="F1773"/>
    </row>
    <row r="1774" spans="6:6" x14ac:dyDescent="0.25">
      <c r="F1774"/>
    </row>
    <row r="1775" spans="6:6" x14ac:dyDescent="0.25">
      <c r="F1775"/>
    </row>
    <row r="1776" spans="6:6" x14ac:dyDescent="0.25">
      <c r="F1776"/>
    </row>
    <row r="1777" spans="6:6" x14ac:dyDescent="0.25">
      <c r="F1777"/>
    </row>
    <row r="1778" spans="6:6" x14ac:dyDescent="0.25">
      <c r="F1778"/>
    </row>
    <row r="1779" spans="6:6" x14ac:dyDescent="0.25">
      <c r="F1779"/>
    </row>
    <row r="1780" spans="6:6" x14ac:dyDescent="0.25">
      <c r="F1780"/>
    </row>
    <row r="1781" spans="6:6" x14ac:dyDescent="0.25">
      <c r="F1781"/>
    </row>
    <row r="1782" spans="6:6" x14ac:dyDescent="0.25">
      <c r="F1782"/>
    </row>
    <row r="1783" spans="6:6" x14ac:dyDescent="0.25">
      <c r="F1783"/>
    </row>
    <row r="1784" spans="6:6" x14ac:dyDescent="0.25">
      <c r="F1784"/>
    </row>
    <row r="1785" spans="6:6" x14ac:dyDescent="0.25">
      <c r="F1785"/>
    </row>
    <row r="1786" spans="6:6" x14ac:dyDescent="0.25">
      <c r="F1786"/>
    </row>
    <row r="1787" spans="6:6" x14ac:dyDescent="0.25">
      <c r="F1787"/>
    </row>
    <row r="1788" spans="6:6" x14ac:dyDescent="0.25">
      <c r="F1788"/>
    </row>
    <row r="1789" spans="6:6" x14ac:dyDescent="0.25">
      <c r="F1789"/>
    </row>
    <row r="1790" spans="6:6" x14ac:dyDescent="0.25">
      <c r="F1790"/>
    </row>
    <row r="1791" spans="6:6" x14ac:dyDescent="0.25">
      <c r="F1791"/>
    </row>
    <row r="1792" spans="6:6" x14ac:dyDescent="0.25">
      <c r="F1792"/>
    </row>
    <row r="1793" spans="6:6" x14ac:dyDescent="0.25">
      <c r="F1793"/>
    </row>
    <row r="1794" spans="6:6" x14ac:dyDescent="0.25">
      <c r="F1794"/>
    </row>
    <row r="1795" spans="6:6" x14ac:dyDescent="0.25">
      <c r="F1795"/>
    </row>
    <row r="1796" spans="6:6" x14ac:dyDescent="0.25">
      <c r="F1796"/>
    </row>
    <row r="1797" spans="6:6" x14ac:dyDescent="0.25">
      <c r="F1797"/>
    </row>
    <row r="1798" spans="6:6" x14ac:dyDescent="0.25">
      <c r="F1798"/>
    </row>
    <row r="1799" spans="6:6" x14ac:dyDescent="0.25">
      <c r="F1799"/>
    </row>
    <row r="1800" spans="6:6" x14ac:dyDescent="0.25">
      <c r="F1800"/>
    </row>
    <row r="1801" spans="6:6" x14ac:dyDescent="0.25">
      <c r="F1801"/>
    </row>
    <row r="1802" spans="6:6" x14ac:dyDescent="0.25">
      <c r="F1802"/>
    </row>
    <row r="1803" spans="6:6" x14ac:dyDescent="0.25">
      <c r="F1803"/>
    </row>
    <row r="1804" spans="6:6" x14ac:dyDescent="0.25">
      <c r="F1804"/>
    </row>
    <row r="1805" spans="6:6" x14ac:dyDescent="0.25">
      <c r="F1805"/>
    </row>
    <row r="1806" spans="6:6" x14ac:dyDescent="0.25">
      <c r="F1806"/>
    </row>
    <row r="1807" spans="6:6" x14ac:dyDescent="0.25">
      <c r="F1807"/>
    </row>
    <row r="1808" spans="6:6" x14ac:dyDescent="0.25">
      <c r="F1808"/>
    </row>
    <row r="1809" spans="6:6" x14ac:dyDescent="0.25">
      <c r="F1809"/>
    </row>
    <row r="1810" spans="6:6" x14ac:dyDescent="0.25">
      <c r="F1810"/>
    </row>
    <row r="1811" spans="6:6" x14ac:dyDescent="0.25">
      <c r="F1811"/>
    </row>
    <row r="1812" spans="6:6" x14ac:dyDescent="0.25">
      <c r="F1812"/>
    </row>
    <row r="1813" spans="6:6" x14ac:dyDescent="0.25">
      <c r="F1813"/>
    </row>
    <row r="1814" spans="6:6" x14ac:dyDescent="0.25">
      <c r="F1814"/>
    </row>
    <row r="1815" spans="6:6" x14ac:dyDescent="0.25">
      <c r="F1815"/>
    </row>
    <row r="1816" spans="6:6" x14ac:dyDescent="0.25">
      <c r="F1816"/>
    </row>
    <row r="1817" spans="6:6" x14ac:dyDescent="0.25">
      <c r="F1817"/>
    </row>
    <row r="1818" spans="6:6" x14ac:dyDescent="0.25">
      <c r="F1818"/>
    </row>
    <row r="1819" spans="6:6" x14ac:dyDescent="0.25">
      <c r="F1819"/>
    </row>
    <row r="1820" spans="6:6" x14ac:dyDescent="0.25">
      <c r="F1820"/>
    </row>
    <row r="1821" spans="6:6" x14ac:dyDescent="0.25">
      <c r="F1821"/>
    </row>
    <row r="1822" spans="6:6" x14ac:dyDescent="0.25">
      <c r="F1822"/>
    </row>
    <row r="1823" spans="6:6" x14ac:dyDescent="0.25">
      <c r="F1823"/>
    </row>
    <row r="1824" spans="6:6" x14ac:dyDescent="0.25">
      <c r="F1824"/>
    </row>
    <row r="1825" spans="6:6" x14ac:dyDescent="0.25">
      <c r="F1825"/>
    </row>
    <row r="1826" spans="6:6" x14ac:dyDescent="0.25">
      <c r="F1826"/>
    </row>
    <row r="1827" spans="6:6" x14ac:dyDescent="0.25">
      <c r="F1827"/>
    </row>
    <row r="1828" spans="6:6" x14ac:dyDescent="0.25">
      <c r="F1828"/>
    </row>
    <row r="1829" spans="6:6" x14ac:dyDescent="0.25">
      <c r="F1829"/>
    </row>
    <row r="1830" spans="6:6" x14ac:dyDescent="0.25">
      <c r="F1830"/>
    </row>
    <row r="1831" spans="6:6" x14ac:dyDescent="0.25">
      <c r="F1831"/>
    </row>
    <row r="1832" spans="6:6" x14ac:dyDescent="0.25">
      <c r="F1832"/>
    </row>
    <row r="1833" spans="6:6" x14ac:dyDescent="0.25">
      <c r="F1833"/>
    </row>
    <row r="1834" spans="6:6" x14ac:dyDescent="0.25">
      <c r="F1834"/>
    </row>
    <row r="1835" spans="6:6" x14ac:dyDescent="0.25">
      <c r="F1835"/>
    </row>
    <row r="1836" spans="6:6" x14ac:dyDescent="0.25">
      <c r="F1836"/>
    </row>
    <row r="1837" spans="6:6" x14ac:dyDescent="0.25">
      <c r="F1837"/>
    </row>
    <row r="1838" spans="6:6" x14ac:dyDescent="0.25">
      <c r="F1838"/>
    </row>
    <row r="1839" spans="6:6" x14ac:dyDescent="0.25">
      <c r="F1839"/>
    </row>
    <row r="1840" spans="6:6" x14ac:dyDescent="0.25">
      <c r="F1840"/>
    </row>
    <row r="1841" spans="6:6" x14ac:dyDescent="0.25">
      <c r="F1841"/>
    </row>
    <row r="1842" spans="6:6" x14ac:dyDescent="0.25">
      <c r="F1842"/>
    </row>
    <row r="1843" spans="6:6" x14ac:dyDescent="0.25">
      <c r="F1843"/>
    </row>
    <row r="1844" spans="6:6" x14ac:dyDescent="0.25">
      <c r="F1844"/>
    </row>
    <row r="1845" spans="6:6" x14ac:dyDescent="0.25">
      <c r="F1845"/>
    </row>
    <row r="1846" spans="6:6" x14ac:dyDescent="0.25">
      <c r="F1846"/>
    </row>
    <row r="1847" spans="6:6" x14ac:dyDescent="0.25">
      <c r="F1847"/>
    </row>
    <row r="1848" spans="6:6" x14ac:dyDescent="0.25">
      <c r="F1848"/>
    </row>
    <row r="1849" spans="6:6" x14ac:dyDescent="0.25">
      <c r="F1849"/>
    </row>
    <row r="1850" spans="6:6" x14ac:dyDescent="0.25">
      <c r="F1850"/>
    </row>
    <row r="1851" spans="6:6" x14ac:dyDescent="0.25">
      <c r="F1851"/>
    </row>
    <row r="1852" spans="6:6" x14ac:dyDescent="0.25">
      <c r="F1852"/>
    </row>
    <row r="1853" spans="6:6" x14ac:dyDescent="0.25">
      <c r="F1853"/>
    </row>
    <row r="1854" spans="6:6" x14ac:dyDescent="0.25">
      <c r="F1854"/>
    </row>
    <row r="1855" spans="6:6" x14ac:dyDescent="0.25">
      <c r="F1855"/>
    </row>
    <row r="1856" spans="6:6" x14ac:dyDescent="0.25">
      <c r="F1856"/>
    </row>
    <row r="1857" spans="6:6" x14ac:dyDescent="0.25">
      <c r="F1857"/>
    </row>
    <row r="1858" spans="6:6" x14ac:dyDescent="0.25">
      <c r="F1858"/>
    </row>
    <row r="1859" spans="6:6" x14ac:dyDescent="0.25">
      <c r="F1859"/>
    </row>
    <row r="1860" spans="6:6" x14ac:dyDescent="0.25">
      <c r="F1860"/>
    </row>
    <row r="1861" spans="6:6" x14ac:dyDescent="0.25">
      <c r="F1861"/>
    </row>
    <row r="1862" spans="6:6" x14ac:dyDescent="0.25">
      <c r="F1862"/>
    </row>
    <row r="1863" spans="6:6" x14ac:dyDescent="0.25">
      <c r="F1863"/>
    </row>
    <row r="1864" spans="6:6" x14ac:dyDescent="0.25">
      <c r="F1864"/>
    </row>
    <row r="1865" spans="6:6" x14ac:dyDescent="0.25">
      <c r="F1865"/>
    </row>
    <row r="1866" spans="6:6" x14ac:dyDescent="0.25">
      <c r="F1866"/>
    </row>
    <row r="1867" spans="6:6" x14ac:dyDescent="0.25">
      <c r="F1867"/>
    </row>
    <row r="1868" spans="6:6" x14ac:dyDescent="0.25">
      <c r="F1868"/>
    </row>
    <row r="1869" spans="6:6" x14ac:dyDescent="0.25">
      <c r="F1869"/>
    </row>
    <row r="1870" spans="6:6" x14ac:dyDescent="0.25">
      <c r="F1870"/>
    </row>
    <row r="1871" spans="6:6" x14ac:dyDescent="0.25">
      <c r="F1871"/>
    </row>
    <row r="1872" spans="6:6" x14ac:dyDescent="0.25">
      <c r="F1872"/>
    </row>
    <row r="1873" spans="6:6" x14ac:dyDescent="0.25">
      <c r="F1873"/>
    </row>
    <row r="1874" spans="6:6" x14ac:dyDescent="0.25">
      <c r="F1874"/>
    </row>
    <row r="1875" spans="6:6" x14ac:dyDescent="0.25">
      <c r="F1875"/>
    </row>
    <row r="1876" spans="6:6" x14ac:dyDescent="0.25">
      <c r="F1876"/>
    </row>
    <row r="1877" spans="6:6" x14ac:dyDescent="0.25">
      <c r="F1877"/>
    </row>
    <row r="1878" spans="6:6" x14ac:dyDescent="0.25">
      <c r="F1878"/>
    </row>
    <row r="1879" spans="6:6" x14ac:dyDescent="0.25">
      <c r="F1879"/>
    </row>
    <row r="1880" spans="6:6" x14ac:dyDescent="0.25">
      <c r="F1880"/>
    </row>
    <row r="1881" spans="6:6" x14ac:dyDescent="0.25">
      <c r="F1881"/>
    </row>
    <row r="1882" spans="6:6" x14ac:dyDescent="0.25">
      <c r="F1882"/>
    </row>
    <row r="1883" spans="6:6" x14ac:dyDescent="0.25">
      <c r="F1883"/>
    </row>
    <row r="1884" spans="6:6" x14ac:dyDescent="0.25">
      <c r="F1884"/>
    </row>
    <row r="1885" spans="6:6" x14ac:dyDescent="0.25">
      <c r="F1885"/>
    </row>
    <row r="1886" spans="6:6" x14ac:dyDescent="0.25">
      <c r="F1886"/>
    </row>
    <row r="1887" spans="6:6" x14ac:dyDescent="0.25">
      <c r="F1887"/>
    </row>
    <row r="1888" spans="6:6" x14ac:dyDescent="0.25">
      <c r="F1888"/>
    </row>
    <row r="1889" spans="6:6" x14ac:dyDescent="0.25">
      <c r="F1889"/>
    </row>
    <row r="1890" spans="6:6" x14ac:dyDescent="0.25">
      <c r="F1890"/>
    </row>
    <row r="1891" spans="6:6" x14ac:dyDescent="0.25">
      <c r="F1891"/>
    </row>
    <row r="1892" spans="6:6" x14ac:dyDescent="0.25">
      <c r="F1892"/>
    </row>
    <row r="1893" spans="6:6" x14ac:dyDescent="0.25">
      <c r="F1893"/>
    </row>
    <row r="1894" spans="6:6" x14ac:dyDescent="0.25">
      <c r="F1894"/>
    </row>
    <row r="1895" spans="6:6" x14ac:dyDescent="0.25">
      <c r="F1895"/>
    </row>
    <row r="1896" spans="6:6" x14ac:dyDescent="0.25">
      <c r="F1896"/>
    </row>
    <row r="1897" spans="6:6" x14ac:dyDescent="0.25">
      <c r="F1897"/>
    </row>
    <row r="1898" spans="6:6" x14ac:dyDescent="0.25">
      <c r="F1898"/>
    </row>
    <row r="1899" spans="6:6" x14ac:dyDescent="0.25">
      <c r="F1899"/>
    </row>
    <row r="1900" spans="6:6" x14ac:dyDescent="0.25">
      <c r="F1900"/>
    </row>
    <row r="1901" spans="6:6" x14ac:dyDescent="0.25">
      <c r="F1901"/>
    </row>
    <row r="1902" spans="6:6" x14ac:dyDescent="0.25">
      <c r="F1902"/>
    </row>
    <row r="1903" spans="6:6" x14ac:dyDescent="0.25">
      <c r="F1903"/>
    </row>
    <row r="1904" spans="6:6" x14ac:dyDescent="0.25">
      <c r="F1904"/>
    </row>
    <row r="1905" spans="6:6" x14ac:dyDescent="0.25">
      <c r="F1905"/>
    </row>
    <row r="1906" spans="6:6" x14ac:dyDescent="0.25">
      <c r="F1906"/>
    </row>
    <row r="1907" spans="6:6" x14ac:dyDescent="0.25">
      <c r="F1907"/>
    </row>
    <row r="1908" spans="6:6" x14ac:dyDescent="0.25">
      <c r="F1908"/>
    </row>
    <row r="1909" spans="6:6" x14ac:dyDescent="0.25">
      <c r="F1909"/>
    </row>
    <row r="1910" spans="6:6" x14ac:dyDescent="0.25">
      <c r="F1910"/>
    </row>
    <row r="1911" spans="6:6" x14ac:dyDescent="0.25">
      <c r="F1911"/>
    </row>
    <row r="1912" spans="6:6" x14ac:dyDescent="0.25">
      <c r="F1912"/>
    </row>
    <row r="1913" spans="6:6" x14ac:dyDescent="0.25">
      <c r="F1913"/>
    </row>
    <row r="1914" spans="6:6" x14ac:dyDescent="0.25">
      <c r="F1914"/>
    </row>
    <row r="1915" spans="6:6" x14ac:dyDescent="0.25">
      <c r="F1915"/>
    </row>
    <row r="1916" spans="6:6" x14ac:dyDescent="0.25">
      <c r="F1916"/>
    </row>
    <row r="1917" spans="6:6" x14ac:dyDescent="0.25">
      <c r="F1917"/>
    </row>
    <row r="1918" spans="6:6" x14ac:dyDescent="0.25">
      <c r="F1918"/>
    </row>
    <row r="1919" spans="6:6" x14ac:dyDescent="0.25">
      <c r="F1919"/>
    </row>
    <row r="1920" spans="6:6" x14ac:dyDescent="0.25">
      <c r="F1920"/>
    </row>
    <row r="1921" spans="6:6" x14ac:dyDescent="0.25">
      <c r="F1921"/>
    </row>
    <row r="1922" spans="6:6" x14ac:dyDescent="0.25">
      <c r="F1922"/>
    </row>
    <row r="1923" spans="6:6" x14ac:dyDescent="0.25">
      <c r="F1923"/>
    </row>
    <row r="1924" spans="6:6" x14ac:dyDescent="0.25">
      <c r="F1924"/>
    </row>
    <row r="1925" spans="6:6" x14ac:dyDescent="0.25">
      <c r="F1925"/>
    </row>
    <row r="1926" spans="6:6" x14ac:dyDescent="0.25">
      <c r="F1926"/>
    </row>
    <row r="1927" spans="6:6" x14ac:dyDescent="0.25">
      <c r="F1927"/>
    </row>
    <row r="1928" spans="6:6" x14ac:dyDescent="0.25">
      <c r="F1928"/>
    </row>
    <row r="1929" spans="6:6" x14ac:dyDescent="0.25">
      <c r="F1929"/>
    </row>
    <row r="1930" spans="6:6" x14ac:dyDescent="0.25">
      <c r="F1930"/>
    </row>
    <row r="1931" spans="6:6" x14ac:dyDescent="0.25">
      <c r="F1931"/>
    </row>
    <row r="1932" spans="6:6" x14ac:dyDescent="0.25">
      <c r="F1932"/>
    </row>
    <row r="1933" spans="6:6" x14ac:dyDescent="0.25">
      <c r="F1933"/>
    </row>
    <row r="1934" spans="6:6" x14ac:dyDescent="0.25">
      <c r="F1934"/>
    </row>
    <row r="1935" spans="6:6" x14ac:dyDescent="0.25">
      <c r="F1935"/>
    </row>
    <row r="1936" spans="6:6" x14ac:dyDescent="0.25">
      <c r="F1936"/>
    </row>
    <row r="1937" spans="6:6" x14ac:dyDescent="0.25">
      <c r="F1937"/>
    </row>
    <row r="1938" spans="6:6" x14ac:dyDescent="0.25">
      <c r="F1938"/>
    </row>
    <row r="1939" spans="6:6" x14ac:dyDescent="0.25">
      <c r="F1939"/>
    </row>
    <row r="1940" spans="6:6" x14ac:dyDescent="0.25">
      <c r="F1940"/>
    </row>
    <row r="1941" spans="6:6" x14ac:dyDescent="0.25">
      <c r="F1941"/>
    </row>
    <row r="1942" spans="6:6" x14ac:dyDescent="0.25">
      <c r="F1942"/>
    </row>
    <row r="1943" spans="6:6" x14ac:dyDescent="0.25">
      <c r="F1943"/>
    </row>
    <row r="1944" spans="6:6" x14ac:dyDescent="0.25">
      <c r="F1944"/>
    </row>
    <row r="1945" spans="6:6" x14ac:dyDescent="0.25">
      <c r="F1945"/>
    </row>
    <row r="1946" spans="6:6" x14ac:dyDescent="0.25">
      <c r="F1946"/>
    </row>
    <row r="1947" spans="6:6" x14ac:dyDescent="0.25">
      <c r="F1947"/>
    </row>
    <row r="1948" spans="6:6" x14ac:dyDescent="0.25">
      <c r="F1948"/>
    </row>
    <row r="1949" spans="6:6" x14ac:dyDescent="0.25">
      <c r="F1949"/>
    </row>
    <row r="1950" spans="6:6" x14ac:dyDescent="0.25">
      <c r="F1950"/>
    </row>
    <row r="1951" spans="6:6" x14ac:dyDescent="0.25">
      <c r="F1951"/>
    </row>
    <row r="1952" spans="6:6" x14ac:dyDescent="0.25">
      <c r="F1952"/>
    </row>
    <row r="1953" spans="6:6" x14ac:dyDescent="0.25">
      <c r="F1953"/>
    </row>
    <row r="1954" spans="6:6" x14ac:dyDescent="0.25">
      <c r="F1954"/>
    </row>
    <row r="1955" spans="6:6" x14ac:dyDescent="0.25">
      <c r="F1955"/>
    </row>
    <row r="1956" spans="6:6" x14ac:dyDescent="0.25">
      <c r="F1956"/>
    </row>
    <row r="1957" spans="6:6" x14ac:dyDescent="0.25">
      <c r="F1957"/>
    </row>
    <row r="1958" spans="6:6" x14ac:dyDescent="0.25">
      <c r="F1958"/>
    </row>
    <row r="1959" spans="6:6" x14ac:dyDescent="0.25">
      <c r="F1959"/>
    </row>
    <row r="1960" spans="6:6" x14ac:dyDescent="0.25">
      <c r="F1960"/>
    </row>
    <row r="1961" spans="6:6" x14ac:dyDescent="0.25">
      <c r="F1961"/>
    </row>
    <row r="1962" spans="6:6" x14ac:dyDescent="0.25">
      <c r="F1962"/>
    </row>
    <row r="1963" spans="6:6" x14ac:dyDescent="0.25">
      <c r="F1963"/>
    </row>
    <row r="1964" spans="6:6" x14ac:dyDescent="0.25">
      <c r="F1964"/>
    </row>
    <row r="1965" spans="6:6" x14ac:dyDescent="0.25">
      <c r="F1965"/>
    </row>
    <row r="1966" spans="6:6" x14ac:dyDescent="0.25">
      <c r="F1966"/>
    </row>
    <row r="1967" spans="6:6" x14ac:dyDescent="0.25">
      <c r="F1967"/>
    </row>
    <row r="1968" spans="6:6" x14ac:dyDescent="0.25">
      <c r="F1968"/>
    </row>
    <row r="1969" spans="6:6" x14ac:dyDescent="0.25">
      <c r="F1969"/>
    </row>
    <row r="1970" spans="6:6" x14ac:dyDescent="0.25">
      <c r="F1970"/>
    </row>
    <row r="1971" spans="6:6" x14ac:dyDescent="0.25">
      <c r="F1971"/>
    </row>
    <row r="1972" spans="6:6" x14ac:dyDescent="0.25">
      <c r="F1972"/>
    </row>
    <row r="1973" spans="6:6" x14ac:dyDescent="0.25">
      <c r="F1973"/>
    </row>
    <row r="1974" spans="6:6" x14ac:dyDescent="0.25">
      <c r="F1974"/>
    </row>
    <row r="1975" spans="6:6" x14ac:dyDescent="0.25">
      <c r="F1975"/>
    </row>
    <row r="1976" spans="6:6" x14ac:dyDescent="0.25">
      <c r="F1976"/>
    </row>
    <row r="1977" spans="6:6" x14ac:dyDescent="0.25">
      <c r="F1977"/>
    </row>
    <row r="1978" spans="6:6" x14ac:dyDescent="0.25">
      <c r="F1978"/>
    </row>
    <row r="1979" spans="6:6" x14ac:dyDescent="0.25">
      <c r="F1979"/>
    </row>
    <row r="1980" spans="6:6" x14ac:dyDescent="0.25">
      <c r="F1980"/>
    </row>
    <row r="1981" spans="6:6" x14ac:dyDescent="0.25">
      <c r="F1981"/>
    </row>
    <row r="1982" spans="6:6" x14ac:dyDescent="0.25">
      <c r="F1982"/>
    </row>
    <row r="1983" spans="6:6" x14ac:dyDescent="0.25">
      <c r="F1983"/>
    </row>
    <row r="1984" spans="6:6" x14ac:dyDescent="0.25">
      <c r="F1984"/>
    </row>
    <row r="1985" spans="6:6" x14ac:dyDescent="0.25">
      <c r="F1985"/>
    </row>
    <row r="1986" spans="6:6" x14ac:dyDescent="0.25">
      <c r="F1986"/>
    </row>
    <row r="1987" spans="6:6" x14ac:dyDescent="0.25">
      <c r="F1987"/>
    </row>
    <row r="1988" spans="6:6" x14ac:dyDescent="0.25">
      <c r="F1988"/>
    </row>
    <row r="1989" spans="6:6" x14ac:dyDescent="0.25">
      <c r="F1989"/>
    </row>
    <row r="1990" spans="6:6" x14ac:dyDescent="0.25">
      <c r="F1990"/>
    </row>
    <row r="1991" spans="6:6" x14ac:dyDescent="0.25">
      <c r="F1991"/>
    </row>
    <row r="1992" spans="6:6" x14ac:dyDescent="0.25">
      <c r="F1992"/>
    </row>
    <row r="1993" spans="6:6" x14ac:dyDescent="0.25">
      <c r="F1993"/>
    </row>
    <row r="1994" spans="6:6" x14ac:dyDescent="0.25">
      <c r="F1994"/>
    </row>
    <row r="1995" spans="6:6" x14ac:dyDescent="0.25">
      <c r="F1995"/>
    </row>
    <row r="1996" spans="6:6" x14ac:dyDescent="0.25">
      <c r="F1996"/>
    </row>
    <row r="1997" spans="6:6" x14ac:dyDescent="0.25">
      <c r="F1997"/>
    </row>
    <row r="1998" spans="6:6" x14ac:dyDescent="0.25">
      <c r="F1998"/>
    </row>
    <row r="1999" spans="6:6" x14ac:dyDescent="0.25">
      <c r="F1999"/>
    </row>
    <row r="2000" spans="6:6" x14ac:dyDescent="0.25">
      <c r="F2000"/>
    </row>
    <row r="2001" spans="6:6" x14ac:dyDescent="0.25">
      <c r="F2001"/>
    </row>
    <row r="2002" spans="6:6" x14ac:dyDescent="0.25">
      <c r="F2002"/>
    </row>
    <row r="2003" spans="6:6" x14ac:dyDescent="0.25">
      <c r="F2003"/>
    </row>
    <row r="2004" spans="6:6" x14ac:dyDescent="0.25">
      <c r="F2004"/>
    </row>
    <row r="2005" spans="6:6" x14ac:dyDescent="0.25">
      <c r="F2005"/>
    </row>
    <row r="2006" spans="6:6" x14ac:dyDescent="0.25">
      <c r="F2006"/>
    </row>
    <row r="2007" spans="6:6" x14ac:dyDescent="0.25">
      <c r="F2007"/>
    </row>
    <row r="2008" spans="6:6" x14ac:dyDescent="0.25">
      <c r="F2008"/>
    </row>
    <row r="2009" spans="6:6" x14ac:dyDescent="0.25">
      <c r="F2009"/>
    </row>
    <row r="2010" spans="6:6" x14ac:dyDescent="0.25">
      <c r="F2010"/>
    </row>
    <row r="2011" spans="6:6" x14ac:dyDescent="0.25">
      <c r="F2011"/>
    </row>
    <row r="2012" spans="6:6" x14ac:dyDescent="0.25">
      <c r="F2012"/>
    </row>
    <row r="2013" spans="6:6" x14ac:dyDescent="0.25">
      <c r="F2013"/>
    </row>
    <row r="2014" spans="6:6" x14ac:dyDescent="0.25">
      <c r="F2014"/>
    </row>
    <row r="2015" spans="6:6" x14ac:dyDescent="0.25">
      <c r="F2015"/>
    </row>
    <row r="2016" spans="6:6" x14ac:dyDescent="0.25">
      <c r="F2016"/>
    </row>
    <row r="2017" spans="6:6" x14ac:dyDescent="0.25">
      <c r="F2017"/>
    </row>
    <row r="2018" spans="6:6" x14ac:dyDescent="0.25">
      <c r="F2018"/>
    </row>
    <row r="2019" spans="6:6" x14ac:dyDescent="0.25">
      <c r="F2019"/>
    </row>
    <row r="2020" spans="6:6" x14ac:dyDescent="0.25">
      <c r="F2020"/>
    </row>
    <row r="2021" spans="6:6" x14ac:dyDescent="0.25">
      <c r="F2021"/>
    </row>
    <row r="2022" spans="6:6" x14ac:dyDescent="0.25">
      <c r="F2022"/>
    </row>
    <row r="2023" spans="6:6" x14ac:dyDescent="0.25">
      <c r="F2023"/>
    </row>
    <row r="2024" spans="6:6" x14ac:dyDescent="0.25">
      <c r="F2024"/>
    </row>
    <row r="2025" spans="6:6" x14ac:dyDescent="0.25">
      <c r="F2025"/>
    </row>
    <row r="2026" spans="6:6" x14ac:dyDescent="0.25">
      <c r="F2026"/>
    </row>
    <row r="2027" spans="6:6" x14ac:dyDescent="0.25">
      <c r="F2027"/>
    </row>
    <row r="2028" spans="6:6" x14ac:dyDescent="0.25">
      <c r="F2028"/>
    </row>
    <row r="2029" spans="6:6" x14ac:dyDescent="0.25">
      <c r="F2029"/>
    </row>
    <row r="2030" spans="6:6" x14ac:dyDescent="0.25">
      <c r="F2030"/>
    </row>
    <row r="2031" spans="6:6" x14ac:dyDescent="0.25">
      <c r="F2031"/>
    </row>
    <row r="2032" spans="6:6" x14ac:dyDescent="0.25">
      <c r="F2032"/>
    </row>
    <row r="2033" spans="6:6" x14ac:dyDescent="0.25">
      <c r="F2033"/>
    </row>
    <row r="2034" spans="6:6" x14ac:dyDescent="0.25">
      <c r="F2034"/>
    </row>
    <row r="2035" spans="6:6" x14ac:dyDescent="0.25">
      <c r="F2035"/>
    </row>
    <row r="2036" spans="6:6" x14ac:dyDescent="0.25">
      <c r="F2036"/>
    </row>
    <row r="2037" spans="6:6" x14ac:dyDescent="0.25">
      <c r="F2037"/>
    </row>
    <row r="2038" spans="6:6" x14ac:dyDescent="0.25">
      <c r="F2038"/>
    </row>
    <row r="2039" spans="6:6" x14ac:dyDescent="0.25">
      <c r="F2039"/>
    </row>
    <row r="2040" spans="6:6" x14ac:dyDescent="0.25">
      <c r="F2040"/>
    </row>
    <row r="2041" spans="6:6" x14ac:dyDescent="0.25">
      <c r="F2041"/>
    </row>
    <row r="2042" spans="6:6" x14ac:dyDescent="0.25">
      <c r="F2042"/>
    </row>
    <row r="2043" spans="6:6" x14ac:dyDescent="0.25">
      <c r="F2043"/>
    </row>
    <row r="2044" spans="6:6" x14ac:dyDescent="0.25">
      <c r="F2044"/>
    </row>
    <row r="2045" spans="6:6" x14ac:dyDescent="0.25">
      <c r="F2045"/>
    </row>
    <row r="2046" spans="6:6" x14ac:dyDescent="0.25">
      <c r="F2046"/>
    </row>
    <row r="2047" spans="6:6" x14ac:dyDescent="0.25">
      <c r="F2047"/>
    </row>
    <row r="2048" spans="6:6" x14ac:dyDescent="0.25">
      <c r="F2048"/>
    </row>
    <row r="2049" spans="6:6" x14ac:dyDescent="0.25">
      <c r="F2049"/>
    </row>
    <row r="2050" spans="6:6" x14ac:dyDescent="0.25">
      <c r="F2050"/>
    </row>
    <row r="2051" spans="6:6" x14ac:dyDescent="0.25">
      <c r="F2051"/>
    </row>
    <row r="2052" spans="6:6" x14ac:dyDescent="0.25">
      <c r="F2052"/>
    </row>
    <row r="2053" spans="6:6" x14ac:dyDescent="0.25">
      <c r="F2053"/>
    </row>
    <row r="2054" spans="6:6" x14ac:dyDescent="0.25">
      <c r="F2054"/>
    </row>
    <row r="2055" spans="6:6" x14ac:dyDescent="0.25">
      <c r="F2055"/>
    </row>
    <row r="2056" spans="6:6" x14ac:dyDescent="0.25">
      <c r="F2056"/>
    </row>
    <row r="2057" spans="6:6" x14ac:dyDescent="0.25">
      <c r="F2057"/>
    </row>
    <row r="2058" spans="6:6" x14ac:dyDescent="0.25">
      <c r="F2058"/>
    </row>
    <row r="2059" spans="6:6" x14ac:dyDescent="0.25">
      <c r="F2059"/>
    </row>
    <row r="2060" spans="6:6" x14ac:dyDescent="0.25">
      <c r="F2060"/>
    </row>
    <row r="2061" spans="6:6" x14ac:dyDescent="0.25">
      <c r="F2061"/>
    </row>
    <row r="2062" spans="6:6" x14ac:dyDescent="0.25">
      <c r="F2062"/>
    </row>
    <row r="2063" spans="6:6" x14ac:dyDescent="0.25">
      <c r="F2063"/>
    </row>
    <row r="2064" spans="6:6" x14ac:dyDescent="0.25">
      <c r="F2064"/>
    </row>
    <row r="2065" spans="6:6" x14ac:dyDescent="0.25">
      <c r="F2065"/>
    </row>
    <row r="2066" spans="6:6" x14ac:dyDescent="0.25">
      <c r="F2066"/>
    </row>
    <row r="2067" spans="6:6" x14ac:dyDescent="0.25">
      <c r="F2067"/>
    </row>
    <row r="2068" spans="6:6" x14ac:dyDescent="0.25">
      <c r="F2068"/>
    </row>
    <row r="2069" spans="6:6" x14ac:dyDescent="0.25">
      <c r="F2069"/>
    </row>
    <row r="2070" spans="6:6" x14ac:dyDescent="0.25">
      <c r="F2070"/>
    </row>
    <row r="2071" spans="6:6" x14ac:dyDescent="0.25">
      <c r="F2071"/>
    </row>
    <row r="2072" spans="6:6" x14ac:dyDescent="0.25">
      <c r="F2072"/>
    </row>
    <row r="2073" spans="6:6" x14ac:dyDescent="0.25">
      <c r="F2073"/>
    </row>
    <row r="2074" spans="6:6" x14ac:dyDescent="0.25">
      <c r="F2074"/>
    </row>
    <row r="2075" spans="6:6" x14ac:dyDescent="0.25">
      <c r="F2075"/>
    </row>
    <row r="2076" spans="6:6" x14ac:dyDescent="0.25">
      <c r="F2076"/>
    </row>
    <row r="2077" spans="6:6" x14ac:dyDescent="0.25">
      <c r="F2077"/>
    </row>
    <row r="2078" spans="6:6" x14ac:dyDescent="0.25">
      <c r="F2078"/>
    </row>
    <row r="2079" spans="6:6" x14ac:dyDescent="0.25">
      <c r="F2079"/>
    </row>
    <row r="2080" spans="6:6" x14ac:dyDescent="0.25">
      <c r="F2080"/>
    </row>
    <row r="2081" spans="6:6" x14ac:dyDescent="0.25">
      <c r="F2081"/>
    </row>
    <row r="2082" spans="6:6" x14ac:dyDescent="0.25">
      <c r="F2082"/>
    </row>
    <row r="2083" spans="6:6" x14ac:dyDescent="0.25">
      <c r="F2083"/>
    </row>
    <row r="2084" spans="6:6" x14ac:dyDescent="0.25">
      <c r="F2084"/>
    </row>
    <row r="2085" spans="6:6" x14ac:dyDescent="0.25">
      <c r="F2085"/>
    </row>
    <row r="2086" spans="6:6" x14ac:dyDescent="0.25">
      <c r="F2086"/>
    </row>
    <row r="2087" spans="6:6" x14ac:dyDescent="0.25">
      <c r="F2087"/>
    </row>
    <row r="2088" spans="6:6" x14ac:dyDescent="0.25">
      <c r="F2088"/>
    </row>
    <row r="2089" spans="6:6" x14ac:dyDescent="0.25">
      <c r="F2089"/>
    </row>
    <row r="2090" spans="6:6" x14ac:dyDescent="0.25">
      <c r="F2090"/>
    </row>
    <row r="2091" spans="6:6" x14ac:dyDescent="0.25">
      <c r="F2091"/>
    </row>
    <row r="2092" spans="6:6" x14ac:dyDescent="0.25">
      <c r="F2092"/>
    </row>
    <row r="2093" spans="6:6" x14ac:dyDescent="0.25">
      <c r="F2093"/>
    </row>
    <row r="2094" spans="6:6" x14ac:dyDescent="0.25">
      <c r="F2094"/>
    </row>
    <row r="2095" spans="6:6" x14ac:dyDescent="0.25">
      <c r="F2095"/>
    </row>
    <row r="2096" spans="6:6" x14ac:dyDescent="0.25">
      <c r="F2096"/>
    </row>
    <row r="2097" spans="6:6" x14ac:dyDescent="0.25">
      <c r="F2097"/>
    </row>
    <row r="2098" spans="6:6" x14ac:dyDescent="0.25">
      <c r="F2098"/>
    </row>
    <row r="2099" spans="6:6" x14ac:dyDescent="0.25">
      <c r="F2099"/>
    </row>
    <row r="2100" spans="6:6" x14ac:dyDescent="0.25">
      <c r="F2100"/>
    </row>
    <row r="2101" spans="6:6" x14ac:dyDescent="0.25">
      <c r="F2101"/>
    </row>
    <row r="2102" spans="6:6" x14ac:dyDescent="0.25">
      <c r="F2102"/>
    </row>
    <row r="2103" spans="6:6" x14ac:dyDescent="0.25">
      <c r="F2103"/>
    </row>
    <row r="2104" spans="6:6" x14ac:dyDescent="0.25">
      <c r="F2104"/>
    </row>
    <row r="2105" spans="6:6" x14ac:dyDescent="0.25">
      <c r="F2105"/>
    </row>
    <row r="2106" spans="6:6" x14ac:dyDescent="0.25">
      <c r="F2106"/>
    </row>
    <row r="2107" spans="6:6" x14ac:dyDescent="0.25">
      <c r="F2107"/>
    </row>
    <row r="2108" spans="6:6" x14ac:dyDescent="0.25">
      <c r="F2108"/>
    </row>
    <row r="2109" spans="6:6" x14ac:dyDescent="0.25">
      <c r="F2109"/>
    </row>
    <row r="2110" spans="6:6" x14ac:dyDescent="0.25">
      <c r="F2110"/>
    </row>
    <row r="2111" spans="6:6" x14ac:dyDescent="0.25">
      <c r="F2111"/>
    </row>
    <row r="2112" spans="6:6" x14ac:dyDescent="0.25">
      <c r="F2112"/>
    </row>
    <row r="2113" spans="6:6" x14ac:dyDescent="0.25">
      <c r="F2113"/>
    </row>
    <row r="2114" spans="6:6" x14ac:dyDescent="0.25">
      <c r="F2114"/>
    </row>
    <row r="2115" spans="6:6" x14ac:dyDescent="0.25">
      <c r="F2115"/>
    </row>
    <row r="2116" spans="6:6" x14ac:dyDescent="0.25">
      <c r="F2116"/>
    </row>
    <row r="2117" spans="6:6" x14ac:dyDescent="0.25">
      <c r="F2117"/>
    </row>
    <row r="2118" spans="6:6" x14ac:dyDescent="0.25">
      <c r="F2118"/>
    </row>
    <row r="2119" spans="6:6" x14ac:dyDescent="0.25">
      <c r="F2119"/>
    </row>
    <row r="2120" spans="6:6" x14ac:dyDescent="0.25">
      <c r="F2120"/>
    </row>
    <row r="2121" spans="6:6" x14ac:dyDescent="0.25">
      <c r="F2121"/>
    </row>
    <row r="2122" spans="6:6" x14ac:dyDescent="0.25">
      <c r="F2122"/>
    </row>
    <row r="2123" spans="6:6" x14ac:dyDescent="0.25">
      <c r="F2123"/>
    </row>
    <row r="2124" spans="6:6" x14ac:dyDescent="0.25">
      <c r="F2124"/>
    </row>
    <row r="2125" spans="6:6" x14ac:dyDescent="0.25">
      <c r="F2125"/>
    </row>
    <row r="2126" spans="6:6" x14ac:dyDescent="0.25">
      <c r="F2126"/>
    </row>
    <row r="2127" spans="6:6" x14ac:dyDescent="0.25">
      <c r="F2127"/>
    </row>
    <row r="2128" spans="6:6" x14ac:dyDescent="0.25">
      <c r="F2128"/>
    </row>
    <row r="2129" spans="6:6" x14ac:dyDescent="0.25">
      <c r="F2129"/>
    </row>
    <row r="2130" spans="6:6" x14ac:dyDescent="0.25">
      <c r="F2130"/>
    </row>
    <row r="2131" spans="6:6" x14ac:dyDescent="0.25">
      <c r="F2131"/>
    </row>
    <row r="2132" spans="6:6" x14ac:dyDescent="0.25">
      <c r="F2132"/>
    </row>
    <row r="2133" spans="6:6" x14ac:dyDescent="0.25">
      <c r="F2133"/>
    </row>
    <row r="2134" spans="6:6" x14ac:dyDescent="0.25">
      <c r="F2134"/>
    </row>
    <row r="2135" spans="6:6" x14ac:dyDescent="0.25">
      <c r="F2135"/>
    </row>
    <row r="2136" spans="6:6" x14ac:dyDescent="0.25">
      <c r="F2136"/>
    </row>
    <row r="2137" spans="6:6" x14ac:dyDescent="0.25">
      <c r="F2137"/>
    </row>
    <row r="2138" spans="6:6" x14ac:dyDescent="0.25">
      <c r="F2138"/>
    </row>
    <row r="2139" spans="6:6" x14ac:dyDescent="0.25">
      <c r="F2139"/>
    </row>
    <row r="2140" spans="6:6" x14ac:dyDescent="0.25">
      <c r="F2140"/>
    </row>
    <row r="2141" spans="6:6" x14ac:dyDescent="0.25">
      <c r="F2141"/>
    </row>
    <row r="2142" spans="6:6" x14ac:dyDescent="0.25">
      <c r="F2142"/>
    </row>
    <row r="2143" spans="6:6" x14ac:dyDescent="0.25">
      <c r="F2143"/>
    </row>
    <row r="2144" spans="6:6" x14ac:dyDescent="0.25">
      <c r="F2144"/>
    </row>
    <row r="2145" spans="6:6" x14ac:dyDescent="0.25">
      <c r="F2145"/>
    </row>
    <row r="2146" spans="6:6" x14ac:dyDescent="0.25">
      <c r="F2146"/>
    </row>
    <row r="2147" spans="6:6" x14ac:dyDescent="0.25">
      <c r="F2147"/>
    </row>
    <row r="2148" spans="6:6" x14ac:dyDescent="0.25">
      <c r="F2148"/>
    </row>
    <row r="2149" spans="6:6" x14ac:dyDescent="0.25">
      <c r="F2149"/>
    </row>
    <row r="2150" spans="6:6" x14ac:dyDescent="0.25">
      <c r="F2150"/>
    </row>
    <row r="2151" spans="6:6" x14ac:dyDescent="0.25">
      <c r="F2151"/>
    </row>
    <row r="2152" spans="6:6" x14ac:dyDescent="0.25">
      <c r="F2152"/>
    </row>
    <row r="2153" spans="6:6" x14ac:dyDescent="0.25">
      <c r="F2153"/>
    </row>
    <row r="2154" spans="6:6" x14ac:dyDescent="0.25">
      <c r="F2154"/>
    </row>
    <row r="2155" spans="6:6" x14ac:dyDescent="0.25">
      <c r="F2155"/>
    </row>
    <row r="2156" spans="6:6" x14ac:dyDescent="0.25">
      <c r="F2156"/>
    </row>
    <row r="2157" spans="6:6" x14ac:dyDescent="0.25">
      <c r="F2157"/>
    </row>
    <row r="2158" spans="6:6" x14ac:dyDescent="0.25">
      <c r="F2158"/>
    </row>
    <row r="2159" spans="6:6" x14ac:dyDescent="0.25">
      <c r="F2159"/>
    </row>
    <row r="2160" spans="6:6" x14ac:dyDescent="0.25">
      <c r="F2160"/>
    </row>
    <row r="2161" spans="6:6" x14ac:dyDescent="0.25">
      <c r="F2161"/>
    </row>
    <row r="2162" spans="6:6" x14ac:dyDescent="0.25">
      <c r="F2162"/>
    </row>
    <row r="2163" spans="6:6" x14ac:dyDescent="0.25">
      <c r="F2163"/>
    </row>
    <row r="2164" spans="6:6" x14ac:dyDescent="0.25">
      <c r="F2164"/>
    </row>
    <row r="2165" spans="6:6" x14ac:dyDescent="0.25">
      <c r="F2165"/>
    </row>
    <row r="2166" spans="6:6" x14ac:dyDescent="0.25">
      <c r="F2166"/>
    </row>
    <row r="2167" spans="6:6" x14ac:dyDescent="0.25">
      <c r="F2167"/>
    </row>
    <row r="2168" spans="6:6" x14ac:dyDescent="0.25">
      <c r="F2168"/>
    </row>
    <row r="2169" spans="6:6" x14ac:dyDescent="0.25">
      <c r="F2169"/>
    </row>
    <row r="2170" spans="6:6" x14ac:dyDescent="0.25">
      <c r="F2170"/>
    </row>
    <row r="2171" spans="6:6" x14ac:dyDescent="0.25">
      <c r="F2171"/>
    </row>
    <row r="2172" spans="6:6" x14ac:dyDescent="0.25">
      <c r="F2172"/>
    </row>
    <row r="2173" spans="6:6" x14ac:dyDescent="0.25">
      <c r="F2173"/>
    </row>
    <row r="2174" spans="6:6" x14ac:dyDescent="0.25">
      <c r="F2174"/>
    </row>
    <row r="2175" spans="6:6" x14ac:dyDescent="0.25">
      <c r="F2175"/>
    </row>
    <row r="2176" spans="6:6" x14ac:dyDescent="0.25">
      <c r="F2176"/>
    </row>
    <row r="2177" spans="6:6" x14ac:dyDescent="0.25">
      <c r="F2177"/>
    </row>
    <row r="2178" spans="6:6" x14ac:dyDescent="0.25">
      <c r="F2178"/>
    </row>
    <row r="2179" spans="6:6" x14ac:dyDescent="0.25">
      <c r="F2179"/>
    </row>
    <row r="2180" spans="6:6" x14ac:dyDescent="0.25">
      <c r="F2180"/>
    </row>
    <row r="2181" spans="6:6" x14ac:dyDescent="0.25">
      <c r="F2181"/>
    </row>
    <row r="2182" spans="6:6" x14ac:dyDescent="0.25">
      <c r="F2182"/>
    </row>
    <row r="2183" spans="6:6" x14ac:dyDescent="0.25">
      <c r="F2183"/>
    </row>
    <row r="2184" spans="6:6" x14ac:dyDescent="0.25">
      <c r="F2184"/>
    </row>
    <row r="2185" spans="6:6" x14ac:dyDescent="0.25">
      <c r="F2185"/>
    </row>
    <row r="2186" spans="6:6" x14ac:dyDescent="0.25">
      <c r="F2186"/>
    </row>
    <row r="2187" spans="6:6" x14ac:dyDescent="0.25">
      <c r="F2187"/>
    </row>
    <row r="2188" spans="6:6" x14ac:dyDescent="0.25">
      <c r="F2188"/>
    </row>
    <row r="2189" spans="6:6" x14ac:dyDescent="0.25">
      <c r="F2189"/>
    </row>
    <row r="2190" spans="6:6" x14ac:dyDescent="0.25">
      <c r="F2190"/>
    </row>
    <row r="2191" spans="6:6" x14ac:dyDescent="0.25">
      <c r="F2191"/>
    </row>
    <row r="2192" spans="6:6" x14ac:dyDescent="0.25">
      <c r="F2192"/>
    </row>
    <row r="2193" spans="6:6" x14ac:dyDescent="0.25">
      <c r="F2193"/>
    </row>
    <row r="2194" spans="6:6" x14ac:dyDescent="0.25">
      <c r="F2194"/>
    </row>
    <row r="2195" spans="6:6" x14ac:dyDescent="0.25">
      <c r="F2195"/>
    </row>
    <row r="2196" spans="6:6" x14ac:dyDescent="0.25">
      <c r="F2196"/>
    </row>
    <row r="2197" spans="6:6" x14ac:dyDescent="0.25">
      <c r="F2197"/>
    </row>
    <row r="2198" spans="6:6" x14ac:dyDescent="0.25">
      <c r="F2198"/>
    </row>
    <row r="2199" spans="6:6" x14ac:dyDescent="0.25">
      <c r="F2199"/>
    </row>
    <row r="2200" spans="6:6" x14ac:dyDescent="0.25">
      <c r="F2200"/>
    </row>
    <row r="2201" spans="6:6" x14ac:dyDescent="0.25">
      <c r="F2201"/>
    </row>
    <row r="2202" spans="6:6" x14ac:dyDescent="0.25">
      <c r="F2202"/>
    </row>
    <row r="2203" spans="6:6" x14ac:dyDescent="0.25">
      <c r="F2203"/>
    </row>
    <row r="2204" spans="6:6" x14ac:dyDescent="0.25">
      <c r="F2204"/>
    </row>
    <row r="2205" spans="6:6" x14ac:dyDescent="0.25">
      <c r="F2205"/>
    </row>
    <row r="2206" spans="6:6" x14ac:dyDescent="0.25">
      <c r="F2206"/>
    </row>
    <row r="2207" spans="6:6" x14ac:dyDescent="0.25">
      <c r="F2207"/>
    </row>
    <row r="2208" spans="6:6" x14ac:dyDescent="0.25">
      <c r="F2208"/>
    </row>
    <row r="2209" spans="6:6" x14ac:dyDescent="0.25">
      <c r="F2209"/>
    </row>
    <row r="2210" spans="6:6" x14ac:dyDescent="0.25">
      <c r="F2210"/>
    </row>
    <row r="2211" spans="6:6" x14ac:dyDescent="0.25">
      <c r="F2211"/>
    </row>
    <row r="2212" spans="6:6" x14ac:dyDescent="0.25">
      <c r="F2212"/>
    </row>
    <row r="2213" spans="6:6" x14ac:dyDescent="0.25">
      <c r="F2213"/>
    </row>
    <row r="2214" spans="6:6" x14ac:dyDescent="0.25">
      <c r="F2214"/>
    </row>
    <row r="2215" spans="6:6" x14ac:dyDescent="0.25">
      <c r="F2215"/>
    </row>
    <row r="2216" spans="6:6" x14ac:dyDescent="0.25">
      <c r="F2216"/>
    </row>
    <row r="2217" spans="6:6" x14ac:dyDescent="0.25">
      <c r="F2217"/>
    </row>
    <row r="2218" spans="6:6" x14ac:dyDescent="0.25">
      <c r="F2218"/>
    </row>
    <row r="2219" spans="6:6" x14ac:dyDescent="0.25">
      <c r="F2219"/>
    </row>
    <row r="2220" spans="6:6" x14ac:dyDescent="0.25">
      <c r="F2220"/>
    </row>
    <row r="2221" spans="6:6" x14ac:dyDescent="0.25">
      <c r="F2221"/>
    </row>
    <row r="2222" spans="6:6" x14ac:dyDescent="0.25">
      <c r="F2222"/>
    </row>
    <row r="2223" spans="6:6" x14ac:dyDescent="0.25">
      <c r="F2223"/>
    </row>
    <row r="2224" spans="6:6" x14ac:dyDescent="0.25">
      <c r="F2224"/>
    </row>
    <row r="2225" spans="6:6" x14ac:dyDescent="0.25">
      <c r="F2225"/>
    </row>
    <row r="2226" spans="6:6" x14ac:dyDescent="0.25">
      <c r="F2226"/>
    </row>
    <row r="2227" spans="6:6" x14ac:dyDescent="0.25">
      <c r="F2227"/>
    </row>
    <row r="2228" spans="6:6" x14ac:dyDescent="0.25">
      <c r="F2228"/>
    </row>
    <row r="2229" spans="6:6" x14ac:dyDescent="0.25">
      <c r="F2229"/>
    </row>
    <row r="2230" spans="6:6" x14ac:dyDescent="0.25">
      <c r="F2230"/>
    </row>
    <row r="2231" spans="6:6" x14ac:dyDescent="0.25">
      <c r="F2231"/>
    </row>
    <row r="2232" spans="6:6" x14ac:dyDescent="0.25">
      <c r="F2232"/>
    </row>
    <row r="2233" spans="6:6" x14ac:dyDescent="0.25">
      <c r="F2233"/>
    </row>
    <row r="2234" spans="6:6" x14ac:dyDescent="0.25">
      <c r="F2234"/>
    </row>
    <row r="2235" spans="6:6" x14ac:dyDescent="0.25">
      <c r="F2235"/>
    </row>
    <row r="2236" spans="6:6" x14ac:dyDescent="0.25">
      <c r="F2236"/>
    </row>
    <row r="2237" spans="6:6" x14ac:dyDescent="0.25">
      <c r="F2237"/>
    </row>
    <row r="2238" spans="6:6" x14ac:dyDescent="0.25">
      <c r="F2238"/>
    </row>
    <row r="2239" spans="6:6" x14ac:dyDescent="0.25">
      <c r="F2239"/>
    </row>
    <row r="2240" spans="6:6" x14ac:dyDescent="0.25">
      <c r="F2240"/>
    </row>
    <row r="2241" spans="6:6" x14ac:dyDescent="0.25">
      <c r="F2241"/>
    </row>
    <row r="2242" spans="6:6" x14ac:dyDescent="0.25">
      <c r="F2242"/>
    </row>
    <row r="2243" spans="6:6" x14ac:dyDescent="0.25">
      <c r="F2243"/>
    </row>
    <row r="2244" spans="6:6" x14ac:dyDescent="0.25">
      <c r="F2244"/>
    </row>
    <row r="2245" spans="6:6" x14ac:dyDescent="0.25">
      <c r="F2245"/>
    </row>
    <row r="2246" spans="6:6" x14ac:dyDescent="0.25">
      <c r="F2246"/>
    </row>
    <row r="2247" spans="6:6" x14ac:dyDescent="0.25">
      <c r="F2247"/>
    </row>
    <row r="2248" spans="6:6" x14ac:dyDescent="0.25">
      <c r="F2248"/>
    </row>
    <row r="2249" spans="6:6" x14ac:dyDescent="0.25">
      <c r="F2249"/>
    </row>
    <row r="2250" spans="6:6" x14ac:dyDescent="0.25">
      <c r="F2250"/>
    </row>
    <row r="2251" spans="6:6" x14ac:dyDescent="0.25">
      <c r="F2251"/>
    </row>
    <row r="2252" spans="6:6" x14ac:dyDescent="0.25">
      <c r="F2252"/>
    </row>
    <row r="2253" spans="6:6" x14ac:dyDescent="0.25">
      <c r="F2253"/>
    </row>
    <row r="2254" spans="6:6" x14ac:dyDescent="0.25">
      <c r="F2254"/>
    </row>
    <row r="2255" spans="6:6" x14ac:dyDescent="0.25">
      <c r="F2255"/>
    </row>
    <row r="2256" spans="6:6" x14ac:dyDescent="0.25">
      <c r="F2256"/>
    </row>
    <row r="2257" spans="6:6" x14ac:dyDescent="0.25">
      <c r="F2257"/>
    </row>
    <row r="2258" spans="6:6" x14ac:dyDescent="0.25">
      <c r="F2258"/>
    </row>
    <row r="2259" spans="6:6" x14ac:dyDescent="0.25">
      <c r="F2259"/>
    </row>
    <row r="2260" spans="6:6" x14ac:dyDescent="0.25">
      <c r="F2260"/>
    </row>
    <row r="2261" spans="6:6" x14ac:dyDescent="0.25">
      <c r="F2261"/>
    </row>
    <row r="2262" spans="6:6" x14ac:dyDescent="0.25">
      <c r="F2262"/>
    </row>
    <row r="2263" spans="6:6" x14ac:dyDescent="0.25">
      <c r="F2263"/>
    </row>
    <row r="2264" spans="6:6" x14ac:dyDescent="0.25">
      <c r="F2264"/>
    </row>
    <row r="2265" spans="6:6" x14ac:dyDescent="0.25">
      <c r="F2265"/>
    </row>
    <row r="2266" spans="6:6" x14ac:dyDescent="0.25">
      <c r="F2266"/>
    </row>
    <row r="2267" spans="6:6" x14ac:dyDescent="0.25">
      <c r="F2267"/>
    </row>
    <row r="2268" spans="6:6" x14ac:dyDescent="0.25">
      <c r="F2268"/>
    </row>
    <row r="2269" spans="6:6" x14ac:dyDescent="0.25">
      <c r="F2269"/>
    </row>
    <row r="2270" spans="6:6" x14ac:dyDescent="0.25">
      <c r="F2270"/>
    </row>
    <row r="2271" spans="6:6" x14ac:dyDescent="0.25">
      <c r="F2271"/>
    </row>
    <row r="2272" spans="6:6" x14ac:dyDescent="0.25">
      <c r="F2272"/>
    </row>
    <row r="2273" spans="6:6" x14ac:dyDescent="0.25">
      <c r="F2273"/>
    </row>
    <row r="2274" spans="6:6" x14ac:dyDescent="0.25">
      <c r="F2274"/>
    </row>
    <row r="2275" spans="6:6" x14ac:dyDescent="0.25">
      <c r="F2275"/>
    </row>
    <row r="2276" spans="6:6" x14ac:dyDescent="0.25">
      <c r="F2276"/>
    </row>
    <row r="2277" spans="6:6" x14ac:dyDescent="0.25">
      <c r="F2277"/>
    </row>
    <row r="2278" spans="6:6" x14ac:dyDescent="0.25">
      <c r="F2278"/>
    </row>
    <row r="2279" spans="6:6" x14ac:dyDescent="0.25">
      <c r="F2279"/>
    </row>
    <row r="2280" spans="6:6" x14ac:dyDescent="0.25">
      <c r="F2280"/>
    </row>
    <row r="2281" spans="6:6" x14ac:dyDescent="0.25">
      <c r="F2281"/>
    </row>
    <row r="2282" spans="6:6" x14ac:dyDescent="0.25">
      <c r="F2282"/>
    </row>
    <row r="2283" spans="6:6" x14ac:dyDescent="0.25">
      <c r="F2283"/>
    </row>
    <row r="2284" spans="6:6" x14ac:dyDescent="0.25">
      <c r="F2284"/>
    </row>
    <row r="2285" spans="6:6" x14ac:dyDescent="0.25">
      <c r="F2285"/>
    </row>
    <row r="2286" spans="6:6" x14ac:dyDescent="0.25">
      <c r="F2286"/>
    </row>
    <row r="2287" spans="6:6" x14ac:dyDescent="0.25">
      <c r="F2287"/>
    </row>
    <row r="2288" spans="6:6" x14ac:dyDescent="0.25">
      <c r="F2288"/>
    </row>
    <row r="2289" spans="6:6" x14ac:dyDescent="0.25">
      <c r="F2289"/>
    </row>
    <row r="2290" spans="6:6" x14ac:dyDescent="0.25">
      <c r="F2290"/>
    </row>
    <row r="2291" spans="6:6" x14ac:dyDescent="0.25">
      <c r="F2291"/>
    </row>
    <row r="2292" spans="6:6" x14ac:dyDescent="0.25">
      <c r="F2292"/>
    </row>
    <row r="2293" spans="6:6" x14ac:dyDescent="0.25">
      <c r="F2293"/>
    </row>
    <row r="2294" spans="6:6" x14ac:dyDescent="0.25">
      <c r="F2294"/>
    </row>
    <row r="2295" spans="6:6" x14ac:dyDescent="0.25">
      <c r="F2295"/>
    </row>
    <row r="2296" spans="6:6" x14ac:dyDescent="0.25">
      <c r="F2296"/>
    </row>
    <row r="2297" spans="6:6" x14ac:dyDescent="0.25">
      <c r="F2297"/>
    </row>
    <row r="2298" spans="6:6" x14ac:dyDescent="0.25">
      <c r="F2298"/>
    </row>
    <row r="2299" spans="6:6" x14ac:dyDescent="0.25">
      <c r="F2299"/>
    </row>
    <row r="2300" spans="6:6" x14ac:dyDescent="0.25">
      <c r="F2300"/>
    </row>
    <row r="2301" spans="6:6" x14ac:dyDescent="0.25">
      <c r="F2301"/>
    </row>
    <row r="2302" spans="6:6" x14ac:dyDescent="0.25">
      <c r="F2302"/>
    </row>
    <row r="2303" spans="6:6" x14ac:dyDescent="0.25">
      <c r="F2303"/>
    </row>
    <row r="2304" spans="6:6" x14ac:dyDescent="0.25">
      <c r="F2304"/>
    </row>
    <row r="2305" spans="6:6" x14ac:dyDescent="0.25">
      <c r="F2305"/>
    </row>
    <row r="2306" spans="6:6" x14ac:dyDescent="0.25">
      <c r="F2306"/>
    </row>
    <row r="2307" spans="6:6" x14ac:dyDescent="0.25">
      <c r="F2307"/>
    </row>
    <row r="2308" spans="6:6" x14ac:dyDescent="0.25">
      <c r="F2308"/>
    </row>
    <row r="2309" spans="6:6" x14ac:dyDescent="0.25">
      <c r="F2309"/>
    </row>
    <row r="2310" spans="6:6" x14ac:dyDescent="0.25">
      <c r="F2310"/>
    </row>
    <row r="2311" spans="6:6" x14ac:dyDescent="0.25">
      <c r="F2311"/>
    </row>
    <row r="2312" spans="6:6" x14ac:dyDescent="0.25">
      <c r="F2312"/>
    </row>
    <row r="2313" spans="6:6" x14ac:dyDescent="0.25">
      <c r="F2313"/>
    </row>
    <row r="2314" spans="6:6" x14ac:dyDescent="0.25">
      <c r="F2314"/>
    </row>
    <row r="2315" spans="6:6" x14ac:dyDescent="0.25">
      <c r="F2315"/>
    </row>
    <row r="2316" spans="6:6" x14ac:dyDescent="0.25">
      <c r="F2316"/>
    </row>
    <row r="2317" spans="6:6" x14ac:dyDescent="0.25">
      <c r="F2317"/>
    </row>
    <row r="2318" spans="6:6" x14ac:dyDescent="0.25">
      <c r="F2318"/>
    </row>
    <row r="2319" spans="6:6" x14ac:dyDescent="0.25">
      <c r="F2319"/>
    </row>
    <row r="2320" spans="6:6" x14ac:dyDescent="0.25">
      <c r="F2320"/>
    </row>
    <row r="2321" spans="6:6" x14ac:dyDescent="0.25">
      <c r="F2321"/>
    </row>
    <row r="2322" spans="6:6" x14ac:dyDescent="0.25">
      <c r="F2322"/>
    </row>
    <row r="2323" spans="6:6" x14ac:dyDescent="0.25">
      <c r="F2323"/>
    </row>
    <row r="2324" spans="6:6" x14ac:dyDescent="0.25">
      <c r="F2324"/>
    </row>
    <row r="2325" spans="6:6" x14ac:dyDescent="0.25">
      <c r="F2325"/>
    </row>
    <row r="2326" spans="6:6" x14ac:dyDescent="0.25">
      <c r="F2326"/>
    </row>
    <row r="2327" spans="6:6" x14ac:dyDescent="0.25">
      <c r="F2327"/>
    </row>
    <row r="2328" spans="6:6" x14ac:dyDescent="0.25">
      <c r="F2328"/>
    </row>
    <row r="2329" spans="6:6" x14ac:dyDescent="0.25">
      <c r="F2329"/>
    </row>
    <row r="2330" spans="6:6" x14ac:dyDescent="0.25">
      <c r="F2330"/>
    </row>
    <row r="2331" spans="6:6" x14ac:dyDescent="0.25">
      <c r="F2331"/>
    </row>
    <row r="2332" spans="6:6" x14ac:dyDescent="0.25">
      <c r="F2332"/>
    </row>
    <row r="2333" spans="6:6" x14ac:dyDescent="0.25">
      <c r="F2333"/>
    </row>
    <row r="2334" spans="6:6" x14ac:dyDescent="0.25">
      <c r="F2334"/>
    </row>
    <row r="2335" spans="6:6" x14ac:dyDescent="0.25">
      <c r="F2335"/>
    </row>
    <row r="2336" spans="6:6" x14ac:dyDescent="0.25">
      <c r="F2336"/>
    </row>
    <row r="2337" spans="6:6" x14ac:dyDescent="0.25">
      <c r="F2337"/>
    </row>
    <row r="2338" spans="6:6" x14ac:dyDescent="0.25">
      <c r="F2338"/>
    </row>
    <row r="2339" spans="6:6" x14ac:dyDescent="0.25">
      <c r="F2339"/>
    </row>
    <row r="2340" spans="6:6" x14ac:dyDescent="0.25">
      <c r="F2340"/>
    </row>
    <row r="2341" spans="6:6" x14ac:dyDescent="0.25">
      <c r="F2341"/>
    </row>
    <row r="2342" spans="6:6" x14ac:dyDescent="0.25">
      <c r="F2342"/>
    </row>
    <row r="2343" spans="6:6" x14ac:dyDescent="0.25">
      <c r="F2343"/>
    </row>
    <row r="2344" spans="6:6" x14ac:dyDescent="0.25">
      <c r="F2344"/>
    </row>
    <row r="2345" spans="6:6" x14ac:dyDescent="0.25">
      <c r="F2345"/>
    </row>
    <row r="2346" spans="6:6" x14ac:dyDescent="0.25">
      <c r="F2346"/>
    </row>
    <row r="2347" spans="6:6" x14ac:dyDescent="0.25">
      <c r="F2347"/>
    </row>
    <row r="2348" spans="6:6" x14ac:dyDescent="0.25">
      <c r="F2348"/>
    </row>
    <row r="2349" spans="6:6" x14ac:dyDescent="0.25">
      <c r="F2349"/>
    </row>
    <row r="2350" spans="6:6" x14ac:dyDescent="0.25">
      <c r="F2350"/>
    </row>
    <row r="2351" spans="6:6" x14ac:dyDescent="0.25">
      <c r="F2351"/>
    </row>
    <row r="2352" spans="6:6" x14ac:dyDescent="0.25">
      <c r="F2352"/>
    </row>
    <row r="2353" spans="6:6" x14ac:dyDescent="0.25">
      <c r="F2353"/>
    </row>
    <row r="2354" spans="6:6" x14ac:dyDescent="0.25">
      <c r="F2354"/>
    </row>
    <row r="2355" spans="6:6" x14ac:dyDescent="0.25">
      <c r="F2355"/>
    </row>
    <row r="2356" spans="6:6" x14ac:dyDescent="0.25">
      <c r="F2356"/>
    </row>
    <row r="2357" spans="6:6" x14ac:dyDescent="0.25">
      <c r="F2357"/>
    </row>
    <row r="2358" spans="6:6" x14ac:dyDescent="0.25">
      <c r="F2358"/>
    </row>
    <row r="2359" spans="6:6" x14ac:dyDescent="0.25">
      <c r="F2359"/>
    </row>
    <row r="2360" spans="6:6" x14ac:dyDescent="0.25">
      <c r="F2360"/>
    </row>
    <row r="2361" spans="6:6" x14ac:dyDescent="0.25">
      <c r="F2361"/>
    </row>
    <row r="2362" spans="6:6" x14ac:dyDescent="0.25">
      <c r="F2362"/>
    </row>
    <row r="2363" spans="6:6" x14ac:dyDescent="0.25">
      <c r="F2363"/>
    </row>
    <row r="2364" spans="6:6" x14ac:dyDescent="0.25">
      <c r="F2364"/>
    </row>
    <row r="2365" spans="6:6" x14ac:dyDescent="0.25">
      <c r="F2365"/>
    </row>
    <row r="2366" spans="6:6" x14ac:dyDescent="0.25">
      <c r="F2366"/>
    </row>
    <row r="2367" spans="6:6" x14ac:dyDescent="0.25">
      <c r="F2367"/>
    </row>
    <row r="2368" spans="6:6" x14ac:dyDescent="0.25">
      <c r="F2368"/>
    </row>
    <row r="2369" spans="6:6" x14ac:dyDescent="0.25">
      <c r="F2369"/>
    </row>
    <row r="2370" spans="6:6" x14ac:dyDescent="0.25">
      <c r="F2370"/>
    </row>
    <row r="2371" spans="6:6" x14ac:dyDescent="0.25">
      <c r="F2371"/>
    </row>
    <row r="2372" spans="6:6" x14ac:dyDescent="0.25">
      <c r="F2372"/>
    </row>
    <row r="2373" spans="6:6" x14ac:dyDescent="0.25">
      <c r="F2373"/>
    </row>
    <row r="2374" spans="6:6" x14ac:dyDescent="0.25">
      <c r="F2374"/>
    </row>
    <row r="2375" spans="6:6" x14ac:dyDescent="0.25">
      <c r="F2375"/>
    </row>
    <row r="2376" spans="6:6" x14ac:dyDescent="0.25">
      <c r="F2376"/>
    </row>
    <row r="2377" spans="6:6" x14ac:dyDescent="0.25">
      <c r="F2377"/>
    </row>
    <row r="2378" spans="6:6" x14ac:dyDescent="0.25">
      <c r="F2378"/>
    </row>
    <row r="2379" spans="6:6" x14ac:dyDescent="0.25">
      <c r="F2379"/>
    </row>
    <row r="2380" spans="6:6" x14ac:dyDescent="0.25">
      <c r="F2380"/>
    </row>
    <row r="2381" spans="6:6" x14ac:dyDescent="0.25">
      <c r="F2381"/>
    </row>
    <row r="2382" spans="6:6" x14ac:dyDescent="0.25">
      <c r="F2382"/>
    </row>
    <row r="2383" spans="6:6" x14ac:dyDescent="0.25">
      <c r="F2383"/>
    </row>
    <row r="2384" spans="6:6" x14ac:dyDescent="0.25">
      <c r="F2384"/>
    </row>
    <row r="2385" spans="6:6" x14ac:dyDescent="0.25">
      <c r="F2385"/>
    </row>
    <row r="2386" spans="6:6" x14ac:dyDescent="0.25">
      <c r="F2386"/>
    </row>
    <row r="2387" spans="6:6" x14ac:dyDescent="0.25">
      <c r="F2387"/>
    </row>
    <row r="2388" spans="6:6" x14ac:dyDescent="0.25">
      <c r="F2388"/>
    </row>
    <row r="2389" spans="6:6" x14ac:dyDescent="0.25">
      <c r="F2389"/>
    </row>
    <row r="2390" spans="6:6" x14ac:dyDescent="0.25">
      <c r="F2390"/>
    </row>
    <row r="2391" spans="6:6" x14ac:dyDescent="0.25">
      <c r="F2391"/>
    </row>
    <row r="2392" spans="6:6" x14ac:dyDescent="0.25">
      <c r="F2392"/>
    </row>
    <row r="2393" spans="6:6" x14ac:dyDescent="0.25">
      <c r="F2393"/>
    </row>
    <row r="2394" spans="6:6" x14ac:dyDescent="0.25">
      <c r="F2394"/>
    </row>
    <row r="2395" spans="6:6" x14ac:dyDescent="0.25">
      <c r="F2395"/>
    </row>
    <row r="2396" spans="6:6" x14ac:dyDescent="0.25">
      <c r="F2396"/>
    </row>
    <row r="2397" spans="6:6" x14ac:dyDescent="0.25">
      <c r="F2397"/>
    </row>
    <row r="2398" spans="6:6" x14ac:dyDescent="0.25">
      <c r="F2398"/>
    </row>
    <row r="2399" spans="6:6" x14ac:dyDescent="0.25">
      <c r="F2399"/>
    </row>
    <row r="2400" spans="6:6" x14ac:dyDescent="0.25">
      <c r="F2400"/>
    </row>
    <row r="2401" spans="6:6" x14ac:dyDescent="0.25">
      <c r="F2401"/>
    </row>
    <row r="2402" spans="6:6" x14ac:dyDescent="0.25">
      <c r="F2402"/>
    </row>
    <row r="2403" spans="6:6" x14ac:dyDescent="0.25">
      <c r="F2403"/>
    </row>
    <row r="2404" spans="6:6" x14ac:dyDescent="0.25">
      <c r="F2404"/>
    </row>
    <row r="2405" spans="6:6" x14ac:dyDescent="0.25">
      <c r="F2405"/>
    </row>
    <row r="2406" spans="6:6" x14ac:dyDescent="0.25">
      <c r="F2406"/>
    </row>
    <row r="2407" spans="6:6" x14ac:dyDescent="0.25">
      <c r="F2407"/>
    </row>
    <row r="2408" spans="6:6" x14ac:dyDescent="0.25">
      <c r="F2408"/>
    </row>
    <row r="2409" spans="6:6" x14ac:dyDescent="0.25">
      <c r="F2409"/>
    </row>
    <row r="2410" spans="6:6" x14ac:dyDescent="0.25">
      <c r="F2410"/>
    </row>
    <row r="2411" spans="6:6" x14ac:dyDescent="0.25">
      <c r="F2411"/>
    </row>
    <row r="2412" spans="6:6" x14ac:dyDescent="0.25">
      <c r="F2412"/>
    </row>
    <row r="2413" spans="6:6" x14ac:dyDescent="0.25">
      <c r="F2413"/>
    </row>
    <row r="2414" spans="6:6" x14ac:dyDescent="0.25">
      <c r="F2414"/>
    </row>
    <row r="2415" spans="6:6" x14ac:dyDescent="0.25">
      <c r="F2415"/>
    </row>
    <row r="2416" spans="6:6" x14ac:dyDescent="0.25">
      <c r="F2416"/>
    </row>
    <row r="2417" spans="6:6" x14ac:dyDescent="0.25">
      <c r="F2417"/>
    </row>
    <row r="2418" spans="6:6" x14ac:dyDescent="0.25">
      <c r="F2418"/>
    </row>
    <row r="2419" spans="6:6" x14ac:dyDescent="0.25">
      <c r="F2419"/>
    </row>
    <row r="2420" spans="6:6" x14ac:dyDescent="0.25">
      <c r="F2420"/>
    </row>
    <row r="2421" spans="6:6" x14ac:dyDescent="0.25">
      <c r="F2421"/>
    </row>
    <row r="2422" spans="6:6" x14ac:dyDescent="0.25">
      <c r="F2422"/>
    </row>
    <row r="2423" spans="6:6" x14ac:dyDescent="0.25">
      <c r="F2423"/>
    </row>
    <row r="2424" spans="6:6" x14ac:dyDescent="0.25">
      <c r="F2424"/>
    </row>
    <row r="2425" spans="6:6" x14ac:dyDescent="0.25">
      <c r="F2425"/>
    </row>
    <row r="2426" spans="6:6" x14ac:dyDescent="0.25">
      <c r="F2426"/>
    </row>
    <row r="2427" spans="6:6" x14ac:dyDescent="0.25">
      <c r="F2427"/>
    </row>
    <row r="2428" spans="6:6" x14ac:dyDescent="0.25">
      <c r="F2428"/>
    </row>
    <row r="2429" spans="6:6" x14ac:dyDescent="0.25">
      <c r="F2429"/>
    </row>
    <row r="2430" spans="6:6" x14ac:dyDescent="0.25">
      <c r="F2430"/>
    </row>
    <row r="2431" spans="6:6" x14ac:dyDescent="0.25">
      <c r="F2431"/>
    </row>
    <row r="2432" spans="6:6" x14ac:dyDescent="0.25">
      <c r="F2432"/>
    </row>
    <row r="2433" spans="6:6" x14ac:dyDescent="0.25">
      <c r="F2433"/>
    </row>
    <row r="2434" spans="6:6" x14ac:dyDescent="0.25">
      <c r="F2434"/>
    </row>
    <row r="2435" spans="6:6" x14ac:dyDescent="0.25">
      <c r="F2435"/>
    </row>
    <row r="2436" spans="6:6" x14ac:dyDescent="0.25">
      <c r="F2436"/>
    </row>
    <row r="2437" spans="6:6" x14ac:dyDescent="0.25">
      <c r="F2437"/>
    </row>
    <row r="2438" spans="6:6" x14ac:dyDescent="0.25">
      <c r="F2438"/>
    </row>
    <row r="2439" spans="6:6" x14ac:dyDescent="0.25">
      <c r="F2439"/>
    </row>
    <row r="2440" spans="6:6" x14ac:dyDescent="0.25">
      <c r="F2440"/>
    </row>
    <row r="2441" spans="6:6" x14ac:dyDescent="0.25">
      <c r="F2441"/>
    </row>
    <row r="2442" spans="6:6" x14ac:dyDescent="0.25">
      <c r="F2442"/>
    </row>
    <row r="2443" spans="6:6" x14ac:dyDescent="0.25">
      <c r="F2443"/>
    </row>
    <row r="2444" spans="6:6" x14ac:dyDescent="0.25">
      <c r="F2444"/>
    </row>
    <row r="2445" spans="6:6" x14ac:dyDescent="0.25">
      <c r="F2445"/>
    </row>
    <row r="2446" spans="6:6" x14ac:dyDescent="0.25">
      <c r="F2446"/>
    </row>
    <row r="2447" spans="6:6" x14ac:dyDescent="0.25">
      <c r="F2447"/>
    </row>
    <row r="2448" spans="6:6" x14ac:dyDescent="0.25">
      <c r="F2448"/>
    </row>
    <row r="2449" spans="6:6" x14ac:dyDescent="0.25">
      <c r="F2449"/>
    </row>
    <row r="2450" spans="6:6" x14ac:dyDescent="0.25">
      <c r="F2450"/>
    </row>
    <row r="2451" spans="6:6" x14ac:dyDescent="0.25">
      <c r="F2451"/>
    </row>
    <row r="2452" spans="6:6" x14ac:dyDescent="0.25">
      <c r="F2452"/>
    </row>
    <row r="2453" spans="6:6" x14ac:dyDescent="0.25">
      <c r="F2453"/>
    </row>
    <row r="2454" spans="6:6" x14ac:dyDescent="0.25">
      <c r="F2454"/>
    </row>
    <row r="2455" spans="6:6" x14ac:dyDescent="0.25">
      <c r="F2455"/>
    </row>
    <row r="2456" spans="6:6" x14ac:dyDescent="0.25">
      <c r="F2456"/>
    </row>
    <row r="2457" spans="6:6" x14ac:dyDescent="0.25">
      <c r="F2457"/>
    </row>
    <row r="2458" spans="6:6" x14ac:dyDescent="0.25">
      <c r="F2458"/>
    </row>
    <row r="2459" spans="6:6" x14ac:dyDescent="0.25">
      <c r="F2459"/>
    </row>
    <row r="2460" spans="6:6" x14ac:dyDescent="0.25">
      <c r="F2460"/>
    </row>
    <row r="2461" spans="6:6" x14ac:dyDescent="0.25">
      <c r="F2461"/>
    </row>
    <row r="2462" spans="6:6" x14ac:dyDescent="0.25">
      <c r="F2462"/>
    </row>
    <row r="2463" spans="6:6" x14ac:dyDescent="0.25">
      <c r="F2463"/>
    </row>
    <row r="2464" spans="6:6" x14ac:dyDescent="0.25">
      <c r="F2464"/>
    </row>
    <row r="2465" spans="6:6" x14ac:dyDescent="0.25">
      <c r="F2465"/>
    </row>
    <row r="2466" spans="6:6" x14ac:dyDescent="0.25">
      <c r="F2466"/>
    </row>
    <row r="2467" spans="6:6" x14ac:dyDescent="0.25">
      <c r="F2467"/>
    </row>
    <row r="2468" spans="6:6" x14ac:dyDescent="0.25">
      <c r="F2468"/>
    </row>
    <row r="2469" spans="6:6" x14ac:dyDescent="0.25">
      <c r="F2469"/>
    </row>
    <row r="2470" spans="6:6" x14ac:dyDescent="0.25">
      <c r="F2470"/>
    </row>
    <row r="2471" spans="6:6" x14ac:dyDescent="0.25">
      <c r="F2471"/>
    </row>
    <row r="2472" spans="6:6" x14ac:dyDescent="0.25">
      <c r="F2472"/>
    </row>
    <row r="2473" spans="6:6" x14ac:dyDescent="0.25">
      <c r="F2473"/>
    </row>
    <row r="2474" spans="6:6" x14ac:dyDescent="0.25">
      <c r="F2474"/>
    </row>
    <row r="2475" spans="6:6" x14ac:dyDescent="0.25">
      <c r="F2475"/>
    </row>
    <row r="2476" spans="6:6" x14ac:dyDescent="0.25">
      <c r="F2476"/>
    </row>
    <row r="2477" spans="6:6" x14ac:dyDescent="0.25">
      <c r="F2477"/>
    </row>
    <row r="2478" spans="6:6" x14ac:dyDescent="0.25">
      <c r="F2478"/>
    </row>
    <row r="2479" spans="6:6" x14ac:dyDescent="0.25">
      <c r="F2479"/>
    </row>
    <row r="2480" spans="6:6" x14ac:dyDescent="0.25">
      <c r="F2480"/>
    </row>
    <row r="2481" spans="6:6" x14ac:dyDescent="0.25">
      <c r="F2481"/>
    </row>
    <row r="2482" spans="6:6" x14ac:dyDescent="0.25">
      <c r="F2482"/>
    </row>
    <row r="2483" spans="6:6" x14ac:dyDescent="0.25">
      <c r="F2483"/>
    </row>
    <row r="2484" spans="6:6" x14ac:dyDescent="0.25">
      <c r="F2484"/>
    </row>
    <row r="2485" spans="6:6" x14ac:dyDescent="0.25">
      <c r="F2485"/>
    </row>
    <row r="2486" spans="6:6" x14ac:dyDescent="0.25">
      <c r="F2486"/>
    </row>
    <row r="2487" spans="6:6" x14ac:dyDescent="0.25">
      <c r="F2487"/>
    </row>
    <row r="2488" spans="6:6" x14ac:dyDescent="0.25">
      <c r="F2488"/>
    </row>
    <row r="2489" spans="6:6" x14ac:dyDescent="0.25">
      <c r="F2489"/>
    </row>
    <row r="2490" spans="6:6" x14ac:dyDescent="0.25">
      <c r="F2490"/>
    </row>
    <row r="2491" spans="6:6" x14ac:dyDescent="0.25">
      <c r="F2491"/>
    </row>
    <row r="2492" spans="6:6" x14ac:dyDescent="0.25">
      <c r="F2492"/>
    </row>
    <row r="2493" spans="6:6" x14ac:dyDescent="0.25">
      <c r="F2493"/>
    </row>
    <row r="2494" spans="6:6" x14ac:dyDescent="0.25">
      <c r="F2494"/>
    </row>
    <row r="2495" spans="6:6" x14ac:dyDescent="0.25">
      <c r="F2495"/>
    </row>
    <row r="2496" spans="6:6" x14ac:dyDescent="0.25">
      <c r="F2496"/>
    </row>
    <row r="2497" spans="6:6" x14ac:dyDescent="0.25">
      <c r="F2497"/>
    </row>
    <row r="2498" spans="6:6" x14ac:dyDescent="0.25">
      <c r="F2498"/>
    </row>
    <row r="2499" spans="6:6" x14ac:dyDescent="0.25">
      <c r="F2499"/>
    </row>
    <row r="2500" spans="6:6" x14ac:dyDescent="0.25">
      <c r="F2500"/>
    </row>
    <row r="2501" spans="6:6" x14ac:dyDescent="0.25">
      <c r="F2501"/>
    </row>
    <row r="2502" spans="6:6" x14ac:dyDescent="0.25">
      <c r="F2502"/>
    </row>
    <row r="2503" spans="6:6" x14ac:dyDescent="0.25">
      <c r="F2503"/>
    </row>
    <row r="2504" spans="6:6" x14ac:dyDescent="0.25">
      <c r="F2504"/>
    </row>
    <row r="2505" spans="6:6" x14ac:dyDescent="0.25">
      <c r="F2505"/>
    </row>
    <row r="2506" spans="6:6" x14ac:dyDescent="0.25">
      <c r="F2506"/>
    </row>
    <row r="2507" spans="6:6" x14ac:dyDescent="0.25">
      <c r="F2507"/>
    </row>
    <row r="2508" spans="6:6" x14ac:dyDescent="0.25">
      <c r="F2508"/>
    </row>
    <row r="2509" spans="6:6" x14ac:dyDescent="0.25">
      <c r="F2509"/>
    </row>
    <row r="2510" spans="6:6" x14ac:dyDescent="0.25">
      <c r="F2510"/>
    </row>
    <row r="2511" spans="6:6" x14ac:dyDescent="0.25">
      <c r="F2511"/>
    </row>
    <row r="2512" spans="6:6" x14ac:dyDescent="0.25">
      <c r="F2512"/>
    </row>
    <row r="2513" spans="6:6" x14ac:dyDescent="0.25">
      <c r="F2513"/>
    </row>
    <row r="2514" spans="6:6" x14ac:dyDescent="0.25">
      <c r="F2514"/>
    </row>
    <row r="2515" spans="6:6" x14ac:dyDescent="0.25">
      <c r="F2515"/>
    </row>
    <row r="2516" spans="6:6" x14ac:dyDescent="0.25">
      <c r="F2516"/>
    </row>
    <row r="2517" spans="6:6" x14ac:dyDescent="0.25">
      <c r="F2517"/>
    </row>
    <row r="2518" spans="6:6" x14ac:dyDescent="0.25">
      <c r="F2518"/>
    </row>
    <row r="2519" spans="6:6" x14ac:dyDescent="0.25">
      <c r="F2519"/>
    </row>
    <row r="2520" spans="6:6" x14ac:dyDescent="0.25">
      <c r="F2520"/>
    </row>
    <row r="2521" spans="6:6" x14ac:dyDescent="0.25">
      <c r="F2521"/>
    </row>
    <row r="2522" spans="6:6" x14ac:dyDescent="0.25">
      <c r="F2522"/>
    </row>
    <row r="2523" spans="6:6" x14ac:dyDescent="0.25">
      <c r="F2523"/>
    </row>
    <row r="2524" spans="6:6" x14ac:dyDescent="0.25">
      <c r="F2524"/>
    </row>
    <row r="2525" spans="6:6" x14ac:dyDescent="0.25">
      <c r="F2525"/>
    </row>
    <row r="2526" spans="6:6" x14ac:dyDescent="0.25">
      <c r="F2526"/>
    </row>
    <row r="2527" spans="6:6" x14ac:dyDescent="0.25">
      <c r="F2527"/>
    </row>
    <row r="2528" spans="6:6" x14ac:dyDescent="0.25">
      <c r="F2528"/>
    </row>
    <row r="2529" spans="6:6" x14ac:dyDescent="0.25">
      <c r="F2529"/>
    </row>
    <row r="2530" spans="6:6" x14ac:dyDescent="0.25">
      <c r="F2530"/>
    </row>
    <row r="2531" spans="6:6" x14ac:dyDescent="0.25">
      <c r="F2531"/>
    </row>
    <row r="2532" spans="6:6" x14ac:dyDescent="0.25">
      <c r="F2532"/>
    </row>
    <row r="2533" spans="6:6" x14ac:dyDescent="0.25">
      <c r="F2533"/>
    </row>
    <row r="2534" spans="6:6" x14ac:dyDescent="0.25">
      <c r="F2534"/>
    </row>
    <row r="2535" spans="6:6" x14ac:dyDescent="0.25">
      <c r="F2535"/>
    </row>
    <row r="2536" spans="6:6" x14ac:dyDescent="0.25">
      <c r="F2536"/>
    </row>
    <row r="2537" spans="6:6" x14ac:dyDescent="0.25">
      <c r="F2537"/>
    </row>
    <row r="2538" spans="6:6" x14ac:dyDescent="0.25">
      <c r="F2538"/>
    </row>
    <row r="2539" spans="6:6" x14ac:dyDescent="0.25">
      <c r="F2539"/>
    </row>
    <row r="2540" spans="6:6" x14ac:dyDescent="0.25">
      <c r="F2540"/>
    </row>
    <row r="2541" spans="6:6" x14ac:dyDescent="0.25">
      <c r="F2541"/>
    </row>
    <row r="2542" spans="6:6" x14ac:dyDescent="0.25">
      <c r="F2542"/>
    </row>
    <row r="2543" spans="6:6" x14ac:dyDescent="0.25">
      <c r="F2543"/>
    </row>
    <row r="2544" spans="6:6" x14ac:dyDescent="0.25">
      <c r="F2544"/>
    </row>
    <row r="2545" spans="6:6" x14ac:dyDescent="0.25">
      <c r="F2545"/>
    </row>
    <row r="2546" spans="6:6" x14ac:dyDescent="0.25">
      <c r="F2546"/>
    </row>
    <row r="2547" spans="6:6" x14ac:dyDescent="0.25">
      <c r="F2547"/>
    </row>
    <row r="2548" spans="6:6" x14ac:dyDescent="0.25">
      <c r="F2548"/>
    </row>
    <row r="2549" spans="6:6" x14ac:dyDescent="0.25">
      <c r="F2549"/>
    </row>
    <row r="2550" spans="6:6" x14ac:dyDescent="0.25">
      <c r="F2550"/>
    </row>
    <row r="2551" spans="6:6" x14ac:dyDescent="0.25">
      <c r="F2551"/>
    </row>
    <row r="2552" spans="6:6" x14ac:dyDescent="0.25">
      <c r="F2552"/>
    </row>
    <row r="2553" spans="6:6" x14ac:dyDescent="0.25">
      <c r="F2553"/>
    </row>
    <row r="2554" spans="6:6" x14ac:dyDescent="0.25">
      <c r="F2554"/>
    </row>
    <row r="2555" spans="6:6" x14ac:dyDescent="0.25">
      <c r="F2555"/>
    </row>
    <row r="2556" spans="6:6" x14ac:dyDescent="0.25">
      <c r="F2556"/>
    </row>
    <row r="2557" spans="6:6" x14ac:dyDescent="0.25">
      <c r="F2557"/>
    </row>
    <row r="2558" spans="6:6" x14ac:dyDescent="0.25">
      <c r="F2558"/>
    </row>
    <row r="2559" spans="6:6" x14ac:dyDescent="0.25">
      <c r="F2559"/>
    </row>
    <row r="2560" spans="6:6" x14ac:dyDescent="0.25">
      <c r="F2560"/>
    </row>
    <row r="2561" spans="6:6" x14ac:dyDescent="0.25">
      <c r="F2561"/>
    </row>
    <row r="2562" spans="6:6" x14ac:dyDescent="0.25">
      <c r="F2562"/>
    </row>
    <row r="2563" spans="6:6" x14ac:dyDescent="0.25">
      <c r="F2563"/>
    </row>
    <row r="2564" spans="6:6" x14ac:dyDescent="0.25">
      <c r="F2564"/>
    </row>
    <row r="2565" spans="6:6" x14ac:dyDescent="0.25">
      <c r="F2565"/>
    </row>
    <row r="2566" spans="6:6" x14ac:dyDescent="0.25">
      <c r="F2566"/>
    </row>
    <row r="2567" spans="6:6" x14ac:dyDescent="0.25">
      <c r="F2567"/>
    </row>
    <row r="2568" spans="6:6" x14ac:dyDescent="0.25">
      <c r="F2568"/>
    </row>
    <row r="2569" spans="6:6" x14ac:dyDescent="0.25">
      <c r="F2569"/>
    </row>
    <row r="2570" spans="6:6" x14ac:dyDescent="0.25">
      <c r="F2570"/>
    </row>
    <row r="2571" spans="6:6" x14ac:dyDescent="0.25">
      <c r="F2571"/>
    </row>
    <row r="2572" spans="6:6" x14ac:dyDescent="0.25">
      <c r="F2572"/>
    </row>
    <row r="2573" spans="6:6" x14ac:dyDescent="0.25">
      <c r="F2573"/>
    </row>
    <row r="2574" spans="6:6" x14ac:dyDescent="0.25">
      <c r="F2574"/>
    </row>
    <row r="2575" spans="6:6" x14ac:dyDescent="0.25">
      <c r="F2575"/>
    </row>
    <row r="2576" spans="6:6" x14ac:dyDescent="0.25">
      <c r="F2576"/>
    </row>
    <row r="2577" spans="6:6" x14ac:dyDescent="0.25">
      <c r="F2577"/>
    </row>
    <row r="2578" spans="6:6" x14ac:dyDescent="0.25">
      <c r="F2578"/>
    </row>
    <row r="2579" spans="6:6" x14ac:dyDescent="0.25">
      <c r="F2579"/>
    </row>
    <row r="2580" spans="6:6" x14ac:dyDescent="0.25">
      <c r="F2580"/>
    </row>
    <row r="2581" spans="6:6" x14ac:dyDescent="0.25">
      <c r="F2581"/>
    </row>
    <row r="2582" spans="6:6" x14ac:dyDescent="0.25">
      <c r="F2582"/>
    </row>
    <row r="2583" spans="6:6" x14ac:dyDescent="0.25">
      <c r="F2583"/>
    </row>
    <row r="2584" spans="6:6" x14ac:dyDescent="0.25">
      <c r="F2584"/>
    </row>
    <row r="2585" spans="6:6" x14ac:dyDescent="0.25">
      <c r="F2585"/>
    </row>
    <row r="2586" spans="6:6" x14ac:dyDescent="0.25">
      <c r="F2586"/>
    </row>
    <row r="2587" spans="6:6" x14ac:dyDescent="0.25">
      <c r="F2587"/>
    </row>
    <row r="2588" spans="6:6" x14ac:dyDescent="0.25">
      <c r="F2588"/>
    </row>
    <row r="2589" spans="6:6" x14ac:dyDescent="0.25">
      <c r="F2589"/>
    </row>
    <row r="2590" spans="6:6" x14ac:dyDescent="0.25">
      <c r="F2590"/>
    </row>
    <row r="2591" spans="6:6" x14ac:dyDescent="0.25">
      <c r="F2591"/>
    </row>
    <row r="2592" spans="6:6" x14ac:dyDescent="0.25">
      <c r="F2592"/>
    </row>
    <row r="2593" spans="6:6" x14ac:dyDescent="0.25">
      <c r="F2593"/>
    </row>
    <row r="2594" spans="6:6" x14ac:dyDescent="0.25">
      <c r="F2594"/>
    </row>
    <row r="2595" spans="6:6" x14ac:dyDescent="0.25">
      <c r="F2595"/>
    </row>
    <row r="2596" spans="6:6" x14ac:dyDescent="0.25">
      <c r="F2596"/>
    </row>
    <row r="2597" spans="6:6" x14ac:dyDescent="0.25">
      <c r="F2597"/>
    </row>
    <row r="2598" spans="6:6" x14ac:dyDescent="0.25">
      <c r="F2598"/>
    </row>
    <row r="2599" spans="6:6" x14ac:dyDescent="0.25">
      <c r="F2599"/>
    </row>
    <row r="2600" spans="6:6" x14ac:dyDescent="0.25">
      <c r="F2600"/>
    </row>
    <row r="2601" spans="6:6" x14ac:dyDescent="0.25">
      <c r="F2601"/>
    </row>
    <row r="2602" spans="6:6" x14ac:dyDescent="0.25">
      <c r="F2602"/>
    </row>
    <row r="2603" spans="6:6" x14ac:dyDescent="0.25">
      <c r="F2603"/>
    </row>
    <row r="2604" spans="6:6" x14ac:dyDescent="0.25">
      <c r="F2604"/>
    </row>
    <row r="2605" spans="6:6" x14ac:dyDescent="0.25">
      <c r="F2605"/>
    </row>
    <row r="2606" spans="6:6" x14ac:dyDescent="0.25">
      <c r="F2606"/>
    </row>
    <row r="2607" spans="6:6" x14ac:dyDescent="0.25">
      <c r="F2607"/>
    </row>
    <row r="2608" spans="6:6" x14ac:dyDescent="0.25">
      <c r="F2608"/>
    </row>
    <row r="2609" spans="6:6" x14ac:dyDescent="0.25">
      <c r="F2609"/>
    </row>
    <row r="2610" spans="6:6" x14ac:dyDescent="0.25">
      <c r="F2610"/>
    </row>
    <row r="2611" spans="6:6" x14ac:dyDescent="0.25">
      <c r="F2611"/>
    </row>
    <row r="2612" spans="6:6" x14ac:dyDescent="0.25">
      <c r="F2612"/>
    </row>
    <row r="2613" spans="6:6" x14ac:dyDescent="0.25">
      <c r="F2613"/>
    </row>
    <row r="2614" spans="6:6" x14ac:dyDescent="0.25">
      <c r="F2614"/>
    </row>
    <row r="2615" spans="6:6" x14ac:dyDescent="0.25">
      <c r="F2615"/>
    </row>
    <row r="2616" spans="6:6" x14ac:dyDescent="0.25">
      <c r="F2616"/>
    </row>
    <row r="2617" spans="6:6" x14ac:dyDescent="0.25">
      <c r="F2617"/>
    </row>
    <row r="2618" spans="6:6" x14ac:dyDescent="0.25">
      <c r="F2618"/>
    </row>
    <row r="2619" spans="6:6" x14ac:dyDescent="0.25">
      <c r="F2619"/>
    </row>
    <row r="2620" spans="6:6" x14ac:dyDescent="0.25">
      <c r="F2620"/>
    </row>
    <row r="2621" spans="6:6" x14ac:dyDescent="0.25">
      <c r="F2621"/>
    </row>
    <row r="2622" spans="6:6" x14ac:dyDescent="0.25">
      <c r="F2622"/>
    </row>
    <row r="2623" spans="6:6" x14ac:dyDescent="0.25">
      <c r="F2623"/>
    </row>
    <row r="2624" spans="6:6" x14ac:dyDescent="0.25">
      <c r="F2624"/>
    </row>
    <row r="2625" spans="6:6" x14ac:dyDescent="0.25">
      <c r="F2625"/>
    </row>
    <row r="2626" spans="6:6" x14ac:dyDescent="0.25">
      <c r="F2626"/>
    </row>
    <row r="2627" spans="6:6" x14ac:dyDescent="0.25">
      <c r="F2627"/>
    </row>
    <row r="2628" spans="6:6" x14ac:dyDescent="0.25">
      <c r="F2628"/>
    </row>
    <row r="2629" spans="6:6" x14ac:dyDescent="0.25">
      <c r="F2629"/>
    </row>
    <row r="2630" spans="6:6" x14ac:dyDescent="0.25">
      <c r="F2630"/>
    </row>
    <row r="2631" spans="6:6" x14ac:dyDescent="0.25">
      <c r="F2631"/>
    </row>
    <row r="2632" spans="6:6" x14ac:dyDescent="0.25">
      <c r="F2632"/>
    </row>
    <row r="2633" spans="6:6" x14ac:dyDescent="0.25">
      <c r="F2633"/>
    </row>
    <row r="2634" spans="6:6" x14ac:dyDescent="0.25">
      <c r="F2634"/>
    </row>
    <row r="2635" spans="6:6" x14ac:dyDescent="0.25">
      <c r="F2635"/>
    </row>
    <row r="2636" spans="6:6" x14ac:dyDescent="0.25">
      <c r="F2636"/>
    </row>
    <row r="2637" spans="6:6" x14ac:dyDescent="0.25">
      <c r="F2637"/>
    </row>
    <row r="2638" spans="6:6" x14ac:dyDescent="0.25">
      <c r="F2638"/>
    </row>
    <row r="2639" spans="6:6" x14ac:dyDescent="0.25">
      <c r="F2639"/>
    </row>
    <row r="2640" spans="6:6" x14ac:dyDescent="0.25">
      <c r="F2640"/>
    </row>
    <row r="2641" spans="6:6" x14ac:dyDescent="0.25">
      <c r="F2641"/>
    </row>
    <row r="2642" spans="6:6" x14ac:dyDescent="0.25">
      <c r="F2642"/>
    </row>
    <row r="2643" spans="6:6" x14ac:dyDescent="0.25">
      <c r="F2643"/>
    </row>
    <row r="2644" spans="6:6" x14ac:dyDescent="0.25">
      <c r="F2644"/>
    </row>
    <row r="2645" spans="6:6" x14ac:dyDescent="0.25">
      <c r="F2645"/>
    </row>
    <row r="2646" spans="6:6" x14ac:dyDescent="0.25">
      <c r="F2646"/>
    </row>
    <row r="2647" spans="6:6" x14ac:dyDescent="0.25">
      <c r="F2647"/>
    </row>
    <row r="2648" spans="6:6" x14ac:dyDescent="0.25">
      <c r="F2648"/>
    </row>
    <row r="2649" spans="6:6" x14ac:dyDescent="0.25">
      <c r="F2649"/>
    </row>
    <row r="2650" spans="6:6" x14ac:dyDescent="0.25">
      <c r="F2650"/>
    </row>
    <row r="2651" spans="6:6" x14ac:dyDescent="0.25">
      <c r="F2651"/>
    </row>
    <row r="2652" spans="6:6" x14ac:dyDescent="0.25">
      <c r="F2652"/>
    </row>
    <row r="2653" spans="6:6" x14ac:dyDescent="0.25">
      <c r="F2653"/>
    </row>
    <row r="2654" spans="6:6" x14ac:dyDescent="0.25">
      <c r="F2654"/>
    </row>
    <row r="2655" spans="6:6" x14ac:dyDescent="0.25">
      <c r="F2655"/>
    </row>
    <row r="2656" spans="6:6" x14ac:dyDescent="0.25">
      <c r="F2656"/>
    </row>
    <row r="2657" spans="6:6" x14ac:dyDescent="0.25">
      <c r="F2657"/>
    </row>
    <row r="2658" spans="6:6" x14ac:dyDescent="0.25">
      <c r="F2658"/>
    </row>
    <row r="2659" spans="6:6" x14ac:dyDescent="0.25">
      <c r="F2659"/>
    </row>
    <row r="2660" spans="6:6" x14ac:dyDescent="0.25">
      <c r="F2660"/>
    </row>
    <row r="2661" spans="6:6" x14ac:dyDescent="0.25">
      <c r="F2661"/>
    </row>
    <row r="2662" spans="6:6" x14ac:dyDescent="0.25">
      <c r="F2662"/>
    </row>
    <row r="2663" spans="6:6" x14ac:dyDescent="0.25">
      <c r="F2663"/>
    </row>
    <row r="2664" spans="6:6" x14ac:dyDescent="0.25">
      <c r="F2664"/>
    </row>
    <row r="2665" spans="6:6" x14ac:dyDescent="0.25">
      <c r="F2665"/>
    </row>
    <row r="2666" spans="6:6" x14ac:dyDescent="0.25">
      <c r="F2666"/>
    </row>
    <row r="2667" spans="6:6" x14ac:dyDescent="0.25">
      <c r="F2667"/>
    </row>
    <row r="2668" spans="6:6" x14ac:dyDescent="0.25">
      <c r="F2668"/>
    </row>
    <row r="2669" spans="6:6" x14ac:dyDescent="0.25">
      <c r="F2669"/>
    </row>
    <row r="2670" spans="6:6" x14ac:dyDescent="0.25">
      <c r="F2670"/>
    </row>
    <row r="2671" spans="6:6" x14ac:dyDescent="0.25">
      <c r="F2671"/>
    </row>
    <row r="2672" spans="6:6" x14ac:dyDescent="0.25">
      <c r="F2672"/>
    </row>
    <row r="2673" spans="6:6" x14ac:dyDescent="0.25">
      <c r="F2673"/>
    </row>
    <row r="2674" spans="6:6" x14ac:dyDescent="0.25">
      <c r="F2674"/>
    </row>
    <row r="2675" spans="6:6" x14ac:dyDescent="0.25">
      <c r="F2675"/>
    </row>
    <row r="2676" spans="6:6" x14ac:dyDescent="0.25">
      <c r="F2676"/>
    </row>
    <row r="2677" spans="6:6" x14ac:dyDescent="0.25">
      <c r="F2677"/>
    </row>
    <row r="2678" spans="6:6" x14ac:dyDescent="0.25">
      <c r="F2678"/>
    </row>
    <row r="2679" spans="6:6" x14ac:dyDescent="0.25">
      <c r="F2679"/>
    </row>
    <row r="2680" spans="6:6" x14ac:dyDescent="0.25">
      <c r="F2680"/>
    </row>
    <row r="2681" spans="6:6" x14ac:dyDescent="0.25">
      <c r="F2681"/>
    </row>
    <row r="2682" spans="6:6" x14ac:dyDescent="0.25">
      <c r="F2682"/>
    </row>
    <row r="2683" spans="6:6" x14ac:dyDescent="0.25">
      <c r="F2683"/>
    </row>
    <row r="2684" spans="6:6" x14ac:dyDescent="0.25">
      <c r="F2684"/>
    </row>
    <row r="2685" spans="6:6" x14ac:dyDescent="0.25">
      <c r="F2685"/>
    </row>
    <row r="2686" spans="6:6" x14ac:dyDescent="0.25">
      <c r="F2686"/>
    </row>
    <row r="2687" spans="6:6" x14ac:dyDescent="0.25">
      <c r="F2687"/>
    </row>
    <row r="2688" spans="6:6" x14ac:dyDescent="0.25">
      <c r="F2688"/>
    </row>
    <row r="2689" spans="6:6" x14ac:dyDescent="0.25">
      <c r="F2689"/>
    </row>
    <row r="2690" spans="6:6" x14ac:dyDescent="0.25">
      <c r="F2690"/>
    </row>
    <row r="2691" spans="6:6" x14ac:dyDescent="0.25">
      <c r="F2691"/>
    </row>
    <row r="2692" spans="6:6" x14ac:dyDescent="0.25">
      <c r="F2692"/>
    </row>
    <row r="2693" spans="6:6" x14ac:dyDescent="0.25">
      <c r="F2693"/>
    </row>
    <row r="2694" spans="6:6" x14ac:dyDescent="0.25">
      <c r="F2694"/>
    </row>
    <row r="2695" spans="6:6" x14ac:dyDescent="0.25">
      <c r="F2695"/>
    </row>
    <row r="2696" spans="6:6" x14ac:dyDescent="0.25">
      <c r="F2696"/>
    </row>
    <row r="2697" spans="6:6" x14ac:dyDescent="0.25">
      <c r="F2697"/>
    </row>
    <row r="2698" spans="6:6" x14ac:dyDescent="0.25">
      <c r="F2698"/>
    </row>
    <row r="2699" spans="6:6" x14ac:dyDescent="0.25">
      <c r="F2699"/>
    </row>
    <row r="2700" spans="6:6" x14ac:dyDescent="0.25">
      <c r="F2700"/>
    </row>
    <row r="2701" spans="6:6" x14ac:dyDescent="0.25">
      <c r="F2701"/>
    </row>
    <row r="2702" spans="6:6" x14ac:dyDescent="0.25">
      <c r="F2702"/>
    </row>
    <row r="2703" spans="6:6" x14ac:dyDescent="0.25">
      <c r="F2703"/>
    </row>
    <row r="2704" spans="6:6" x14ac:dyDescent="0.25">
      <c r="F2704"/>
    </row>
    <row r="2705" spans="6:6" x14ac:dyDescent="0.25">
      <c r="F2705"/>
    </row>
    <row r="2706" spans="6:6" x14ac:dyDescent="0.25">
      <c r="F2706"/>
    </row>
    <row r="2707" spans="6:6" x14ac:dyDescent="0.25">
      <c r="F2707"/>
    </row>
    <row r="2708" spans="6:6" x14ac:dyDescent="0.25">
      <c r="F2708"/>
    </row>
    <row r="2709" spans="6:6" x14ac:dyDescent="0.25">
      <c r="F2709"/>
    </row>
    <row r="2710" spans="6:6" x14ac:dyDescent="0.25">
      <c r="F2710"/>
    </row>
    <row r="2711" spans="6:6" x14ac:dyDescent="0.25">
      <c r="F2711"/>
    </row>
    <row r="2712" spans="6:6" x14ac:dyDescent="0.25">
      <c r="F2712"/>
    </row>
    <row r="2713" spans="6:6" x14ac:dyDescent="0.25">
      <c r="F2713"/>
    </row>
    <row r="2714" spans="6:6" x14ac:dyDescent="0.25">
      <c r="F2714"/>
    </row>
    <row r="2715" spans="6:6" x14ac:dyDescent="0.25">
      <c r="F2715"/>
    </row>
    <row r="2716" spans="6:6" x14ac:dyDescent="0.25">
      <c r="F2716"/>
    </row>
    <row r="2717" spans="6:6" x14ac:dyDescent="0.25">
      <c r="F2717"/>
    </row>
    <row r="2718" spans="6:6" x14ac:dyDescent="0.25">
      <c r="F2718"/>
    </row>
    <row r="2719" spans="6:6" x14ac:dyDescent="0.25">
      <c r="F2719"/>
    </row>
    <row r="2720" spans="6:6" x14ac:dyDescent="0.25">
      <c r="F2720"/>
    </row>
    <row r="2721" spans="6:6" x14ac:dyDescent="0.25">
      <c r="F2721"/>
    </row>
    <row r="2722" spans="6:6" x14ac:dyDescent="0.25">
      <c r="F2722"/>
    </row>
    <row r="2723" spans="6:6" x14ac:dyDescent="0.25">
      <c r="F2723"/>
    </row>
    <row r="2724" spans="6:6" x14ac:dyDescent="0.25">
      <c r="F2724"/>
    </row>
    <row r="2725" spans="6:6" x14ac:dyDescent="0.25">
      <c r="F2725"/>
    </row>
    <row r="2726" spans="6:6" x14ac:dyDescent="0.25">
      <c r="F2726"/>
    </row>
    <row r="2727" spans="6:6" x14ac:dyDescent="0.25">
      <c r="F2727"/>
    </row>
    <row r="2728" spans="6:6" x14ac:dyDescent="0.25">
      <c r="F2728"/>
    </row>
    <row r="2729" spans="6:6" x14ac:dyDescent="0.25">
      <c r="F2729"/>
    </row>
    <row r="2730" spans="6:6" x14ac:dyDescent="0.25">
      <c r="F2730"/>
    </row>
    <row r="2731" spans="6:6" x14ac:dyDescent="0.25">
      <c r="F2731"/>
    </row>
    <row r="2732" spans="6:6" x14ac:dyDescent="0.25">
      <c r="F2732"/>
    </row>
    <row r="2733" spans="6:6" x14ac:dyDescent="0.25">
      <c r="F2733"/>
    </row>
    <row r="2734" spans="6:6" x14ac:dyDescent="0.25">
      <c r="F2734"/>
    </row>
    <row r="2735" spans="6:6" x14ac:dyDescent="0.25">
      <c r="F2735"/>
    </row>
    <row r="2736" spans="6:6" x14ac:dyDescent="0.25">
      <c r="F2736"/>
    </row>
    <row r="2737" spans="6:6" x14ac:dyDescent="0.25">
      <c r="F2737"/>
    </row>
    <row r="2738" spans="6:6" x14ac:dyDescent="0.25">
      <c r="F2738"/>
    </row>
    <row r="2739" spans="6:6" x14ac:dyDescent="0.25">
      <c r="F2739"/>
    </row>
    <row r="2740" spans="6:6" x14ac:dyDescent="0.25">
      <c r="F2740"/>
    </row>
    <row r="2741" spans="6:6" x14ac:dyDescent="0.25">
      <c r="F2741"/>
    </row>
    <row r="2742" spans="6:6" x14ac:dyDescent="0.25">
      <c r="F2742"/>
    </row>
    <row r="2743" spans="6:6" x14ac:dyDescent="0.25">
      <c r="F2743"/>
    </row>
    <row r="2744" spans="6:6" x14ac:dyDescent="0.25">
      <c r="F2744"/>
    </row>
    <row r="2745" spans="6:6" x14ac:dyDescent="0.25">
      <c r="F2745"/>
    </row>
    <row r="2746" spans="6:6" x14ac:dyDescent="0.25">
      <c r="F2746"/>
    </row>
    <row r="2747" spans="6:6" x14ac:dyDescent="0.25">
      <c r="F2747"/>
    </row>
    <row r="2748" spans="6:6" x14ac:dyDescent="0.25">
      <c r="F2748"/>
    </row>
    <row r="2749" spans="6:6" x14ac:dyDescent="0.25">
      <c r="F2749"/>
    </row>
    <row r="2750" spans="6:6" x14ac:dyDescent="0.25">
      <c r="F2750"/>
    </row>
    <row r="2751" spans="6:6" x14ac:dyDescent="0.25">
      <c r="F2751"/>
    </row>
    <row r="2752" spans="6:6" x14ac:dyDescent="0.25">
      <c r="F2752"/>
    </row>
    <row r="2753" spans="6:6" x14ac:dyDescent="0.25">
      <c r="F2753"/>
    </row>
    <row r="2754" spans="6:6" x14ac:dyDescent="0.25">
      <c r="F2754"/>
    </row>
    <row r="2755" spans="6:6" x14ac:dyDescent="0.25">
      <c r="F2755"/>
    </row>
    <row r="2756" spans="6:6" x14ac:dyDescent="0.25">
      <c r="F2756"/>
    </row>
    <row r="2757" spans="6:6" x14ac:dyDescent="0.25">
      <c r="F2757"/>
    </row>
    <row r="2758" spans="6:6" x14ac:dyDescent="0.25">
      <c r="F2758"/>
    </row>
    <row r="2759" spans="6:6" x14ac:dyDescent="0.25">
      <c r="F2759"/>
    </row>
    <row r="2760" spans="6:6" x14ac:dyDescent="0.25">
      <c r="F2760"/>
    </row>
    <row r="2761" spans="6:6" x14ac:dyDescent="0.25">
      <c r="F2761"/>
    </row>
    <row r="2762" spans="6:6" x14ac:dyDescent="0.25">
      <c r="F2762"/>
    </row>
    <row r="2763" spans="6:6" x14ac:dyDescent="0.25">
      <c r="F2763"/>
    </row>
    <row r="2764" spans="6:6" x14ac:dyDescent="0.25">
      <c r="F2764"/>
    </row>
    <row r="2765" spans="6:6" x14ac:dyDescent="0.25">
      <c r="F2765"/>
    </row>
    <row r="2766" spans="6:6" x14ac:dyDescent="0.25">
      <c r="F2766"/>
    </row>
    <row r="2767" spans="6:6" x14ac:dyDescent="0.25">
      <c r="F2767"/>
    </row>
    <row r="2768" spans="6:6" x14ac:dyDescent="0.25">
      <c r="F2768"/>
    </row>
    <row r="2769" spans="6:6" x14ac:dyDescent="0.25">
      <c r="F2769"/>
    </row>
    <row r="2770" spans="6:6" x14ac:dyDescent="0.25">
      <c r="F2770"/>
    </row>
    <row r="2771" spans="6:6" x14ac:dyDescent="0.25">
      <c r="F2771"/>
    </row>
    <row r="2772" spans="6:6" x14ac:dyDescent="0.25">
      <c r="F2772"/>
    </row>
    <row r="2773" spans="6:6" x14ac:dyDescent="0.25">
      <c r="F2773"/>
    </row>
    <row r="2774" spans="6:6" x14ac:dyDescent="0.25">
      <c r="F2774"/>
    </row>
    <row r="2775" spans="6:6" x14ac:dyDescent="0.25">
      <c r="F2775"/>
    </row>
    <row r="2776" spans="6:6" x14ac:dyDescent="0.25">
      <c r="F2776"/>
    </row>
    <row r="2777" spans="6:6" x14ac:dyDescent="0.25">
      <c r="F2777"/>
    </row>
    <row r="2778" spans="6:6" x14ac:dyDescent="0.25">
      <c r="F2778"/>
    </row>
    <row r="2779" spans="6:6" x14ac:dyDescent="0.25">
      <c r="F2779"/>
    </row>
    <row r="2780" spans="6:6" x14ac:dyDescent="0.25">
      <c r="F2780"/>
    </row>
    <row r="2781" spans="6:6" x14ac:dyDescent="0.25">
      <c r="F2781"/>
    </row>
    <row r="2782" spans="6:6" x14ac:dyDescent="0.25">
      <c r="F2782"/>
    </row>
    <row r="2783" spans="6:6" x14ac:dyDescent="0.25">
      <c r="F2783"/>
    </row>
    <row r="2784" spans="6:6" x14ac:dyDescent="0.25">
      <c r="F2784"/>
    </row>
    <row r="2785" spans="6:6" x14ac:dyDescent="0.25">
      <c r="F2785"/>
    </row>
    <row r="2786" spans="6:6" x14ac:dyDescent="0.25">
      <c r="F2786"/>
    </row>
    <row r="2787" spans="6:6" x14ac:dyDescent="0.25">
      <c r="F2787"/>
    </row>
    <row r="2788" spans="6:6" x14ac:dyDescent="0.25">
      <c r="F2788"/>
    </row>
    <row r="2789" spans="6:6" x14ac:dyDescent="0.25">
      <c r="F2789"/>
    </row>
    <row r="2790" spans="6:6" x14ac:dyDescent="0.25">
      <c r="F2790"/>
    </row>
    <row r="2791" spans="6:6" x14ac:dyDescent="0.25">
      <c r="F2791"/>
    </row>
    <row r="2792" spans="6:6" x14ac:dyDescent="0.25">
      <c r="F2792"/>
    </row>
    <row r="2793" spans="6:6" x14ac:dyDescent="0.25">
      <c r="F2793"/>
    </row>
    <row r="2794" spans="6:6" x14ac:dyDescent="0.25">
      <c r="F2794"/>
    </row>
    <row r="2795" spans="6:6" x14ac:dyDescent="0.25">
      <c r="F2795"/>
    </row>
    <row r="2796" spans="6:6" x14ac:dyDescent="0.25">
      <c r="F2796"/>
    </row>
    <row r="2797" spans="6:6" x14ac:dyDescent="0.25">
      <c r="F2797"/>
    </row>
    <row r="2798" spans="6:6" x14ac:dyDescent="0.25">
      <c r="F2798"/>
    </row>
    <row r="2799" spans="6:6" x14ac:dyDescent="0.25">
      <c r="F2799"/>
    </row>
    <row r="2800" spans="6:6" x14ac:dyDescent="0.25">
      <c r="F2800"/>
    </row>
    <row r="2801" spans="6:6" x14ac:dyDescent="0.25">
      <c r="F2801"/>
    </row>
    <row r="2802" spans="6:6" x14ac:dyDescent="0.25">
      <c r="F2802"/>
    </row>
    <row r="2803" spans="6:6" x14ac:dyDescent="0.25">
      <c r="F2803"/>
    </row>
    <row r="2804" spans="6:6" x14ac:dyDescent="0.25">
      <c r="F2804"/>
    </row>
    <row r="2805" spans="6:6" x14ac:dyDescent="0.25">
      <c r="F2805"/>
    </row>
    <row r="2806" spans="6:6" x14ac:dyDescent="0.25">
      <c r="F2806"/>
    </row>
    <row r="2807" spans="6:6" x14ac:dyDescent="0.25">
      <c r="F2807"/>
    </row>
    <row r="2808" spans="6:6" x14ac:dyDescent="0.25">
      <c r="F2808"/>
    </row>
    <row r="2809" spans="6:6" x14ac:dyDescent="0.25">
      <c r="F2809"/>
    </row>
    <row r="2810" spans="6:6" x14ac:dyDescent="0.25">
      <c r="F2810"/>
    </row>
    <row r="2811" spans="6:6" x14ac:dyDescent="0.25">
      <c r="F2811"/>
    </row>
    <row r="2812" spans="6:6" x14ac:dyDescent="0.25">
      <c r="F2812"/>
    </row>
    <row r="2813" spans="6:6" x14ac:dyDescent="0.25">
      <c r="F2813"/>
    </row>
    <row r="2814" spans="6:6" x14ac:dyDescent="0.25">
      <c r="F2814"/>
    </row>
    <row r="2815" spans="6:6" x14ac:dyDescent="0.25">
      <c r="F2815"/>
    </row>
    <row r="2816" spans="6:6" x14ac:dyDescent="0.25">
      <c r="F2816"/>
    </row>
    <row r="2817" spans="6:6" x14ac:dyDescent="0.25">
      <c r="F2817"/>
    </row>
    <row r="2818" spans="6:6" x14ac:dyDescent="0.25">
      <c r="F2818"/>
    </row>
    <row r="2819" spans="6:6" x14ac:dyDescent="0.25">
      <c r="F2819"/>
    </row>
    <row r="2820" spans="6:6" x14ac:dyDescent="0.25">
      <c r="F2820"/>
    </row>
    <row r="2821" spans="6:6" x14ac:dyDescent="0.25">
      <c r="F2821"/>
    </row>
    <row r="2822" spans="6:6" x14ac:dyDescent="0.25">
      <c r="F2822"/>
    </row>
    <row r="2823" spans="6:6" x14ac:dyDescent="0.25">
      <c r="F2823"/>
    </row>
    <row r="2824" spans="6:6" x14ac:dyDescent="0.25">
      <c r="F2824"/>
    </row>
    <row r="2825" spans="6:6" x14ac:dyDescent="0.25">
      <c r="F2825"/>
    </row>
    <row r="2826" spans="6:6" x14ac:dyDescent="0.25">
      <c r="F2826"/>
    </row>
    <row r="2827" spans="6:6" x14ac:dyDescent="0.25">
      <c r="F2827"/>
    </row>
    <row r="2828" spans="6:6" x14ac:dyDescent="0.25">
      <c r="F2828"/>
    </row>
    <row r="2829" spans="6:6" x14ac:dyDescent="0.25">
      <c r="F2829"/>
    </row>
    <row r="2830" spans="6:6" x14ac:dyDescent="0.25">
      <c r="F2830"/>
    </row>
    <row r="2831" spans="6:6" x14ac:dyDescent="0.25">
      <c r="F2831"/>
    </row>
    <row r="2832" spans="6:6" x14ac:dyDescent="0.25">
      <c r="F2832"/>
    </row>
    <row r="2833" spans="6:6" x14ac:dyDescent="0.25">
      <c r="F2833"/>
    </row>
    <row r="2834" spans="6:6" x14ac:dyDescent="0.25">
      <c r="F2834"/>
    </row>
    <row r="2835" spans="6:6" x14ac:dyDescent="0.25">
      <c r="F2835"/>
    </row>
    <row r="2836" spans="6:6" x14ac:dyDescent="0.25">
      <c r="F2836"/>
    </row>
    <row r="2837" spans="6:6" x14ac:dyDescent="0.25">
      <c r="F2837"/>
    </row>
    <row r="2838" spans="6:6" x14ac:dyDescent="0.25">
      <c r="F2838"/>
    </row>
    <row r="2839" spans="6:6" x14ac:dyDescent="0.25">
      <c r="F2839"/>
    </row>
    <row r="2840" spans="6:6" x14ac:dyDescent="0.25">
      <c r="F2840"/>
    </row>
    <row r="2841" spans="6:6" x14ac:dyDescent="0.25">
      <c r="F2841"/>
    </row>
    <row r="2842" spans="6:6" x14ac:dyDescent="0.25">
      <c r="F2842"/>
    </row>
    <row r="2843" spans="6:6" x14ac:dyDescent="0.25">
      <c r="F2843"/>
    </row>
    <row r="2844" spans="6:6" x14ac:dyDescent="0.25">
      <c r="F2844"/>
    </row>
    <row r="2845" spans="6:6" x14ac:dyDescent="0.25">
      <c r="F2845"/>
    </row>
    <row r="2846" spans="6:6" x14ac:dyDescent="0.25">
      <c r="F2846"/>
    </row>
    <row r="2847" spans="6:6" x14ac:dyDescent="0.25">
      <c r="F2847"/>
    </row>
    <row r="2848" spans="6:6" x14ac:dyDescent="0.25">
      <c r="F2848"/>
    </row>
    <row r="2849" spans="6:6" x14ac:dyDescent="0.25">
      <c r="F2849"/>
    </row>
    <row r="2850" spans="6:6" x14ac:dyDescent="0.25">
      <c r="F2850"/>
    </row>
    <row r="2851" spans="6:6" x14ac:dyDescent="0.25">
      <c r="F2851"/>
    </row>
    <row r="2852" spans="6:6" x14ac:dyDescent="0.25">
      <c r="F2852"/>
    </row>
    <row r="2853" spans="6:6" x14ac:dyDescent="0.25">
      <c r="F2853"/>
    </row>
    <row r="2854" spans="6:6" x14ac:dyDescent="0.25">
      <c r="F2854"/>
    </row>
    <row r="2855" spans="6:6" x14ac:dyDescent="0.25">
      <c r="F2855"/>
    </row>
    <row r="2856" spans="6:6" x14ac:dyDescent="0.25">
      <c r="F2856"/>
    </row>
    <row r="2857" spans="6:6" x14ac:dyDescent="0.25">
      <c r="F2857"/>
    </row>
    <row r="2858" spans="6:6" x14ac:dyDescent="0.25">
      <c r="F2858"/>
    </row>
    <row r="2859" spans="6:6" x14ac:dyDescent="0.25">
      <c r="F2859"/>
    </row>
    <row r="2860" spans="6:6" x14ac:dyDescent="0.25">
      <c r="F2860"/>
    </row>
    <row r="2861" spans="6:6" x14ac:dyDescent="0.25">
      <c r="F2861"/>
    </row>
    <row r="2862" spans="6:6" x14ac:dyDescent="0.25">
      <c r="F2862"/>
    </row>
    <row r="2863" spans="6:6" x14ac:dyDescent="0.25">
      <c r="F2863"/>
    </row>
    <row r="2864" spans="6:6" x14ac:dyDescent="0.25">
      <c r="F2864"/>
    </row>
    <row r="2865" spans="6:6" x14ac:dyDescent="0.25">
      <c r="F2865"/>
    </row>
    <row r="2866" spans="6:6" x14ac:dyDescent="0.25">
      <c r="F2866"/>
    </row>
    <row r="2867" spans="6:6" x14ac:dyDescent="0.25">
      <c r="F2867"/>
    </row>
    <row r="2868" spans="6:6" x14ac:dyDescent="0.25">
      <c r="F2868"/>
    </row>
    <row r="2869" spans="6:6" x14ac:dyDescent="0.25">
      <c r="F2869"/>
    </row>
    <row r="2870" spans="6:6" x14ac:dyDescent="0.25">
      <c r="F2870"/>
    </row>
    <row r="2871" spans="6:6" x14ac:dyDescent="0.25">
      <c r="F2871"/>
    </row>
    <row r="2872" spans="6:6" x14ac:dyDescent="0.25">
      <c r="F2872"/>
    </row>
    <row r="2873" spans="6:6" x14ac:dyDescent="0.25">
      <c r="F2873"/>
    </row>
    <row r="2874" spans="6:6" x14ac:dyDescent="0.25">
      <c r="F2874"/>
    </row>
    <row r="2875" spans="6:6" x14ac:dyDescent="0.25">
      <c r="F2875"/>
    </row>
    <row r="2876" spans="6:6" x14ac:dyDescent="0.25">
      <c r="F2876"/>
    </row>
    <row r="2877" spans="6:6" x14ac:dyDescent="0.25">
      <c r="F2877"/>
    </row>
    <row r="2878" spans="6:6" x14ac:dyDescent="0.25">
      <c r="F2878"/>
    </row>
    <row r="2879" spans="6:6" x14ac:dyDescent="0.25">
      <c r="F2879"/>
    </row>
    <row r="2880" spans="6:6" x14ac:dyDescent="0.25">
      <c r="F2880"/>
    </row>
    <row r="2881" spans="6:6" x14ac:dyDescent="0.25">
      <c r="F2881"/>
    </row>
    <row r="2882" spans="6:6" x14ac:dyDescent="0.25">
      <c r="F2882"/>
    </row>
    <row r="2883" spans="6:6" x14ac:dyDescent="0.25">
      <c r="F2883"/>
    </row>
    <row r="2884" spans="6:6" x14ac:dyDescent="0.25">
      <c r="F2884"/>
    </row>
    <row r="2885" spans="6:6" x14ac:dyDescent="0.25">
      <c r="F2885"/>
    </row>
    <row r="2886" spans="6:6" x14ac:dyDescent="0.25">
      <c r="F2886"/>
    </row>
    <row r="2887" spans="6:6" x14ac:dyDescent="0.25">
      <c r="F2887"/>
    </row>
    <row r="2888" spans="6:6" x14ac:dyDescent="0.25">
      <c r="F2888"/>
    </row>
    <row r="2889" spans="6:6" x14ac:dyDescent="0.25">
      <c r="F2889"/>
    </row>
    <row r="2890" spans="6:6" x14ac:dyDescent="0.25">
      <c r="F2890"/>
    </row>
    <row r="2891" spans="6:6" x14ac:dyDescent="0.25">
      <c r="F2891"/>
    </row>
    <row r="2892" spans="6:6" x14ac:dyDescent="0.25">
      <c r="F2892"/>
    </row>
    <row r="2893" spans="6:6" x14ac:dyDescent="0.25">
      <c r="F2893"/>
    </row>
    <row r="2894" spans="6:6" x14ac:dyDescent="0.25">
      <c r="F2894"/>
    </row>
    <row r="2895" spans="6:6" x14ac:dyDescent="0.25">
      <c r="F2895"/>
    </row>
    <row r="2896" spans="6:6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  <row r="3224" spans="6:6" x14ac:dyDescent="0.25">
      <c r="F3224"/>
    </row>
    <row r="3225" spans="6:6" x14ac:dyDescent="0.25">
      <c r="F3225"/>
    </row>
    <row r="3226" spans="6:6" x14ac:dyDescent="0.25">
      <c r="F3226"/>
    </row>
    <row r="3227" spans="6:6" x14ac:dyDescent="0.25">
      <c r="F3227"/>
    </row>
    <row r="3228" spans="6:6" x14ac:dyDescent="0.25">
      <c r="F3228"/>
    </row>
    <row r="3229" spans="6:6" x14ac:dyDescent="0.25">
      <c r="F3229"/>
    </row>
    <row r="3230" spans="6:6" x14ac:dyDescent="0.25">
      <c r="F3230"/>
    </row>
    <row r="3231" spans="6:6" x14ac:dyDescent="0.25">
      <c r="F3231"/>
    </row>
    <row r="3232" spans="6:6" x14ac:dyDescent="0.25">
      <c r="F3232"/>
    </row>
    <row r="3233" spans="6:6" x14ac:dyDescent="0.25">
      <c r="F3233"/>
    </row>
    <row r="3234" spans="6:6" x14ac:dyDescent="0.25">
      <c r="F3234"/>
    </row>
    <row r="3235" spans="6:6" x14ac:dyDescent="0.25">
      <c r="F3235"/>
    </row>
    <row r="3236" spans="6:6" x14ac:dyDescent="0.25">
      <c r="F3236"/>
    </row>
    <row r="3237" spans="6:6" x14ac:dyDescent="0.25">
      <c r="F3237"/>
    </row>
    <row r="3238" spans="6:6" x14ac:dyDescent="0.25">
      <c r="F3238"/>
    </row>
    <row r="3239" spans="6:6" x14ac:dyDescent="0.25">
      <c r="F3239"/>
    </row>
    <row r="3240" spans="6:6" x14ac:dyDescent="0.25">
      <c r="F3240"/>
    </row>
    <row r="3241" spans="6:6" x14ac:dyDescent="0.25">
      <c r="F3241"/>
    </row>
    <row r="3242" spans="6:6" x14ac:dyDescent="0.25">
      <c r="F3242"/>
    </row>
    <row r="3243" spans="6:6" x14ac:dyDescent="0.25">
      <c r="F3243"/>
    </row>
    <row r="3244" spans="6:6" x14ac:dyDescent="0.25">
      <c r="F3244"/>
    </row>
    <row r="3245" spans="6:6" x14ac:dyDescent="0.25">
      <c r="F3245"/>
    </row>
    <row r="3246" spans="6:6" x14ac:dyDescent="0.25">
      <c r="F3246"/>
    </row>
    <row r="3247" spans="6:6" x14ac:dyDescent="0.25">
      <c r="F3247"/>
    </row>
    <row r="3248" spans="6:6" x14ac:dyDescent="0.25">
      <c r="F3248"/>
    </row>
    <row r="3249" spans="6:6" x14ac:dyDescent="0.25">
      <c r="F3249"/>
    </row>
    <row r="3250" spans="6:6" x14ac:dyDescent="0.25">
      <c r="F3250"/>
    </row>
    <row r="3251" spans="6:6" x14ac:dyDescent="0.25">
      <c r="F3251"/>
    </row>
    <row r="3252" spans="6:6" x14ac:dyDescent="0.25">
      <c r="F3252"/>
    </row>
    <row r="3253" spans="6:6" x14ac:dyDescent="0.25">
      <c r="F3253"/>
    </row>
    <row r="3254" spans="6:6" x14ac:dyDescent="0.25">
      <c r="F3254"/>
    </row>
    <row r="3255" spans="6:6" x14ac:dyDescent="0.25">
      <c r="F3255"/>
    </row>
    <row r="3256" spans="6:6" x14ac:dyDescent="0.25">
      <c r="F3256"/>
    </row>
    <row r="3257" spans="6:6" x14ac:dyDescent="0.25">
      <c r="F3257"/>
    </row>
    <row r="3258" spans="6:6" x14ac:dyDescent="0.25">
      <c r="F3258"/>
    </row>
    <row r="3259" spans="6:6" x14ac:dyDescent="0.25">
      <c r="F3259"/>
    </row>
    <row r="3260" spans="6:6" x14ac:dyDescent="0.25">
      <c r="F3260"/>
    </row>
    <row r="3261" spans="6:6" x14ac:dyDescent="0.25">
      <c r="F3261"/>
    </row>
    <row r="3262" spans="6:6" x14ac:dyDescent="0.25">
      <c r="F3262"/>
    </row>
    <row r="3263" spans="6:6" x14ac:dyDescent="0.25">
      <c r="F3263"/>
    </row>
    <row r="3264" spans="6:6" x14ac:dyDescent="0.25">
      <c r="F3264"/>
    </row>
    <row r="3265" spans="6:6" x14ac:dyDescent="0.25">
      <c r="F3265"/>
    </row>
    <row r="3266" spans="6:6" x14ac:dyDescent="0.25">
      <c r="F3266"/>
    </row>
    <row r="3267" spans="6:6" x14ac:dyDescent="0.25">
      <c r="F3267"/>
    </row>
    <row r="3268" spans="6:6" x14ac:dyDescent="0.25">
      <c r="F3268"/>
    </row>
    <row r="3269" spans="6:6" x14ac:dyDescent="0.25">
      <c r="F3269"/>
    </row>
    <row r="3270" spans="6:6" x14ac:dyDescent="0.25">
      <c r="F3270"/>
    </row>
    <row r="3271" spans="6:6" x14ac:dyDescent="0.25">
      <c r="F3271"/>
    </row>
    <row r="3272" spans="6:6" x14ac:dyDescent="0.25">
      <c r="F3272"/>
    </row>
    <row r="3273" spans="6:6" x14ac:dyDescent="0.25">
      <c r="F3273"/>
    </row>
    <row r="3274" spans="6:6" x14ac:dyDescent="0.25">
      <c r="F3274"/>
    </row>
    <row r="3275" spans="6:6" x14ac:dyDescent="0.25">
      <c r="F3275"/>
    </row>
    <row r="3276" spans="6:6" x14ac:dyDescent="0.25">
      <c r="F3276"/>
    </row>
    <row r="3277" spans="6:6" x14ac:dyDescent="0.25">
      <c r="F3277"/>
    </row>
    <row r="3278" spans="6:6" x14ac:dyDescent="0.25">
      <c r="F3278"/>
    </row>
    <row r="3279" spans="6:6" x14ac:dyDescent="0.25">
      <c r="F3279"/>
    </row>
    <row r="3280" spans="6:6" x14ac:dyDescent="0.25">
      <c r="F3280"/>
    </row>
    <row r="3281" spans="6:6" x14ac:dyDescent="0.25">
      <c r="F3281"/>
    </row>
    <row r="3282" spans="6:6" x14ac:dyDescent="0.25">
      <c r="F3282"/>
    </row>
    <row r="3283" spans="6:6" x14ac:dyDescent="0.25">
      <c r="F3283"/>
    </row>
    <row r="3284" spans="6:6" x14ac:dyDescent="0.25">
      <c r="F3284"/>
    </row>
    <row r="3285" spans="6:6" x14ac:dyDescent="0.25">
      <c r="F3285"/>
    </row>
    <row r="3286" spans="6:6" x14ac:dyDescent="0.25">
      <c r="F3286"/>
    </row>
    <row r="3287" spans="6:6" x14ac:dyDescent="0.25">
      <c r="F3287"/>
    </row>
    <row r="3288" spans="6:6" x14ac:dyDescent="0.25">
      <c r="F3288"/>
    </row>
    <row r="3289" spans="6:6" x14ac:dyDescent="0.25">
      <c r="F3289"/>
    </row>
    <row r="3290" spans="6:6" x14ac:dyDescent="0.25">
      <c r="F3290"/>
    </row>
    <row r="3291" spans="6:6" x14ac:dyDescent="0.25">
      <c r="F3291"/>
    </row>
    <row r="3292" spans="6:6" x14ac:dyDescent="0.25">
      <c r="F3292"/>
    </row>
    <row r="3293" spans="6:6" x14ac:dyDescent="0.25">
      <c r="F3293"/>
    </row>
    <row r="3294" spans="6:6" x14ac:dyDescent="0.25">
      <c r="F3294"/>
    </row>
    <row r="3295" spans="6:6" x14ac:dyDescent="0.25">
      <c r="F3295"/>
    </row>
    <row r="3296" spans="6:6" x14ac:dyDescent="0.25">
      <c r="F3296"/>
    </row>
    <row r="3297" spans="6:6" x14ac:dyDescent="0.25">
      <c r="F3297"/>
    </row>
    <row r="3298" spans="6:6" x14ac:dyDescent="0.25">
      <c r="F3298"/>
    </row>
    <row r="3299" spans="6:6" x14ac:dyDescent="0.25">
      <c r="F3299"/>
    </row>
    <row r="3300" spans="6:6" x14ac:dyDescent="0.25">
      <c r="F3300"/>
    </row>
    <row r="3301" spans="6:6" x14ac:dyDescent="0.25">
      <c r="F3301"/>
    </row>
    <row r="3302" spans="6:6" x14ac:dyDescent="0.25">
      <c r="F3302"/>
    </row>
    <row r="3303" spans="6:6" x14ac:dyDescent="0.25">
      <c r="F3303"/>
    </row>
    <row r="3304" spans="6:6" x14ac:dyDescent="0.25">
      <c r="F3304"/>
    </row>
    <row r="3305" spans="6:6" x14ac:dyDescent="0.25">
      <c r="F3305"/>
    </row>
    <row r="3306" spans="6:6" x14ac:dyDescent="0.25">
      <c r="F3306"/>
    </row>
    <row r="3307" spans="6:6" x14ac:dyDescent="0.25">
      <c r="F3307"/>
    </row>
    <row r="3308" spans="6:6" x14ac:dyDescent="0.25">
      <c r="F3308"/>
    </row>
    <row r="3309" spans="6:6" x14ac:dyDescent="0.25">
      <c r="F3309"/>
    </row>
    <row r="3310" spans="6:6" x14ac:dyDescent="0.25">
      <c r="F3310"/>
    </row>
    <row r="3311" spans="6:6" x14ac:dyDescent="0.25">
      <c r="F3311"/>
    </row>
    <row r="3312" spans="6:6" x14ac:dyDescent="0.25">
      <c r="F3312"/>
    </row>
    <row r="3313" spans="6:6" x14ac:dyDescent="0.25">
      <c r="F3313"/>
    </row>
    <row r="3314" spans="6:6" x14ac:dyDescent="0.25">
      <c r="F3314"/>
    </row>
    <row r="3315" spans="6:6" x14ac:dyDescent="0.25">
      <c r="F3315"/>
    </row>
    <row r="3316" spans="6:6" x14ac:dyDescent="0.25">
      <c r="F3316"/>
    </row>
    <row r="3317" spans="6:6" x14ac:dyDescent="0.25">
      <c r="F3317"/>
    </row>
    <row r="3318" spans="6:6" x14ac:dyDescent="0.25">
      <c r="F3318"/>
    </row>
    <row r="3319" spans="6:6" x14ac:dyDescent="0.25">
      <c r="F3319"/>
    </row>
    <row r="3320" spans="6:6" x14ac:dyDescent="0.25">
      <c r="F3320"/>
    </row>
    <row r="3321" spans="6:6" x14ac:dyDescent="0.25">
      <c r="F3321"/>
    </row>
    <row r="3322" spans="6:6" x14ac:dyDescent="0.25">
      <c r="F3322"/>
    </row>
    <row r="3323" spans="6:6" x14ac:dyDescent="0.25">
      <c r="F3323"/>
    </row>
    <row r="3324" spans="6:6" x14ac:dyDescent="0.25">
      <c r="F3324"/>
    </row>
    <row r="3325" spans="6:6" x14ac:dyDescent="0.25">
      <c r="F3325"/>
    </row>
    <row r="3326" spans="6:6" x14ac:dyDescent="0.25">
      <c r="F3326"/>
    </row>
    <row r="3327" spans="6:6" x14ac:dyDescent="0.25">
      <c r="F3327"/>
    </row>
    <row r="3328" spans="6:6" x14ac:dyDescent="0.25">
      <c r="F3328"/>
    </row>
    <row r="3329" spans="6:6" x14ac:dyDescent="0.25">
      <c r="F3329"/>
    </row>
    <row r="3330" spans="6:6" x14ac:dyDescent="0.25">
      <c r="F3330"/>
    </row>
    <row r="3331" spans="6:6" x14ac:dyDescent="0.25">
      <c r="F3331"/>
    </row>
    <row r="3332" spans="6:6" x14ac:dyDescent="0.25">
      <c r="F3332"/>
    </row>
    <row r="3333" spans="6:6" x14ac:dyDescent="0.25">
      <c r="F3333"/>
    </row>
    <row r="3334" spans="6:6" x14ac:dyDescent="0.25">
      <c r="F3334"/>
    </row>
    <row r="3335" spans="6:6" x14ac:dyDescent="0.25">
      <c r="F3335"/>
    </row>
    <row r="3336" spans="6:6" x14ac:dyDescent="0.25">
      <c r="F3336"/>
    </row>
    <row r="3337" spans="6:6" x14ac:dyDescent="0.25">
      <c r="F3337"/>
    </row>
    <row r="3338" spans="6:6" x14ac:dyDescent="0.25">
      <c r="F3338"/>
    </row>
    <row r="3339" spans="6:6" x14ac:dyDescent="0.25">
      <c r="F3339"/>
    </row>
    <row r="3340" spans="6:6" x14ac:dyDescent="0.25">
      <c r="F3340"/>
    </row>
    <row r="3341" spans="6:6" x14ac:dyDescent="0.25">
      <c r="F3341"/>
    </row>
    <row r="3342" spans="6:6" x14ac:dyDescent="0.25">
      <c r="F3342"/>
    </row>
    <row r="3343" spans="6:6" x14ac:dyDescent="0.25">
      <c r="F3343"/>
    </row>
    <row r="3344" spans="6:6" x14ac:dyDescent="0.25">
      <c r="F3344"/>
    </row>
    <row r="3345" spans="6:6" x14ac:dyDescent="0.25">
      <c r="F3345"/>
    </row>
    <row r="3346" spans="6:6" x14ac:dyDescent="0.25">
      <c r="F3346"/>
    </row>
    <row r="3347" spans="6:6" x14ac:dyDescent="0.25">
      <c r="F3347"/>
    </row>
    <row r="3348" spans="6:6" x14ac:dyDescent="0.25">
      <c r="F3348"/>
    </row>
    <row r="3349" spans="6:6" x14ac:dyDescent="0.25">
      <c r="F3349"/>
    </row>
    <row r="3350" spans="6:6" x14ac:dyDescent="0.25">
      <c r="F3350"/>
    </row>
    <row r="3351" spans="6:6" x14ac:dyDescent="0.25">
      <c r="F3351"/>
    </row>
    <row r="3352" spans="6:6" x14ac:dyDescent="0.25">
      <c r="F3352"/>
    </row>
    <row r="3353" spans="6:6" x14ac:dyDescent="0.25">
      <c r="F3353"/>
    </row>
    <row r="3354" spans="6:6" x14ac:dyDescent="0.25">
      <c r="F3354"/>
    </row>
    <row r="3355" spans="6:6" x14ac:dyDescent="0.25">
      <c r="F3355"/>
    </row>
    <row r="3356" spans="6:6" x14ac:dyDescent="0.25">
      <c r="F3356"/>
    </row>
    <row r="3357" spans="6:6" x14ac:dyDescent="0.25">
      <c r="F3357"/>
    </row>
    <row r="3358" spans="6:6" x14ac:dyDescent="0.25">
      <c r="F3358"/>
    </row>
    <row r="3359" spans="6:6" x14ac:dyDescent="0.25">
      <c r="F3359"/>
    </row>
    <row r="3360" spans="6:6" x14ac:dyDescent="0.25">
      <c r="F3360"/>
    </row>
    <row r="3361" spans="6:6" x14ac:dyDescent="0.25">
      <c r="F3361"/>
    </row>
    <row r="3362" spans="6:6" x14ac:dyDescent="0.25">
      <c r="F3362"/>
    </row>
    <row r="3363" spans="6:6" x14ac:dyDescent="0.25">
      <c r="F3363"/>
    </row>
    <row r="3364" spans="6:6" x14ac:dyDescent="0.25">
      <c r="F3364"/>
    </row>
    <row r="3365" spans="6:6" x14ac:dyDescent="0.25">
      <c r="F3365"/>
    </row>
    <row r="3366" spans="6:6" x14ac:dyDescent="0.25">
      <c r="F3366"/>
    </row>
    <row r="3367" spans="6:6" x14ac:dyDescent="0.25">
      <c r="F3367"/>
    </row>
    <row r="3368" spans="6:6" x14ac:dyDescent="0.25">
      <c r="F3368"/>
    </row>
    <row r="3369" spans="6:6" x14ac:dyDescent="0.25">
      <c r="F3369"/>
    </row>
    <row r="3370" spans="6:6" x14ac:dyDescent="0.25">
      <c r="F3370"/>
    </row>
    <row r="3371" spans="6:6" x14ac:dyDescent="0.25">
      <c r="F3371"/>
    </row>
    <row r="3372" spans="6:6" x14ac:dyDescent="0.25">
      <c r="F3372"/>
    </row>
    <row r="3373" spans="6:6" x14ac:dyDescent="0.25">
      <c r="F3373"/>
    </row>
    <row r="3374" spans="6:6" x14ac:dyDescent="0.25">
      <c r="F3374"/>
    </row>
    <row r="3375" spans="6:6" x14ac:dyDescent="0.25">
      <c r="F3375"/>
    </row>
    <row r="3376" spans="6:6" x14ac:dyDescent="0.25">
      <c r="F3376"/>
    </row>
    <row r="3377" spans="6:6" x14ac:dyDescent="0.25">
      <c r="F3377"/>
    </row>
    <row r="3378" spans="6:6" x14ac:dyDescent="0.25">
      <c r="F3378"/>
    </row>
    <row r="3379" spans="6:6" x14ac:dyDescent="0.25">
      <c r="F3379"/>
    </row>
    <row r="3380" spans="6:6" x14ac:dyDescent="0.25">
      <c r="F3380"/>
    </row>
    <row r="3381" spans="6:6" x14ac:dyDescent="0.25">
      <c r="F3381"/>
    </row>
    <row r="3382" spans="6:6" x14ac:dyDescent="0.25">
      <c r="F3382"/>
    </row>
    <row r="3383" spans="6:6" x14ac:dyDescent="0.25">
      <c r="F3383"/>
    </row>
    <row r="3384" spans="6:6" x14ac:dyDescent="0.25">
      <c r="F3384"/>
    </row>
    <row r="3385" spans="6:6" x14ac:dyDescent="0.25">
      <c r="F3385"/>
    </row>
    <row r="3386" spans="6:6" x14ac:dyDescent="0.25">
      <c r="F3386"/>
    </row>
    <row r="3387" spans="6:6" x14ac:dyDescent="0.25">
      <c r="F3387"/>
    </row>
    <row r="3388" spans="6:6" x14ac:dyDescent="0.25">
      <c r="F3388"/>
    </row>
    <row r="3389" spans="6:6" x14ac:dyDescent="0.25">
      <c r="F3389"/>
    </row>
    <row r="3390" spans="6:6" x14ac:dyDescent="0.25">
      <c r="F3390"/>
    </row>
    <row r="3391" spans="6:6" x14ac:dyDescent="0.25">
      <c r="F3391"/>
    </row>
    <row r="3392" spans="6:6" x14ac:dyDescent="0.25">
      <c r="F3392"/>
    </row>
    <row r="3393" spans="6:6" x14ac:dyDescent="0.25">
      <c r="F3393"/>
    </row>
    <row r="3394" spans="6:6" x14ac:dyDescent="0.25">
      <c r="F3394"/>
    </row>
    <row r="3395" spans="6:6" x14ac:dyDescent="0.25">
      <c r="F3395"/>
    </row>
    <row r="3396" spans="6:6" x14ac:dyDescent="0.25">
      <c r="F3396"/>
    </row>
    <row r="3397" spans="6:6" x14ac:dyDescent="0.25">
      <c r="F3397"/>
    </row>
    <row r="3398" spans="6:6" x14ac:dyDescent="0.25">
      <c r="F3398"/>
    </row>
    <row r="3399" spans="6:6" x14ac:dyDescent="0.25">
      <c r="F3399"/>
    </row>
    <row r="3400" spans="6:6" x14ac:dyDescent="0.25">
      <c r="F3400"/>
    </row>
    <row r="3401" spans="6:6" x14ac:dyDescent="0.25">
      <c r="F3401"/>
    </row>
    <row r="3402" spans="6:6" x14ac:dyDescent="0.25">
      <c r="F3402"/>
    </row>
    <row r="3403" spans="6:6" x14ac:dyDescent="0.25">
      <c r="F3403"/>
    </row>
    <row r="3404" spans="6:6" x14ac:dyDescent="0.25">
      <c r="F3404"/>
    </row>
    <row r="3405" spans="6:6" x14ac:dyDescent="0.25">
      <c r="F3405"/>
    </row>
    <row r="3406" spans="6:6" x14ac:dyDescent="0.25">
      <c r="F3406"/>
    </row>
    <row r="3407" spans="6:6" x14ac:dyDescent="0.25">
      <c r="F3407"/>
    </row>
    <row r="3408" spans="6:6" x14ac:dyDescent="0.25">
      <c r="F3408"/>
    </row>
    <row r="3409" spans="6:6" x14ac:dyDescent="0.25">
      <c r="F3409"/>
    </row>
    <row r="3410" spans="6:6" x14ac:dyDescent="0.25">
      <c r="F3410"/>
    </row>
    <row r="3411" spans="6:6" x14ac:dyDescent="0.25">
      <c r="F3411"/>
    </row>
    <row r="3412" spans="6:6" x14ac:dyDescent="0.25">
      <c r="F3412"/>
    </row>
    <row r="3413" spans="6:6" x14ac:dyDescent="0.25">
      <c r="F3413"/>
    </row>
    <row r="3414" spans="6:6" x14ac:dyDescent="0.25">
      <c r="F3414"/>
    </row>
    <row r="3415" spans="6:6" x14ac:dyDescent="0.25">
      <c r="F3415"/>
    </row>
    <row r="3416" spans="6:6" x14ac:dyDescent="0.25">
      <c r="F3416"/>
    </row>
    <row r="3417" spans="6:6" x14ac:dyDescent="0.25">
      <c r="F3417"/>
    </row>
    <row r="3418" spans="6:6" x14ac:dyDescent="0.25">
      <c r="F3418"/>
    </row>
    <row r="3419" spans="6:6" x14ac:dyDescent="0.25">
      <c r="F3419"/>
    </row>
    <row r="3420" spans="6:6" x14ac:dyDescent="0.25">
      <c r="F3420"/>
    </row>
    <row r="3421" spans="6:6" x14ac:dyDescent="0.25">
      <c r="F3421"/>
    </row>
    <row r="3422" spans="6:6" x14ac:dyDescent="0.25">
      <c r="F3422"/>
    </row>
    <row r="3423" spans="6:6" x14ac:dyDescent="0.25">
      <c r="F3423"/>
    </row>
    <row r="3424" spans="6:6" x14ac:dyDescent="0.25">
      <c r="F3424"/>
    </row>
    <row r="3425" spans="6:6" x14ac:dyDescent="0.25">
      <c r="F3425"/>
    </row>
    <row r="3426" spans="6:6" x14ac:dyDescent="0.25">
      <c r="F3426"/>
    </row>
    <row r="3427" spans="6:6" x14ac:dyDescent="0.25">
      <c r="F3427"/>
    </row>
    <row r="3428" spans="6:6" x14ac:dyDescent="0.25">
      <c r="F3428"/>
    </row>
    <row r="3429" spans="6:6" x14ac:dyDescent="0.25">
      <c r="F3429"/>
    </row>
    <row r="3430" spans="6:6" x14ac:dyDescent="0.25">
      <c r="F3430"/>
    </row>
    <row r="3431" spans="6:6" x14ac:dyDescent="0.25">
      <c r="F3431"/>
    </row>
    <row r="3432" spans="6:6" x14ac:dyDescent="0.25">
      <c r="F3432"/>
    </row>
    <row r="3433" spans="6:6" x14ac:dyDescent="0.25">
      <c r="F3433"/>
    </row>
    <row r="3434" spans="6:6" x14ac:dyDescent="0.25">
      <c r="F3434"/>
    </row>
    <row r="3435" spans="6:6" x14ac:dyDescent="0.25">
      <c r="F3435"/>
    </row>
    <row r="3436" spans="6:6" x14ac:dyDescent="0.25">
      <c r="F3436"/>
    </row>
    <row r="3437" spans="6:6" x14ac:dyDescent="0.25">
      <c r="F3437"/>
    </row>
    <row r="3438" spans="6:6" x14ac:dyDescent="0.25">
      <c r="F3438"/>
    </row>
    <row r="3439" spans="6:6" x14ac:dyDescent="0.25">
      <c r="F3439"/>
    </row>
    <row r="3440" spans="6:6" x14ac:dyDescent="0.25">
      <c r="F3440"/>
    </row>
    <row r="3441" spans="6:6" x14ac:dyDescent="0.25">
      <c r="F3441"/>
    </row>
    <row r="3442" spans="6:6" x14ac:dyDescent="0.25">
      <c r="F3442"/>
    </row>
    <row r="3443" spans="6:6" x14ac:dyDescent="0.25">
      <c r="F3443"/>
    </row>
    <row r="3444" spans="6:6" x14ac:dyDescent="0.25">
      <c r="F3444"/>
    </row>
    <row r="3445" spans="6:6" x14ac:dyDescent="0.25">
      <c r="F3445"/>
    </row>
    <row r="3446" spans="6:6" x14ac:dyDescent="0.25">
      <c r="F3446"/>
    </row>
    <row r="3447" spans="6:6" x14ac:dyDescent="0.25">
      <c r="F3447"/>
    </row>
    <row r="3448" spans="6:6" x14ac:dyDescent="0.25">
      <c r="F3448"/>
    </row>
    <row r="3449" spans="6:6" x14ac:dyDescent="0.25">
      <c r="F3449"/>
    </row>
    <row r="3450" spans="6:6" x14ac:dyDescent="0.25">
      <c r="F3450"/>
    </row>
    <row r="3451" spans="6:6" x14ac:dyDescent="0.25">
      <c r="F3451"/>
    </row>
    <row r="3452" spans="6:6" x14ac:dyDescent="0.25">
      <c r="F3452"/>
    </row>
    <row r="3453" spans="6:6" x14ac:dyDescent="0.25">
      <c r="F3453"/>
    </row>
    <row r="3454" spans="6:6" x14ac:dyDescent="0.25">
      <c r="F3454"/>
    </row>
    <row r="3455" spans="6:6" x14ac:dyDescent="0.25">
      <c r="F3455"/>
    </row>
    <row r="3456" spans="6:6" x14ac:dyDescent="0.25">
      <c r="F3456"/>
    </row>
    <row r="3457" spans="6:6" x14ac:dyDescent="0.25">
      <c r="F3457"/>
    </row>
    <row r="3458" spans="6:6" x14ac:dyDescent="0.25">
      <c r="F3458"/>
    </row>
    <row r="3459" spans="6:6" x14ac:dyDescent="0.25">
      <c r="F3459"/>
    </row>
    <row r="3460" spans="6:6" x14ac:dyDescent="0.25">
      <c r="F3460"/>
    </row>
    <row r="3461" spans="6:6" x14ac:dyDescent="0.25">
      <c r="F3461"/>
    </row>
    <row r="3462" spans="6:6" x14ac:dyDescent="0.25">
      <c r="F3462"/>
    </row>
    <row r="3463" spans="6:6" x14ac:dyDescent="0.25">
      <c r="F3463"/>
    </row>
    <row r="3464" spans="6:6" x14ac:dyDescent="0.25">
      <c r="F3464"/>
    </row>
    <row r="3465" spans="6:6" x14ac:dyDescent="0.25">
      <c r="F3465"/>
    </row>
    <row r="3466" spans="6:6" x14ac:dyDescent="0.25">
      <c r="F3466"/>
    </row>
    <row r="3467" spans="6:6" x14ac:dyDescent="0.25">
      <c r="F3467"/>
    </row>
    <row r="3468" spans="6:6" x14ac:dyDescent="0.25">
      <c r="F3468"/>
    </row>
    <row r="3469" spans="6:6" x14ac:dyDescent="0.25">
      <c r="F3469"/>
    </row>
    <row r="3470" spans="6:6" x14ac:dyDescent="0.25">
      <c r="F3470"/>
    </row>
    <row r="3471" spans="6:6" x14ac:dyDescent="0.25">
      <c r="F3471"/>
    </row>
    <row r="3472" spans="6:6" x14ac:dyDescent="0.25">
      <c r="F3472"/>
    </row>
    <row r="3473" spans="6:6" x14ac:dyDescent="0.25">
      <c r="F3473"/>
    </row>
    <row r="3474" spans="6:6" x14ac:dyDescent="0.25">
      <c r="F3474"/>
    </row>
    <row r="3475" spans="6:6" x14ac:dyDescent="0.25">
      <c r="F3475"/>
    </row>
    <row r="3476" spans="6:6" x14ac:dyDescent="0.25">
      <c r="F3476"/>
    </row>
    <row r="3477" spans="6:6" x14ac:dyDescent="0.25">
      <c r="F3477"/>
    </row>
    <row r="3478" spans="6:6" x14ac:dyDescent="0.25">
      <c r="F3478"/>
    </row>
    <row r="3479" spans="6:6" x14ac:dyDescent="0.25">
      <c r="F3479"/>
    </row>
    <row r="3480" spans="6:6" x14ac:dyDescent="0.25">
      <c r="F3480"/>
    </row>
    <row r="3481" spans="6:6" x14ac:dyDescent="0.25">
      <c r="F3481"/>
    </row>
    <row r="3482" spans="6:6" x14ac:dyDescent="0.25">
      <c r="F3482"/>
    </row>
    <row r="3483" spans="6:6" x14ac:dyDescent="0.25">
      <c r="F3483"/>
    </row>
    <row r="3484" spans="6:6" x14ac:dyDescent="0.25">
      <c r="F3484"/>
    </row>
    <row r="3485" spans="6:6" x14ac:dyDescent="0.25">
      <c r="F3485"/>
    </row>
    <row r="3486" spans="6:6" x14ac:dyDescent="0.25">
      <c r="F3486"/>
    </row>
    <row r="3487" spans="6:6" x14ac:dyDescent="0.25">
      <c r="F3487"/>
    </row>
    <row r="3488" spans="6:6" x14ac:dyDescent="0.25">
      <c r="F3488"/>
    </row>
    <row r="3489" spans="6:6" x14ac:dyDescent="0.25">
      <c r="F3489"/>
    </row>
    <row r="3490" spans="6:6" x14ac:dyDescent="0.25">
      <c r="F3490"/>
    </row>
    <row r="3491" spans="6:6" x14ac:dyDescent="0.25">
      <c r="F3491"/>
    </row>
    <row r="3492" spans="6:6" x14ac:dyDescent="0.25">
      <c r="F3492"/>
    </row>
    <row r="3493" spans="6:6" x14ac:dyDescent="0.25">
      <c r="F3493"/>
    </row>
    <row r="3494" spans="6:6" x14ac:dyDescent="0.25">
      <c r="F3494"/>
    </row>
    <row r="3495" spans="6:6" x14ac:dyDescent="0.25">
      <c r="F3495"/>
    </row>
    <row r="3496" spans="6:6" x14ac:dyDescent="0.25">
      <c r="F3496"/>
    </row>
    <row r="3497" spans="6:6" x14ac:dyDescent="0.25">
      <c r="F3497"/>
    </row>
    <row r="3498" spans="6:6" x14ac:dyDescent="0.25">
      <c r="F3498"/>
    </row>
    <row r="3499" spans="6:6" x14ac:dyDescent="0.25">
      <c r="F3499"/>
    </row>
    <row r="3500" spans="6:6" x14ac:dyDescent="0.25">
      <c r="F3500"/>
    </row>
    <row r="3501" spans="6:6" x14ac:dyDescent="0.25">
      <c r="F3501"/>
    </row>
    <row r="3502" spans="6:6" x14ac:dyDescent="0.25">
      <c r="F3502"/>
    </row>
    <row r="3503" spans="6:6" x14ac:dyDescent="0.25">
      <c r="F3503"/>
    </row>
    <row r="3504" spans="6:6" x14ac:dyDescent="0.25">
      <c r="F3504"/>
    </row>
    <row r="3505" spans="6:6" x14ac:dyDescent="0.25">
      <c r="F3505"/>
    </row>
    <row r="3506" spans="6:6" x14ac:dyDescent="0.25">
      <c r="F3506"/>
    </row>
    <row r="3507" spans="6:6" x14ac:dyDescent="0.25">
      <c r="F3507"/>
    </row>
    <row r="3508" spans="6:6" x14ac:dyDescent="0.25">
      <c r="F3508"/>
    </row>
    <row r="3509" spans="6:6" x14ac:dyDescent="0.25">
      <c r="F3509"/>
    </row>
    <row r="3510" spans="6:6" x14ac:dyDescent="0.25">
      <c r="F3510"/>
    </row>
    <row r="3511" spans="6:6" x14ac:dyDescent="0.25">
      <c r="F3511"/>
    </row>
    <row r="3512" spans="6:6" x14ac:dyDescent="0.25">
      <c r="F3512"/>
    </row>
    <row r="3513" spans="6:6" x14ac:dyDescent="0.25">
      <c r="F3513"/>
    </row>
    <row r="3514" spans="6:6" x14ac:dyDescent="0.25">
      <c r="F3514"/>
    </row>
    <row r="3515" spans="6:6" x14ac:dyDescent="0.25">
      <c r="F3515"/>
    </row>
    <row r="3516" spans="6:6" x14ac:dyDescent="0.25">
      <c r="F3516"/>
    </row>
    <row r="3517" spans="6:6" x14ac:dyDescent="0.25">
      <c r="F3517"/>
    </row>
    <row r="3518" spans="6:6" x14ac:dyDescent="0.25">
      <c r="F3518"/>
    </row>
    <row r="3519" spans="6:6" x14ac:dyDescent="0.25">
      <c r="F3519"/>
    </row>
    <row r="3520" spans="6:6" x14ac:dyDescent="0.25">
      <c r="F3520"/>
    </row>
    <row r="3521" spans="6:6" x14ac:dyDescent="0.25">
      <c r="F3521"/>
    </row>
    <row r="3522" spans="6:6" x14ac:dyDescent="0.25">
      <c r="F3522"/>
    </row>
    <row r="3523" spans="6:6" x14ac:dyDescent="0.25">
      <c r="F3523"/>
    </row>
    <row r="3524" spans="6:6" x14ac:dyDescent="0.25">
      <c r="F3524"/>
    </row>
    <row r="3525" spans="6:6" x14ac:dyDescent="0.25">
      <c r="F3525"/>
    </row>
    <row r="3526" spans="6:6" x14ac:dyDescent="0.25">
      <c r="F3526"/>
    </row>
    <row r="3527" spans="6:6" x14ac:dyDescent="0.25">
      <c r="F3527"/>
    </row>
    <row r="3528" spans="6:6" x14ac:dyDescent="0.25">
      <c r="F3528"/>
    </row>
    <row r="3529" spans="6:6" x14ac:dyDescent="0.25">
      <c r="F3529"/>
    </row>
    <row r="3530" spans="6:6" x14ac:dyDescent="0.25">
      <c r="F3530"/>
    </row>
    <row r="3531" spans="6:6" x14ac:dyDescent="0.25">
      <c r="F3531"/>
    </row>
    <row r="3532" spans="6:6" x14ac:dyDescent="0.25">
      <c r="F3532"/>
    </row>
    <row r="3533" spans="6:6" x14ac:dyDescent="0.25">
      <c r="F3533"/>
    </row>
    <row r="3534" spans="6:6" x14ac:dyDescent="0.25">
      <c r="F3534"/>
    </row>
    <row r="3535" spans="6:6" x14ac:dyDescent="0.25">
      <c r="F3535"/>
    </row>
    <row r="3536" spans="6:6" x14ac:dyDescent="0.25">
      <c r="F3536"/>
    </row>
    <row r="3537" spans="6:6" x14ac:dyDescent="0.25">
      <c r="F3537"/>
    </row>
    <row r="3538" spans="6:6" x14ac:dyDescent="0.25">
      <c r="F3538"/>
    </row>
    <row r="3539" spans="6:6" x14ac:dyDescent="0.25">
      <c r="F3539"/>
    </row>
    <row r="3540" spans="6:6" x14ac:dyDescent="0.25">
      <c r="F3540"/>
    </row>
    <row r="3541" spans="6:6" x14ac:dyDescent="0.25">
      <c r="F3541"/>
    </row>
    <row r="3542" spans="6:6" x14ac:dyDescent="0.25">
      <c r="F3542"/>
    </row>
    <row r="3543" spans="6:6" x14ac:dyDescent="0.25">
      <c r="F3543"/>
    </row>
    <row r="3544" spans="6:6" x14ac:dyDescent="0.25">
      <c r="F3544"/>
    </row>
    <row r="3545" spans="6:6" x14ac:dyDescent="0.25">
      <c r="F3545"/>
    </row>
    <row r="3546" spans="6:6" x14ac:dyDescent="0.25">
      <c r="F3546"/>
    </row>
    <row r="3547" spans="6:6" x14ac:dyDescent="0.25">
      <c r="F3547"/>
    </row>
    <row r="3548" spans="6:6" x14ac:dyDescent="0.25">
      <c r="F3548"/>
    </row>
    <row r="3549" spans="6:6" x14ac:dyDescent="0.25">
      <c r="F3549"/>
    </row>
    <row r="3550" spans="6:6" x14ac:dyDescent="0.25">
      <c r="F3550"/>
    </row>
    <row r="3551" spans="6:6" x14ac:dyDescent="0.25">
      <c r="F3551"/>
    </row>
    <row r="3552" spans="6:6" x14ac:dyDescent="0.25">
      <c r="F3552"/>
    </row>
    <row r="3553" spans="6:6" x14ac:dyDescent="0.25">
      <c r="F3553"/>
    </row>
    <row r="3554" spans="6:6" x14ac:dyDescent="0.25">
      <c r="F3554"/>
    </row>
    <row r="3555" spans="6:6" x14ac:dyDescent="0.25">
      <c r="F3555"/>
    </row>
    <row r="3556" spans="6:6" x14ac:dyDescent="0.25">
      <c r="F3556"/>
    </row>
    <row r="3557" spans="6:6" x14ac:dyDescent="0.25">
      <c r="F3557"/>
    </row>
    <row r="3558" spans="6:6" x14ac:dyDescent="0.25">
      <c r="F3558"/>
    </row>
    <row r="3559" spans="6:6" x14ac:dyDescent="0.25">
      <c r="F3559"/>
    </row>
    <row r="3560" spans="6:6" x14ac:dyDescent="0.25">
      <c r="F3560"/>
    </row>
    <row r="3561" spans="6:6" x14ac:dyDescent="0.25">
      <c r="F3561"/>
    </row>
    <row r="3562" spans="6:6" x14ac:dyDescent="0.25">
      <c r="F3562"/>
    </row>
    <row r="3563" spans="6:6" x14ac:dyDescent="0.25">
      <c r="F3563"/>
    </row>
    <row r="3564" spans="6:6" x14ac:dyDescent="0.25">
      <c r="F3564"/>
    </row>
    <row r="3565" spans="6:6" x14ac:dyDescent="0.25">
      <c r="F3565"/>
    </row>
    <row r="3566" spans="6:6" x14ac:dyDescent="0.25">
      <c r="F3566"/>
    </row>
    <row r="3567" spans="6:6" x14ac:dyDescent="0.25">
      <c r="F3567"/>
    </row>
    <row r="3568" spans="6:6" x14ac:dyDescent="0.25">
      <c r="F3568"/>
    </row>
    <row r="3569" spans="6:6" x14ac:dyDescent="0.25">
      <c r="F3569"/>
    </row>
    <row r="3570" spans="6:6" x14ac:dyDescent="0.25">
      <c r="F3570"/>
    </row>
    <row r="3571" spans="6:6" x14ac:dyDescent="0.25">
      <c r="F3571"/>
    </row>
    <row r="3572" spans="6:6" x14ac:dyDescent="0.25">
      <c r="F3572"/>
    </row>
    <row r="3573" spans="6:6" x14ac:dyDescent="0.25">
      <c r="F3573"/>
    </row>
    <row r="3574" spans="6:6" x14ac:dyDescent="0.25">
      <c r="F3574"/>
    </row>
    <row r="3575" spans="6:6" x14ac:dyDescent="0.25">
      <c r="F3575"/>
    </row>
    <row r="3576" spans="6:6" x14ac:dyDescent="0.25">
      <c r="F3576"/>
    </row>
    <row r="3577" spans="6:6" x14ac:dyDescent="0.25">
      <c r="F3577"/>
    </row>
    <row r="3578" spans="6:6" x14ac:dyDescent="0.25">
      <c r="F3578"/>
    </row>
    <row r="3579" spans="6:6" x14ac:dyDescent="0.25">
      <c r="F3579"/>
    </row>
    <row r="3580" spans="6:6" x14ac:dyDescent="0.25">
      <c r="F3580"/>
    </row>
    <row r="3581" spans="6:6" x14ac:dyDescent="0.25">
      <c r="F3581"/>
    </row>
    <row r="3582" spans="6:6" x14ac:dyDescent="0.25">
      <c r="F3582"/>
    </row>
    <row r="3583" spans="6:6" x14ac:dyDescent="0.25">
      <c r="F3583"/>
    </row>
    <row r="3584" spans="6:6" x14ac:dyDescent="0.25">
      <c r="F3584"/>
    </row>
    <row r="3585" spans="6:6" x14ac:dyDescent="0.25">
      <c r="F3585"/>
    </row>
    <row r="3586" spans="6:6" x14ac:dyDescent="0.25">
      <c r="F3586"/>
    </row>
    <row r="3587" spans="6:6" x14ac:dyDescent="0.25">
      <c r="F3587"/>
    </row>
    <row r="3588" spans="6:6" x14ac:dyDescent="0.25">
      <c r="F3588"/>
    </row>
    <row r="3589" spans="6:6" x14ac:dyDescent="0.25">
      <c r="F3589"/>
    </row>
    <row r="3590" spans="6:6" x14ac:dyDescent="0.25">
      <c r="F3590"/>
    </row>
    <row r="3591" spans="6:6" x14ac:dyDescent="0.25">
      <c r="F3591"/>
    </row>
    <row r="3592" spans="6:6" x14ac:dyDescent="0.25">
      <c r="F3592"/>
    </row>
    <row r="3593" spans="6:6" x14ac:dyDescent="0.25">
      <c r="F3593"/>
    </row>
    <row r="3594" spans="6:6" x14ac:dyDescent="0.25">
      <c r="F3594"/>
    </row>
    <row r="3595" spans="6:6" x14ac:dyDescent="0.25">
      <c r="F3595"/>
    </row>
    <row r="3596" spans="6:6" x14ac:dyDescent="0.25">
      <c r="F3596"/>
    </row>
    <row r="3597" spans="6:6" x14ac:dyDescent="0.25">
      <c r="F3597"/>
    </row>
    <row r="3598" spans="6:6" x14ac:dyDescent="0.25">
      <c r="F3598"/>
    </row>
    <row r="3599" spans="6:6" x14ac:dyDescent="0.25">
      <c r="F3599"/>
    </row>
    <row r="3600" spans="6:6" x14ac:dyDescent="0.25">
      <c r="F3600"/>
    </row>
    <row r="3601" spans="6:6" x14ac:dyDescent="0.25">
      <c r="F3601"/>
    </row>
    <row r="3602" spans="6:6" x14ac:dyDescent="0.25">
      <c r="F3602"/>
    </row>
    <row r="3603" spans="6:6" x14ac:dyDescent="0.25">
      <c r="F3603"/>
    </row>
    <row r="3604" spans="6:6" x14ac:dyDescent="0.25">
      <c r="F3604"/>
    </row>
    <row r="3605" spans="6:6" x14ac:dyDescent="0.25">
      <c r="F3605"/>
    </row>
    <row r="3606" spans="6:6" x14ac:dyDescent="0.25">
      <c r="F3606"/>
    </row>
    <row r="3607" spans="6:6" x14ac:dyDescent="0.25">
      <c r="F3607"/>
    </row>
    <row r="3608" spans="6:6" x14ac:dyDescent="0.25">
      <c r="F3608"/>
    </row>
    <row r="3609" spans="6:6" x14ac:dyDescent="0.25">
      <c r="F3609"/>
    </row>
    <row r="3610" spans="6:6" x14ac:dyDescent="0.25">
      <c r="F3610"/>
    </row>
    <row r="3611" spans="6:6" x14ac:dyDescent="0.25">
      <c r="F3611"/>
    </row>
    <row r="3612" spans="6:6" x14ac:dyDescent="0.25">
      <c r="F3612"/>
    </row>
    <row r="3613" spans="6:6" x14ac:dyDescent="0.25">
      <c r="F3613"/>
    </row>
    <row r="3614" spans="6:6" x14ac:dyDescent="0.25">
      <c r="F3614"/>
    </row>
    <row r="3615" spans="6:6" x14ac:dyDescent="0.25">
      <c r="F3615"/>
    </row>
    <row r="3616" spans="6:6" x14ac:dyDescent="0.25">
      <c r="F3616"/>
    </row>
    <row r="3617" spans="6:6" x14ac:dyDescent="0.25">
      <c r="F3617"/>
    </row>
    <row r="3618" spans="6:6" x14ac:dyDescent="0.25">
      <c r="F3618"/>
    </row>
    <row r="3619" spans="6:6" x14ac:dyDescent="0.25">
      <c r="F3619"/>
    </row>
    <row r="3620" spans="6:6" x14ac:dyDescent="0.25">
      <c r="F3620"/>
    </row>
    <row r="3621" spans="6:6" x14ac:dyDescent="0.25">
      <c r="F3621"/>
    </row>
    <row r="3622" spans="6:6" x14ac:dyDescent="0.25">
      <c r="F3622"/>
    </row>
    <row r="3623" spans="6:6" x14ac:dyDescent="0.25">
      <c r="F3623"/>
    </row>
    <row r="3624" spans="6:6" x14ac:dyDescent="0.25">
      <c r="F3624"/>
    </row>
    <row r="3625" spans="6:6" x14ac:dyDescent="0.25">
      <c r="F3625"/>
    </row>
    <row r="3626" spans="6:6" x14ac:dyDescent="0.25">
      <c r="F3626"/>
    </row>
    <row r="3627" spans="6:6" x14ac:dyDescent="0.25">
      <c r="F3627"/>
    </row>
    <row r="3628" spans="6:6" x14ac:dyDescent="0.25">
      <c r="F3628"/>
    </row>
    <row r="3629" spans="6:6" x14ac:dyDescent="0.25">
      <c r="F3629"/>
    </row>
    <row r="3630" spans="6:6" x14ac:dyDescent="0.25">
      <c r="F3630"/>
    </row>
    <row r="3631" spans="6:6" x14ac:dyDescent="0.25">
      <c r="F3631"/>
    </row>
    <row r="3632" spans="6:6" x14ac:dyDescent="0.25">
      <c r="F3632"/>
    </row>
    <row r="3633" spans="6:6" x14ac:dyDescent="0.25">
      <c r="F3633"/>
    </row>
    <row r="3634" spans="6:6" x14ac:dyDescent="0.25">
      <c r="F3634"/>
    </row>
    <row r="3635" spans="6:6" x14ac:dyDescent="0.25">
      <c r="F3635"/>
    </row>
    <row r="3636" spans="6:6" x14ac:dyDescent="0.25">
      <c r="F3636"/>
    </row>
    <row r="3637" spans="6:6" x14ac:dyDescent="0.25">
      <c r="F3637"/>
    </row>
    <row r="3638" spans="6:6" x14ac:dyDescent="0.25">
      <c r="F3638"/>
    </row>
    <row r="3639" spans="6:6" x14ac:dyDescent="0.25">
      <c r="F3639"/>
    </row>
    <row r="3640" spans="6:6" x14ac:dyDescent="0.25">
      <c r="F3640"/>
    </row>
    <row r="3641" spans="6:6" x14ac:dyDescent="0.25">
      <c r="F3641"/>
    </row>
    <row r="3642" spans="6:6" x14ac:dyDescent="0.25">
      <c r="F3642"/>
    </row>
    <row r="3643" spans="6:6" x14ac:dyDescent="0.25">
      <c r="F3643"/>
    </row>
    <row r="3644" spans="6:6" x14ac:dyDescent="0.25">
      <c r="F3644"/>
    </row>
    <row r="3645" spans="6:6" x14ac:dyDescent="0.25">
      <c r="F3645"/>
    </row>
    <row r="3646" spans="6:6" x14ac:dyDescent="0.25">
      <c r="F3646"/>
    </row>
    <row r="3647" spans="6:6" x14ac:dyDescent="0.25">
      <c r="F3647"/>
    </row>
    <row r="3648" spans="6:6" x14ac:dyDescent="0.25">
      <c r="F3648"/>
    </row>
    <row r="3649" spans="6:6" x14ac:dyDescent="0.25">
      <c r="F3649"/>
    </row>
    <row r="3650" spans="6:6" x14ac:dyDescent="0.25">
      <c r="F3650"/>
    </row>
    <row r="3651" spans="6:6" x14ac:dyDescent="0.25">
      <c r="F3651"/>
    </row>
    <row r="3652" spans="6:6" x14ac:dyDescent="0.25">
      <c r="F3652"/>
    </row>
    <row r="3653" spans="6:6" x14ac:dyDescent="0.25">
      <c r="F3653"/>
    </row>
    <row r="3654" spans="6:6" x14ac:dyDescent="0.25">
      <c r="F3654"/>
    </row>
    <row r="3655" spans="6:6" x14ac:dyDescent="0.25">
      <c r="F3655"/>
    </row>
    <row r="3656" spans="6:6" x14ac:dyDescent="0.25">
      <c r="F3656"/>
    </row>
    <row r="3657" spans="6:6" x14ac:dyDescent="0.25">
      <c r="F3657"/>
    </row>
    <row r="3658" spans="6:6" x14ac:dyDescent="0.25">
      <c r="F3658"/>
    </row>
    <row r="3659" spans="6:6" x14ac:dyDescent="0.25">
      <c r="F3659"/>
    </row>
    <row r="3660" spans="6:6" x14ac:dyDescent="0.25">
      <c r="F3660"/>
    </row>
    <row r="3661" spans="6:6" x14ac:dyDescent="0.25">
      <c r="F3661"/>
    </row>
    <row r="3662" spans="6:6" x14ac:dyDescent="0.25">
      <c r="F3662"/>
    </row>
    <row r="3663" spans="6:6" x14ac:dyDescent="0.25">
      <c r="F3663"/>
    </row>
    <row r="3664" spans="6:6" x14ac:dyDescent="0.25">
      <c r="F3664"/>
    </row>
    <row r="3665" spans="6:6" x14ac:dyDescent="0.25">
      <c r="F3665"/>
    </row>
    <row r="3666" spans="6:6" x14ac:dyDescent="0.25">
      <c r="F3666"/>
    </row>
    <row r="3667" spans="6:6" x14ac:dyDescent="0.25">
      <c r="F3667"/>
    </row>
    <row r="3668" spans="6:6" x14ac:dyDescent="0.25">
      <c r="F3668"/>
    </row>
    <row r="3669" spans="6:6" x14ac:dyDescent="0.25">
      <c r="F3669"/>
    </row>
    <row r="3670" spans="6:6" x14ac:dyDescent="0.25">
      <c r="F3670"/>
    </row>
    <row r="3671" spans="6:6" x14ac:dyDescent="0.25">
      <c r="F3671"/>
    </row>
    <row r="3672" spans="6:6" x14ac:dyDescent="0.25">
      <c r="F3672"/>
    </row>
    <row r="3673" spans="6:6" x14ac:dyDescent="0.25">
      <c r="F3673"/>
    </row>
    <row r="3674" spans="6:6" x14ac:dyDescent="0.25">
      <c r="F3674"/>
    </row>
    <row r="3675" spans="6:6" x14ac:dyDescent="0.25">
      <c r="F3675"/>
    </row>
    <row r="3676" spans="6:6" x14ac:dyDescent="0.25">
      <c r="F3676"/>
    </row>
    <row r="3677" spans="6:6" x14ac:dyDescent="0.25">
      <c r="F3677"/>
    </row>
    <row r="3678" spans="6:6" x14ac:dyDescent="0.25">
      <c r="F3678"/>
    </row>
    <row r="3679" spans="6:6" x14ac:dyDescent="0.25">
      <c r="F3679"/>
    </row>
    <row r="3680" spans="6:6" x14ac:dyDescent="0.25">
      <c r="F3680"/>
    </row>
    <row r="3681" spans="6:6" x14ac:dyDescent="0.25">
      <c r="F3681"/>
    </row>
    <row r="3682" spans="6:6" x14ac:dyDescent="0.25">
      <c r="F3682"/>
    </row>
    <row r="3683" spans="6:6" x14ac:dyDescent="0.25">
      <c r="F3683"/>
    </row>
    <row r="3684" spans="6:6" x14ac:dyDescent="0.25">
      <c r="F3684"/>
    </row>
    <row r="3685" spans="6:6" x14ac:dyDescent="0.25">
      <c r="F3685"/>
    </row>
    <row r="3686" spans="6:6" x14ac:dyDescent="0.25">
      <c r="F3686"/>
    </row>
    <row r="3687" spans="6:6" x14ac:dyDescent="0.25">
      <c r="F3687"/>
    </row>
    <row r="3688" spans="6:6" x14ac:dyDescent="0.25">
      <c r="F3688"/>
    </row>
    <row r="3689" spans="6:6" x14ac:dyDescent="0.25">
      <c r="F3689"/>
    </row>
    <row r="3690" spans="6:6" x14ac:dyDescent="0.25">
      <c r="F3690"/>
    </row>
    <row r="3691" spans="6:6" x14ac:dyDescent="0.25">
      <c r="F3691"/>
    </row>
    <row r="3692" spans="6:6" x14ac:dyDescent="0.25">
      <c r="F3692"/>
    </row>
    <row r="3693" spans="6:6" x14ac:dyDescent="0.25">
      <c r="F3693"/>
    </row>
    <row r="3694" spans="6:6" x14ac:dyDescent="0.25">
      <c r="F3694"/>
    </row>
    <row r="3695" spans="6:6" x14ac:dyDescent="0.25">
      <c r="F3695"/>
    </row>
    <row r="3696" spans="6:6" x14ac:dyDescent="0.25">
      <c r="F3696"/>
    </row>
    <row r="3697" spans="6:6" x14ac:dyDescent="0.25">
      <c r="F3697"/>
    </row>
    <row r="3698" spans="6:6" x14ac:dyDescent="0.25">
      <c r="F3698"/>
    </row>
    <row r="3699" spans="6:6" x14ac:dyDescent="0.25">
      <c r="F3699"/>
    </row>
    <row r="3700" spans="6:6" x14ac:dyDescent="0.25">
      <c r="F3700"/>
    </row>
    <row r="3701" spans="6:6" x14ac:dyDescent="0.25">
      <c r="F3701"/>
    </row>
    <row r="3702" spans="6:6" x14ac:dyDescent="0.25">
      <c r="F3702"/>
    </row>
    <row r="3703" spans="6:6" x14ac:dyDescent="0.25">
      <c r="F3703"/>
    </row>
    <row r="3704" spans="6:6" x14ac:dyDescent="0.25">
      <c r="F3704"/>
    </row>
    <row r="3705" spans="6:6" x14ac:dyDescent="0.25">
      <c r="F3705"/>
    </row>
    <row r="3706" spans="6:6" x14ac:dyDescent="0.25">
      <c r="F3706"/>
    </row>
    <row r="3707" spans="6:6" x14ac:dyDescent="0.25">
      <c r="F3707"/>
    </row>
    <row r="3708" spans="6:6" x14ac:dyDescent="0.25">
      <c r="F3708"/>
    </row>
    <row r="3709" spans="6:6" x14ac:dyDescent="0.25">
      <c r="F3709"/>
    </row>
    <row r="3710" spans="6:6" x14ac:dyDescent="0.25">
      <c r="F3710"/>
    </row>
    <row r="3711" spans="6:6" x14ac:dyDescent="0.25">
      <c r="F3711"/>
    </row>
    <row r="3712" spans="6:6" x14ac:dyDescent="0.25">
      <c r="F3712"/>
    </row>
    <row r="3713" spans="6:6" x14ac:dyDescent="0.25">
      <c r="F3713"/>
    </row>
    <row r="3714" spans="6:6" x14ac:dyDescent="0.25">
      <c r="F3714"/>
    </row>
    <row r="3715" spans="6:6" x14ac:dyDescent="0.25">
      <c r="F3715"/>
    </row>
    <row r="3716" spans="6:6" x14ac:dyDescent="0.25">
      <c r="F3716"/>
    </row>
    <row r="3717" spans="6:6" x14ac:dyDescent="0.25">
      <c r="F3717"/>
    </row>
    <row r="3718" spans="6:6" x14ac:dyDescent="0.25">
      <c r="F3718"/>
    </row>
    <row r="3719" spans="6:6" x14ac:dyDescent="0.25">
      <c r="F3719"/>
    </row>
    <row r="3720" spans="6:6" x14ac:dyDescent="0.25">
      <c r="F3720"/>
    </row>
    <row r="3721" spans="6:6" x14ac:dyDescent="0.25">
      <c r="F3721"/>
    </row>
    <row r="3722" spans="6:6" x14ac:dyDescent="0.25">
      <c r="F3722"/>
    </row>
    <row r="3723" spans="6:6" x14ac:dyDescent="0.25">
      <c r="F3723"/>
    </row>
    <row r="3724" spans="6:6" x14ac:dyDescent="0.25">
      <c r="F3724"/>
    </row>
    <row r="3725" spans="6:6" x14ac:dyDescent="0.25">
      <c r="F3725"/>
    </row>
    <row r="3726" spans="6:6" x14ac:dyDescent="0.25">
      <c r="F3726"/>
    </row>
    <row r="3727" spans="6:6" x14ac:dyDescent="0.25">
      <c r="F3727"/>
    </row>
    <row r="3728" spans="6:6" x14ac:dyDescent="0.25">
      <c r="F3728"/>
    </row>
    <row r="3729" spans="6:6" x14ac:dyDescent="0.25">
      <c r="F3729"/>
    </row>
    <row r="3730" spans="6:6" x14ac:dyDescent="0.25">
      <c r="F3730"/>
    </row>
    <row r="3731" spans="6:6" x14ac:dyDescent="0.25">
      <c r="F3731"/>
    </row>
    <row r="3732" spans="6:6" x14ac:dyDescent="0.25">
      <c r="F3732"/>
    </row>
    <row r="3733" spans="6:6" x14ac:dyDescent="0.25">
      <c r="F3733"/>
    </row>
    <row r="3734" spans="6:6" x14ac:dyDescent="0.25">
      <c r="F3734"/>
    </row>
    <row r="3735" spans="6:6" x14ac:dyDescent="0.25">
      <c r="F3735"/>
    </row>
    <row r="3736" spans="6:6" x14ac:dyDescent="0.25">
      <c r="F3736"/>
    </row>
    <row r="3737" spans="6:6" x14ac:dyDescent="0.25">
      <c r="F3737"/>
    </row>
    <row r="3738" spans="6:6" x14ac:dyDescent="0.25">
      <c r="F3738"/>
    </row>
    <row r="3739" spans="6:6" x14ac:dyDescent="0.25">
      <c r="F3739"/>
    </row>
    <row r="3740" spans="6:6" x14ac:dyDescent="0.25">
      <c r="F3740"/>
    </row>
    <row r="3741" spans="6:6" x14ac:dyDescent="0.25">
      <c r="F3741"/>
    </row>
    <row r="3742" spans="6:6" x14ac:dyDescent="0.25">
      <c r="F3742"/>
    </row>
    <row r="3743" spans="6:6" x14ac:dyDescent="0.25">
      <c r="F3743"/>
    </row>
    <row r="3744" spans="6:6" x14ac:dyDescent="0.25">
      <c r="F3744"/>
    </row>
    <row r="3745" spans="6:6" x14ac:dyDescent="0.25">
      <c r="F3745"/>
    </row>
    <row r="3746" spans="6:6" x14ac:dyDescent="0.25">
      <c r="F3746"/>
    </row>
    <row r="3747" spans="6:6" x14ac:dyDescent="0.25">
      <c r="F3747"/>
    </row>
    <row r="3748" spans="6:6" x14ac:dyDescent="0.25">
      <c r="F3748"/>
    </row>
    <row r="3749" spans="6:6" x14ac:dyDescent="0.25">
      <c r="F3749"/>
    </row>
    <row r="3750" spans="6:6" x14ac:dyDescent="0.25">
      <c r="F3750"/>
    </row>
    <row r="3751" spans="6:6" x14ac:dyDescent="0.25">
      <c r="F3751"/>
    </row>
    <row r="3752" spans="6:6" x14ac:dyDescent="0.25">
      <c r="F3752"/>
    </row>
    <row r="3753" spans="6:6" x14ac:dyDescent="0.25">
      <c r="F3753"/>
    </row>
    <row r="3754" spans="6:6" x14ac:dyDescent="0.25">
      <c r="F3754"/>
    </row>
    <row r="3755" spans="6:6" x14ac:dyDescent="0.25">
      <c r="F3755"/>
    </row>
    <row r="3756" spans="6:6" x14ac:dyDescent="0.25">
      <c r="F3756"/>
    </row>
    <row r="3757" spans="6:6" x14ac:dyDescent="0.25">
      <c r="F3757"/>
    </row>
    <row r="3758" spans="6:6" x14ac:dyDescent="0.25">
      <c r="F3758"/>
    </row>
    <row r="3759" spans="6:6" x14ac:dyDescent="0.25">
      <c r="F3759"/>
    </row>
    <row r="3760" spans="6:6" x14ac:dyDescent="0.25">
      <c r="F3760"/>
    </row>
    <row r="3761" spans="6:6" x14ac:dyDescent="0.25">
      <c r="F3761"/>
    </row>
    <row r="3762" spans="6:6" x14ac:dyDescent="0.25">
      <c r="F3762"/>
    </row>
    <row r="3763" spans="6:6" x14ac:dyDescent="0.25">
      <c r="F3763"/>
    </row>
    <row r="3764" spans="6:6" x14ac:dyDescent="0.25">
      <c r="F3764"/>
    </row>
    <row r="3765" spans="6:6" x14ac:dyDescent="0.25">
      <c r="F3765"/>
    </row>
    <row r="3766" spans="6:6" x14ac:dyDescent="0.25">
      <c r="F3766"/>
    </row>
    <row r="3767" spans="6:6" x14ac:dyDescent="0.25">
      <c r="F3767"/>
    </row>
    <row r="3768" spans="6:6" x14ac:dyDescent="0.25">
      <c r="F3768"/>
    </row>
    <row r="3769" spans="6:6" x14ac:dyDescent="0.25">
      <c r="F3769"/>
    </row>
    <row r="3770" spans="6:6" x14ac:dyDescent="0.25">
      <c r="F3770"/>
    </row>
    <row r="3771" spans="6:6" x14ac:dyDescent="0.25">
      <c r="F3771"/>
    </row>
    <row r="3772" spans="6:6" x14ac:dyDescent="0.25">
      <c r="F3772"/>
    </row>
    <row r="3773" spans="6:6" x14ac:dyDescent="0.25">
      <c r="F3773"/>
    </row>
    <row r="3774" spans="6:6" x14ac:dyDescent="0.25">
      <c r="F3774"/>
    </row>
    <row r="3775" spans="6:6" x14ac:dyDescent="0.25">
      <c r="F3775"/>
    </row>
    <row r="3776" spans="6:6" x14ac:dyDescent="0.25">
      <c r="F3776"/>
    </row>
    <row r="3777" spans="6:6" x14ac:dyDescent="0.25">
      <c r="F3777"/>
    </row>
    <row r="3778" spans="6:6" x14ac:dyDescent="0.25">
      <c r="F3778"/>
    </row>
    <row r="3779" spans="6:6" x14ac:dyDescent="0.25">
      <c r="F3779"/>
    </row>
    <row r="3780" spans="6:6" x14ac:dyDescent="0.25">
      <c r="F3780"/>
    </row>
    <row r="3781" spans="6:6" x14ac:dyDescent="0.25">
      <c r="F3781"/>
    </row>
    <row r="3782" spans="6:6" x14ac:dyDescent="0.25">
      <c r="F3782"/>
    </row>
    <row r="3783" spans="6:6" x14ac:dyDescent="0.25">
      <c r="F3783"/>
    </row>
    <row r="3784" spans="6:6" x14ac:dyDescent="0.25">
      <c r="F3784"/>
    </row>
    <row r="3785" spans="6:6" x14ac:dyDescent="0.25">
      <c r="F3785"/>
    </row>
    <row r="3786" spans="6:6" x14ac:dyDescent="0.25">
      <c r="F3786"/>
    </row>
    <row r="3787" spans="6:6" x14ac:dyDescent="0.25">
      <c r="F3787"/>
    </row>
    <row r="3788" spans="6:6" x14ac:dyDescent="0.25">
      <c r="F3788"/>
    </row>
    <row r="3789" spans="6:6" x14ac:dyDescent="0.25">
      <c r="F3789"/>
    </row>
    <row r="3790" spans="6:6" x14ac:dyDescent="0.25">
      <c r="F3790"/>
    </row>
    <row r="3791" spans="6:6" x14ac:dyDescent="0.25">
      <c r="F3791"/>
    </row>
    <row r="3792" spans="6:6" x14ac:dyDescent="0.25">
      <c r="F3792"/>
    </row>
    <row r="3793" spans="6:6" x14ac:dyDescent="0.25">
      <c r="F3793"/>
    </row>
    <row r="3794" spans="6:6" x14ac:dyDescent="0.25">
      <c r="F3794"/>
    </row>
    <row r="3795" spans="6:6" x14ac:dyDescent="0.25">
      <c r="F3795"/>
    </row>
    <row r="3796" spans="6:6" x14ac:dyDescent="0.25">
      <c r="F3796"/>
    </row>
    <row r="3797" spans="6:6" x14ac:dyDescent="0.25">
      <c r="F3797"/>
    </row>
    <row r="3798" spans="6:6" x14ac:dyDescent="0.25">
      <c r="F3798"/>
    </row>
    <row r="3799" spans="6:6" x14ac:dyDescent="0.25">
      <c r="F3799"/>
    </row>
    <row r="3800" spans="6:6" x14ac:dyDescent="0.25">
      <c r="F3800"/>
    </row>
    <row r="3801" spans="6:6" x14ac:dyDescent="0.25">
      <c r="F3801"/>
    </row>
    <row r="3802" spans="6:6" x14ac:dyDescent="0.25">
      <c r="F3802"/>
    </row>
    <row r="3803" spans="6:6" x14ac:dyDescent="0.25">
      <c r="F3803"/>
    </row>
    <row r="3804" spans="6:6" x14ac:dyDescent="0.25">
      <c r="F3804"/>
    </row>
    <row r="3805" spans="6:6" x14ac:dyDescent="0.25">
      <c r="F3805"/>
    </row>
    <row r="3806" spans="6:6" x14ac:dyDescent="0.25">
      <c r="F3806"/>
    </row>
    <row r="3807" spans="6:6" x14ac:dyDescent="0.25">
      <c r="F3807"/>
    </row>
    <row r="3808" spans="6:6" x14ac:dyDescent="0.25">
      <c r="F3808"/>
    </row>
    <row r="3809" spans="6:6" x14ac:dyDescent="0.25">
      <c r="F3809"/>
    </row>
    <row r="3810" spans="6:6" x14ac:dyDescent="0.25">
      <c r="F3810"/>
    </row>
    <row r="3811" spans="6:6" x14ac:dyDescent="0.25">
      <c r="F3811"/>
    </row>
    <row r="3812" spans="6:6" x14ac:dyDescent="0.25">
      <c r="F3812"/>
    </row>
    <row r="3813" spans="6:6" x14ac:dyDescent="0.25">
      <c r="F3813"/>
    </row>
    <row r="3814" spans="6:6" x14ac:dyDescent="0.25">
      <c r="F3814"/>
    </row>
    <row r="3815" spans="6:6" x14ac:dyDescent="0.25">
      <c r="F3815"/>
    </row>
    <row r="3816" spans="6:6" x14ac:dyDescent="0.25">
      <c r="F3816"/>
    </row>
    <row r="3817" spans="6:6" x14ac:dyDescent="0.25">
      <c r="F3817"/>
    </row>
    <row r="3818" spans="6:6" x14ac:dyDescent="0.25">
      <c r="F3818"/>
    </row>
    <row r="3819" spans="6:6" x14ac:dyDescent="0.25">
      <c r="F3819"/>
    </row>
    <row r="3820" spans="6:6" x14ac:dyDescent="0.25">
      <c r="F3820"/>
    </row>
    <row r="3821" spans="6:6" x14ac:dyDescent="0.25">
      <c r="F3821"/>
    </row>
    <row r="3822" spans="6:6" x14ac:dyDescent="0.25">
      <c r="F3822"/>
    </row>
    <row r="3823" spans="6:6" x14ac:dyDescent="0.25">
      <c r="F3823"/>
    </row>
    <row r="3824" spans="6:6" x14ac:dyDescent="0.25">
      <c r="F3824"/>
    </row>
    <row r="3825" spans="6:6" x14ac:dyDescent="0.25">
      <c r="F3825"/>
    </row>
    <row r="3826" spans="6:6" x14ac:dyDescent="0.25">
      <c r="F3826"/>
    </row>
    <row r="3827" spans="6:6" x14ac:dyDescent="0.25">
      <c r="F3827"/>
    </row>
    <row r="3828" spans="6:6" x14ac:dyDescent="0.25">
      <c r="F3828"/>
    </row>
    <row r="3829" spans="6:6" x14ac:dyDescent="0.25">
      <c r="F3829"/>
    </row>
    <row r="3830" spans="6:6" x14ac:dyDescent="0.25">
      <c r="F3830"/>
    </row>
    <row r="3831" spans="6:6" x14ac:dyDescent="0.25">
      <c r="F3831"/>
    </row>
    <row r="3832" spans="6:6" x14ac:dyDescent="0.25">
      <c r="F3832"/>
    </row>
    <row r="3833" spans="6:6" x14ac:dyDescent="0.25">
      <c r="F3833"/>
    </row>
    <row r="3834" spans="6:6" x14ac:dyDescent="0.25">
      <c r="F3834"/>
    </row>
    <row r="3835" spans="6:6" x14ac:dyDescent="0.25">
      <c r="F3835"/>
    </row>
    <row r="3836" spans="6:6" x14ac:dyDescent="0.25">
      <c r="F3836"/>
    </row>
    <row r="3837" spans="6:6" x14ac:dyDescent="0.25">
      <c r="F3837"/>
    </row>
    <row r="3838" spans="6:6" x14ac:dyDescent="0.25">
      <c r="F3838"/>
    </row>
    <row r="3839" spans="6:6" x14ac:dyDescent="0.25">
      <c r="F3839"/>
    </row>
    <row r="3840" spans="6:6" x14ac:dyDescent="0.25">
      <c r="F3840"/>
    </row>
    <row r="3841" spans="6:6" x14ac:dyDescent="0.25">
      <c r="F3841"/>
    </row>
    <row r="3842" spans="6:6" x14ac:dyDescent="0.25">
      <c r="F3842"/>
    </row>
    <row r="3843" spans="6:6" x14ac:dyDescent="0.25">
      <c r="F3843"/>
    </row>
    <row r="3844" spans="6:6" x14ac:dyDescent="0.25">
      <c r="F3844"/>
    </row>
    <row r="3845" spans="6:6" x14ac:dyDescent="0.25">
      <c r="F3845"/>
    </row>
    <row r="3846" spans="6:6" x14ac:dyDescent="0.25">
      <c r="F3846"/>
    </row>
    <row r="3847" spans="6:6" x14ac:dyDescent="0.25">
      <c r="F3847"/>
    </row>
    <row r="3848" spans="6:6" x14ac:dyDescent="0.25">
      <c r="F3848"/>
    </row>
    <row r="3849" spans="6:6" x14ac:dyDescent="0.25">
      <c r="F3849"/>
    </row>
    <row r="3850" spans="6:6" x14ac:dyDescent="0.25">
      <c r="F3850"/>
    </row>
    <row r="3851" spans="6:6" x14ac:dyDescent="0.25">
      <c r="F3851"/>
    </row>
    <row r="3852" spans="6:6" x14ac:dyDescent="0.25">
      <c r="F3852"/>
    </row>
    <row r="3853" spans="6:6" x14ac:dyDescent="0.25">
      <c r="F3853"/>
    </row>
    <row r="3854" spans="6:6" x14ac:dyDescent="0.25">
      <c r="F3854"/>
    </row>
    <row r="3855" spans="6:6" x14ac:dyDescent="0.25">
      <c r="F3855"/>
    </row>
    <row r="3856" spans="6:6" x14ac:dyDescent="0.25">
      <c r="F3856"/>
    </row>
    <row r="3857" spans="6:6" x14ac:dyDescent="0.25">
      <c r="F3857"/>
    </row>
    <row r="3858" spans="6:6" x14ac:dyDescent="0.25">
      <c r="F3858"/>
    </row>
    <row r="3859" spans="6:6" x14ac:dyDescent="0.25">
      <c r="F3859"/>
    </row>
    <row r="3860" spans="6:6" x14ac:dyDescent="0.25">
      <c r="F3860"/>
    </row>
    <row r="3861" spans="6:6" x14ac:dyDescent="0.25">
      <c r="F3861"/>
    </row>
    <row r="3862" spans="6:6" x14ac:dyDescent="0.25">
      <c r="F3862"/>
    </row>
    <row r="3863" spans="6:6" x14ac:dyDescent="0.25">
      <c r="F3863"/>
    </row>
    <row r="3864" spans="6:6" x14ac:dyDescent="0.25">
      <c r="F3864"/>
    </row>
    <row r="3865" spans="6:6" x14ac:dyDescent="0.25">
      <c r="F3865"/>
    </row>
    <row r="3866" spans="6:6" x14ac:dyDescent="0.25">
      <c r="F3866"/>
    </row>
    <row r="3867" spans="6:6" x14ac:dyDescent="0.25">
      <c r="F3867"/>
    </row>
    <row r="3868" spans="6:6" x14ac:dyDescent="0.25">
      <c r="F3868"/>
    </row>
    <row r="3869" spans="6:6" x14ac:dyDescent="0.25">
      <c r="F3869"/>
    </row>
    <row r="3870" spans="6:6" x14ac:dyDescent="0.25">
      <c r="F3870"/>
    </row>
    <row r="3871" spans="6:6" x14ac:dyDescent="0.25">
      <c r="F3871"/>
    </row>
    <row r="3872" spans="6:6" x14ac:dyDescent="0.25">
      <c r="F3872"/>
    </row>
    <row r="3873" spans="6:6" x14ac:dyDescent="0.25">
      <c r="F3873"/>
    </row>
    <row r="3874" spans="6:6" x14ac:dyDescent="0.25">
      <c r="F3874"/>
    </row>
    <row r="3875" spans="6:6" x14ac:dyDescent="0.25">
      <c r="F3875"/>
    </row>
    <row r="3876" spans="6:6" x14ac:dyDescent="0.25">
      <c r="F3876"/>
    </row>
    <row r="3877" spans="6:6" x14ac:dyDescent="0.25">
      <c r="F3877"/>
    </row>
    <row r="3878" spans="6:6" x14ac:dyDescent="0.25">
      <c r="F3878"/>
    </row>
    <row r="3879" spans="6:6" x14ac:dyDescent="0.25">
      <c r="F3879"/>
    </row>
    <row r="3880" spans="6:6" x14ac:dyDescent="0.25">
      <c r="F3880"/>
    </row>
    <row r="3881" spans="6:6" x14ac:dyDescent="0.25">
      <c r="F3881"/>
    </row>
    <row r="3882" spans="6:6" x14ac:dyDescent="0.25">
      <c r="F3882"/>
    </row>
    <row r="3883" spans="6:6" x14ac:dyDescent="0.25">
      <c r="F3883"/>
    </row>
    <row r="3884" spans="6:6" x14ac:dyDescent="0.25">
      <c r="F3884"/>
    </row>
    <row r="3885" spans="6:6" x14ac:dyDescent="0.25">
      <c r="F3885"/>
    </row>
    <row r="3886" spans="6:6" x14ac:dyDescent="0.25">
      <c r="F3886"/>
    </row>
    <row r="3887" spans="6:6" x14ac:dyDescent="0.25">
      <c r="F3887"/>
    </row>
    <row r="3888" spans="6:6" x14ac:dyDescent="0.25">
      <c r="F3888"/>
    </row>
    <row r="3889" spans="6:6" x14ac:dyDescent="0.25">
      <c r="F3889"/>
    </row>
    <row r="3890" spans="6:6" x14ac:dyDescent="0.25">
      <c r="F3890"/>
    </row>
    <row r="3891" spans="6:6" x14ac:dyDescent="0.25">
      <c r="F3891"/>
    </row>
    <row r="3892" spans="6:6" x14ac:dyDescent="0.25">
      <c r="F3892"/>
    </row>
    <row r="3893" spans="6:6" x14ac:dyDescent="0.25">
      <c r="F3893"/>
    </row>
    <row r="3894" spans="6:6" x14ac:dyDescent="0.25">
      <c r="F3894"/>
    </row>
    <row r="3895" spans="6:6" x14ac:dyDescent="0.25">
      <c r="F3895"/>
    </row>
    <row r="3896" spans="6:6" x14ac:dyDescent="0.25">
      <c r="F3896"/>
    </row>
    <row r="3897" spans="6:6" x14ac:dyDescent="0.25">
      <c r="F3897"/>
    </row>
    <row r="3898" spans="6:6" x14ac:dyDescent="0.25">
      <c r="F3898"/>
    </row>
    <row r="3899" spans="6:6" x14ac:dyDescent="0.25">
      <c r="F3899"/>
    </row>
    <row r="3900" spans="6:6" x14ac:dyDescent="0.25">
      <c r="F3900"/>
    </row>
    <row r="3901" spans="6:6" x14ac:dyDescent="0.25">
      <c r="F3901"/>
    </row>
    <row r="3902" spans="6:6" x14ac:dyDescent="0.25">
      <c r="F3902"/>
    </row>
    <row r="3903" spans="6:6" x14ac:dyDescent="0.25">
      <c r="F3903"/>
    </row>
    <row r="3904" spans="6:6" x14ac:dyDescent="0.25">
      <c r="F3904"/>
    </row>
    <row r="3905" spans="6:6" x14ac:dyDescent="0.25">
      <c r="F3905"/>
    </row>
    <row r="3906" spans="6:6" x14ac:dyDescent="0.25">
      <c r="F3906"/>
    </row>
    <row r="3907" spans="6:6" x14ac:dyDescent="0.25">
      <c r="F3907"/>
    </row>
    <row r="3908" spans="6:6" x14ac:dyDescent="0.25">
      <c r="F3908"/>
    </row>
    <row r="3909" spans="6:6" x14ac:dyDescent="0.25">
      <c r="F3909"/>
    </row>
    <row r="3910" spans="6:6" x14ac:dyDescent="0.25">
      <c r="F3910"/>
    </row>
    <row r="3911" spans="6:6" x14ac:dyDescent="0.25">
      <c r="F3911"/>
    </row>
    <row r="3912" spans="6:6" x14ac:dyDescent="0.25">
      <c r="F3912"/>
    </row>
    <row r="3913" spans="6:6" x14ac:dyDescent="0.25">
      <c r="F3913"/>
    </row>
    <row r="3914" spans="6:6" x14ac:dyDescent="0.25">
      <c r="F3914"/>
    </row>
    <row r="3915" spans="6:6" x14ac:dyDescent="0.25">
      <c r="F3915"/>
    </row>
    <row r="3916" spans="6:6" x14ac:dyDescent="0.25">
      <c r="F3916"/>
    </row>
    <row r="3917" spans="6:6" x14ac:dyDescent="0.25">
      <c r="F3917"/>
    </row>
    <row r="3918" spans="6:6" x14ac:dyDescent="0.25">
      <c r="F3918"/>
    </row>
    <row r="3919" spans="6:6" x14ac:dyDescent="0.25">
      <c r="F3919"/>
    </row>
    <row r="3920" spans="6:6" x14ac:dyDescent="0.25">
      <c r="F3920"/>
    </row>
    <row r="3921" spans="6:6" x14ac:dyDescent="0.25">
      <c r="F3921"/>
    </row>
    <row r="3922" spans="6:6" x14ac:dyDescent="0.25">
      <c r="F3922"/>
    </row>
    <row r="3923" spans="6:6" x14ac:dyDescent="0.25">
      <c r="F3923"/>
    </row>
    <row r="3924" spans="6:6" x14ac:dyDescent="0.25">
      <c r="F3924"/>
    </row>
    <row r="3925" spans="6:6" x14ac:dyDescent="0.25">
      <c r="F3925"/>
    </row>
    <row r="3926" spans="6:6" x14ac:dyDescent="0.25">
      <c r="F3926"/>
    </row>
    <row r="3927" spans="6:6" x14ac:dyDescent="0.25">
      <c r="F3927"/>
    </row>
    <row r="3928" spans="6:6" x14ac:dyDescent="0.25">
      <c r="F3928"/>
    </row>
    <row r="3929" spans="6:6" x14ac:dyDescent="0.25">
      <c r="F3929"/>
    </row>
    <row r="3930" spans="6:6" x14ac:dyDescent="0.25">
      <c r="F3930"/>
    </row>
    <row r="3931" spans="6:6" x14ac:dyDescent="0.25">
      <c r="F3931"/>
    </row>
    <row r="3932" spans="6:6" x14ac:dyDescent="0.25">
      <c r="F3932"/>
    </row>
    <row r="3933" spans="6:6" x14ac:dyDescent="0.25">
      <c r="F3933"/>
    </row>
    <row r="3934" spans="6:6" x14ac:dyDescent="0.25">
      <c r="F3934"/>
    </row>
    <row r="3935" spans="6:6" x14ac:dyDescent="0.25">
      <c r="F3935"/>
    </row>
    <row r="3936" spans="6:6" x14ac:dyDescent="0.25">
      <c r="F3936"/>
    </row>
    <row r="3937" spans="6:6" x14ac:dyDescent="0.25">
      <c r="F3937"/>
    </row>
    <row r="3938" spans="6:6" x14ac:dyDescent="0.25">
      <c r="F3938"/>
    </row>
    <row r="3939" spans="6:6" x14ac:dyDescent="0.25">
      <c r="F3939"/>
    </row>
    <row r="3940" spans="6:6" x14ac:dyDescent="0.25">
      <c r="F3940"/>
    </row>
    <row r="3941" spans="6:6" x14ac:dyDescent="0.25">
      <c r="F3941"/>
    </row>
    <row r="3942" spans="6:6" x14ac:dyDescent="0.25">
      <c r="F3942"/>
    </row>
    <row r="3943" spans="6:6" x14ac:dyDescent="0.25">
      <c r="F3943"/>
    </row>
    <row r="3944" spans="6:6" x14ac:dyDescent="0.25">
      <c r="F3944"/>
    </row>
    <row r="3945" spans="6:6" x14ac:dyDescent="0.25">
      <c r="F3945"/>
    </row>
    <row r="3946" spans="6:6" x14ac:dyDescent="0.25">
      <c r="F3946"/>
    </row>
    <row r="3947" spans="6:6" x14ac:dyDescent="0.25">
      <c r="F3947"/>
    </row>
    <row r="3948" spans="6:6" x14ac:dyDescent="0.25">
      <c r="F3948"/>
    </row>
    <row r="3949" spans="6:6" x14ac:dyDescent="0.25">
      <c r="F3949"/>
    </row>
    <row r="3950" spans="6:6" x14ac:dyDescent="0.25">
      <c r="F3950"/>
    </row>
    <row r="3951" spans="6:6" x14ac:dyDescent="0.25">
      <c r="F3951"/>
    </row>
    <row r="3952" spans="6:6" x14ac:dyDescent="0.25">
      <c r="F3952"/>
    </row>
    <row r="3953" spans="6:6" x14ac:dyDescent="0.25">
      <c r="F3953"/>
    </row>
    <row r="3954" spans="6:6" x14ac:dyDescent="0.25">
      <c r="F3954"/>
    </row>
    <row r="3955" spans="6:6" x14ac:dyDescent="0.25">
      <c r="F3955"/>
    </row>
    <row r="3956" spans="6:6" x14ac:dyDescent="0.25">
      <c r="F3956"/>
    </row>
    <row r="3957" spans="6:6" x14ac:dyDescent="0.25">
      <c r="F3957"/>
    </row>
    <row r="3958" spans="6:6" x14ac:dyDescent="0.25">
      <c r="F3958"/>
    </row>
    <row r="3959" spans="6:6" x14ac:dyDescent="0.25">
      <c r="F3959"/>
    </row>
    <row r="3960" spans="6:6" x14ac:dyDescent="0.25">
      <c r="F3960"/>
    </row>
    <row r="3961" spans="6:6" x14ac:dyDescent="0.25">
      <c r="F3961"/>
    </row>
    <row r="3962" spans="6:6" x14ac:dyDescent="0.25">
      <c r="F3962"/>
    </row>
    <row r="3963" spans="6:6" x14ac:dyDescent="0.25">
      <c r="F3963"/>
    </row>
    <row r="3964" spans="6:6" x14ac:dyDescent="0.25">
      <c r="F3964"/>
    </row>
    <row r="3965" spans="6:6" x14ac:dyDescent="0.25">
      <c r="F3965"/>
    </row>
    <row r="3966" spans="6:6" x14ac:dyDescent="0.25">
      <c r="F3966"/>
    </row>
    <row r="3967" spans="6:6" x14ac:dyDescent="0.25">
      <c r="F3967"/>
    </row>
    <row r="3968" spans="6:6" x14ac:dyDescent="0.25">
      <c r="F3968"/>
    </row>
    <row r="3969" spans="6:6" x14ac:dyDescent="0.25">
      <c r="F3969"/>
    </row>
    <row r="3970" spans="6:6" x14ac:dyDescent="0.25">
      <c r="F3970"/>
    </row>
    <row r="3971" spans="6:6" x14ac:dyDescent="0.25">
      <c r="F3971"/>
    </row>
    <row r="3972" spans="6:6" x14ac:dyDescent="0.25">
      <c r="F3972"/>
    </row>
    <row r="3973" spans="6:6" x14ac:dyDescent="0.25">
      <c r="F3973"/>
    </row>
    <row r="3974" spans="6:6" x14ac:dyDescent="0.25">
      <c r="F3974"/>
    </row>
    <row r="3975" spans="6:6" x14ac:dyDescent="0.25">
      <c r="F3975"/>
    </row>
    <row r="3976" spans="6:6" x14ac:dyDescent="0.25">
      <c r="F3976"/>
    </row>
    <row r="3977" spans="6:6" x14ac:dyDescent="0.25">
      <c r="F3977"/>
    </row>
    <row r="3978" spans="6:6" x14ac:dyDescent="0.25">
      <c r="F3978"/>
    </row>
    <row r="3979" spans="6:6" x14ac:dyDescent="0.25">
      <c r="F3979"/>
    </row>
    <row r="3980" spans="6:6" x14ac:dyDescent="0.25">
      <c r="F3980"/>
    </row>
    <row r="3981" spans="6:6" x14ac:dyDescent="0.25">
      <c r="F3981"/>
    </row>
    <row r="3982" spans="6:6" x14ac:dyDescent="0.25">
      <c r="F3982"/>
    </row>
    <row r="3983" spans="6:6" x14ac:dyDescent="0.25">
      <c r="F3983"/>
    </row>
    <row r="3984" spans="6:6" x14ac:dyDescent="0.25">
      <c r="F3984"/>
    </row>
    <row r="3985" spans="6:6" x14ac:dyDescent="0.25">
      <c r="F3985"/>
    </row>
    <row r="3986" spans="6:6" x14ac:dyDescent="0.25">
      <c r="F3986"/>
    </row>
    <row r="3987" spans="6:6" x14ac:dyDescent="0.25">
      <c r="F3987"/>
    </row>
    <row r="3988" spans="6:6" x14ac:dyDescent="0.25">
      <c r="F3988"/>
    </row>
    <row r="3989" spans="6:6" x14ac:dyDescent="0.25">
      <c r="F3989"/>
    </row>
    <row r="3990" spans="6:6" x14ac:dyDescent="0.25">
      <c r="F3990"/>
    </row>
    <row r="3991" spans="6:6" x14ac:dyDescent="0.25">
      <c r="F3991"/>
    </row>
    <row r="3992" spans="6:6" x14ac:dyDescent="0.25">
      <c r="F3992"/>
    </row>
    <row r="3993" spans="6:6" x14ac:dyDescent="0.25">
      <c r="F3993"/>
    </row>
    <row r="3994" spans="6:6" x14ac:dyDescent="0.25">
      <c r="F3994"/>
    </row>
    <row r="3995" spans="6:6" x14ac:dyDescent="0.25">
      <c r="F3995"/>
    </row>
    <row r="3996" spans="6:6" x14ac:dyDescent="0.25">
      <c r="F3996"/>
    </row>
    <row r="3997" spans="6:6" x14ac:dyDescent="0.25">
      <c r="F3997"/>
    </row>
    <row r="3998" spans="6:6" x14ac:dyDescent="0.25">
      <c r="F3998"/>
    </row>
    <row r="3999" spans="6:6" x14ac:dyDescent="0.25">
      <c r="F3999"/>
    </row>
    <row r="4000" spans="6:6" x14ac:dyDescent="0.25">
      <c r="F4000"/>
    </row>
    <row r="4001" spans="6:6" x14ac:dyDescent="0.25">
      <c r="F4001"/>
    </row>
    <row r="4002" spans="6:6" x14ac:dyDescent="0.25">
      <c r="F4002"/>
    </row>
    <row r="4003" spans="6:6" x14ac:dyDescent="0.25">
      <c r="F4003"/>
    </row>
    <row r="4004" spans="6:6" x14ac:dyDescent="0.25">
      <c r="F4004"/>
    </row>
    <row r="4005" spans="6:6" x14ac:dyDescent="0.25">
      <c r="F4005"/>
    </row>
    <row r="4006" spans="6:6" x14ac:dyDescent="0.25">
      <c r="F4006"/>
    </row>
    <row r="4007" spans="6:6" x14ac:dyDescent="0.25">
      <c r="F4007"/>
    </row>
    <row r="4008" spans="6:6" x14ac:dyDescent="0.25">
      <c r="F4008"/>
    </row>
    <row r="4009" spans="6:6" x14ac:dyDescent="0.25">
      <c r="F4009"/>
    </row>
    <row r="4010" spans="6:6" x14ac:dyDescent="0.25">
      <c r="F4010"/>
    </row>
    <row r="4011" spans="6:6" x14ac:dyDescent="0.25">
      <c r="F4011"/>
    </row>
    <row r="4012" spans="6:6" x14ac:dyDescent="0.25">
      <c r="F4012"/>
    </row>
    <row r="4013" spans="6:6" x14ac:dyDescent="0.25">
      <c r="F4013"/>
    </row>
    <row r="4014" spans="6:6" x14ac:dyDescent="0.25">
      <c r="F4014"/>
    </row>
    <row r="4015" spans="6:6" x14ac:dyDescent="0.25">
      <c r="F4015"/>
    </row>
    <row r="4016" spans="6:6" x14ac:dyDescent="0.25">
      <c r="F4016"/>
    </row>
    <row r="4017" spans="6:6" x14ac:dyDescent="0.25">
      <c r="F4017"/>
    </row>
    <row r="4018" spans="6:6" x14ac:dyDescent="0.25">
      <c r="F4018"/>
    </row>
    <row r="4019" spans="6:6" x14ac:dyDescent="0.25">
      <c r="F4019"/>
    </row>
    <row r="4020" spans="6:6" x14ac:dyDescent="0.25">
      <c r="F4020"/>
    </row>
    <row r="4021" spans="6:6" x14ac:dyDescent="0.25">
      <c r="F4021"/>
    </row>
    <row r="4022" spans="6:6" x14ac:dyDescent="0.25">
      <c r="F4022"/>
    </row>
    <row r="4023" spans="6:6" x14ac:dyDescent="0.25">
      <c r="F4023"/>
    </row>
    <row r="4024" spans="6:6" x14ac:dyDescent="0.25">
      <c r="F4024"/>
    </row>
    <row r="4025" spans="6:6" x14ac:dyDescent="0.25">
      <c r="F4025"/>
    </row>
    <row r="4026" spans="6:6" x14ac:dyDescent="0.25">
      <c r="F4026"/>
    </row>
    <row r="4027" spans="6:6" x14ac:dyDescent="0.25">
      <c r="F4027"/>
    </row>
    <row r="4028" spans="6:6" x14ac:dyDescent="0.25">
      <c r="F4028"/>
    </row>
    <row r="4029" spans="6:6" x14ac:dyDescent="0.25">
      <c r="F4029"/>
    </row>
    <row r="4030" spans="6:6" x14ac:dyDescent="0.25">
      <c r="F4030"/>
    </row>
    <row r="4031" spans="6:6" x14ac:dyDescent="0.25">
      <c r="F4031"/>
    </row>
    <row r="4032" spans="6:6" x14ac:dyDescent="0.25">
      <c r="F4032"/>
    </row>
    <row r="4033" spans="6:6" x14ac:dyDescent="0.25">
      <c r="F4033"/>
    </row>
    <row r="4034" spans="6:6" x14ac:dyDescent="0.25">
      <c r="F4034"/>
    </row>
    <row r="4035" spans="6:6" x14ac:dyDescent="0.25">
      <c r="F4035"/>
    </row>
    <row r="4036" spans="6:6" x14ac:dyDescent="0.25">
      <c r="F4036"/>
    </row>
    <row r="4037" spans="6:6" x14ac:dyDescent="0.25">
      <c r="F4037"/>
    </row>
    <row r="4038" spans="6:6" x14ac:dyDescent="0.25">
      <c r="F4038"/>
    </row>
    <row r="4039" spans="6:6" x14ac:dyDescent="0.25">
      <c r="F4039"/>
    </row>
    <row r="4040" spans="6:6" x14ac:dyDescent="0.25">
      <c r="F4040"/>
    </row>
    <row r="4041" spans="6:6" x14ac:dyDescent="0.25">
      <c r="F4041"/>
    </row>
    <row r="4042" spans="6:6" x14ac:dyDescent="0.25">
      <c r="F4042"/>
    </row>
    <row r="4043" spans="6:6" x14ac:dyDescent="0.25">
      <c r="F4043"/>
    </row>
    <row r="4044" spans="6:6" x14ac:dyDescent="0.25">
      <c r="F4044"/>
    </row>
    <row r="4045" spans="6:6" x14ac:dyDescent="0.25">
      <c r="F4045"/>
    </row>
    <row r="4046" spans="6:6" x14ac:dyDescent="0.25">
      <c r="F4046"/>
    </row>
    <row r="4047" spans="6:6" x14ac:dyDescent="0.25">
      <c r="F4047"/>
    </row>
    <row r="4048" spans="6:6" x14ac:dyDescent="0.25">
      <c r="F4048"/>
    </row>
    <row r="4049" spans="6:6" x14ac:dyDescent="0.25">
      <c r="F4049"/>
    </row>
    <row r="4050" spans="6:6" x14ac:dyDescent="0.25">
      <c r="F4050"/>
    </row>
    <row r="4051" spans="6:6" x14ac:dyDescent="0.25">
      <c r="F4051"/>
    </row>
    <row r="4052" spans="6:6" x14ac:dyDescent="0.25">
      <c r="F4052"/>
    </row>
    <row r="4053" spans="6:6" x14ac:dyDescent="0.25">
      <c r="F4053"/>
    </row>
    <row r="4054" spans="6:6" x14ac:dyDescent="0.25">
      <c r="F4054"/>
    </row>
    <row r="4055" spans="6:6" x14ac:dyDescent="0.25">
      <c r="F4055"/>
    </row>
    <row r="4056" spans="6:6" x14ac:dyDescent="0.25">
      <c r="F4056"/>
    </row>
    <row r="4057" spans="6:6" x14ac:dyDescent="0.25">
      <c r="F4057"/>
    </row>
    <row r="4058" spans="6:6" x14ac:dyDescent="0.25">
      <c r="F4058"/>
    </row>
    <row r="4059" spans="6:6" x14ac:dyDescent="0.25">
      <c r="F4059"/>
    </row>
    <row r="4060" spans="6:6" x14ac:dyDescent="0.25">
      <c r="F4060"/>
    </row>
    <row r="4061" spans="6:6" x14ac:dyDescent="0.25">
      <c r="F4061"/>
    </row>
    <row r="4062" spans="6:6" x14ac:dyDescent="0.25">
      <c r="F4062"/>
    </row>
    <row r="4063" spans="6:6" x14ac:dyDescent="0.25">
      <c r="F4063"/>
    </row>
    <row r="4064" spans="6:6" x14ac:dyDescent="0.25">
      <c r="F4064"/>
    </row>
    <row r="4065" spans="6:6" x14ac:dyDescent="0.25">
      <c r="F4065"/>
    </row>
    <row r="4066" spans="6:6" x14ac:dyDescent="0.25">
      <c r="F4066"/>
    </row>
    <row r="4067" spans="6:6" x14ac:dyDescent="0.25">
      <c r="F4067"/>
    </row>
    <row r="4068" spans="6:6" x14ac:dyDescent="0.25">
      <c r="F4068"/>
    </row>
    <row r="4069" spans="6:6" x14ac:dyDescent="0.25">
      <c r="F4069"/>
    </row>
    <row r="4070" spans="6:6" x14ac:dyDescent="0.25">
      <c r="F4070"/>
    </row>
    <row r="4071" spans="6:6" x14ac:dyDescent="0.25">
      <c r="F4071"/>
    </row>
    <row r="4072" spans="6:6" x14ac:dyDescent="0.25">
      <c r="F4072"/>
    </row>
    <row r="4073" spans="6:6" x14ac:dyDescent="0.25">
      <c r="F4073"/>
    </row>
    <row r="4074" spans="6:6" x14ac:dyDescent="0.25">
      <c r="F4074"/>
    </row>
    <row r="4075" spans="6:6" x14ac:dyDescent="0.25">
      <c r="F4075"/>
    </row>
    <row r="4076" spans="6:6" x14ac:dyDescent="0.25">
      <c r="F4076"/>
    </row>
    <row r="4077" spans="6:6" x14ac:dyDescent="0.25">
      <c r="F4077"/>
    </row>
    <row r="4078" spans="6:6" x14ac:dyDescent="0.25">
      <c r="F4078"/>
    </row>
    <row r="4079" spans="6:6" x14ac:dyDescent="0.25">
      <c r="F4079"/>
    </row>
    <row r="4080" spans="6:6" x14ac:dyDescent="0.25">
      <c r="F4080"/>
    </row>
    <row r="4081" spans="6:6" x14ac:dyDescent="0.25">
      <c r="F4081"/>
    </row>
    <row r="4082" spans="6:6" x14ac:dyDescent="0.25">
      <c r="F4082"/>
    </row>
    <row r="4083" spans="6:6" x14ac:dyDescent="0.25">
      <c r="F4083"/>
    </row>
    <row r="4084" spans="6:6" x14ac:dyDescent="0.25">
      <c r="F4084"/>
    </row>
    <row r="4085" spans="6:6" x14ac:dyDescent="0.25">
      <c r="F4085"/>
    </row>
    <row r="4086" spans="6:6" x14ac:dyDescent="0.25">
      <c r="F4086"/>
    </row>
    <row r="4087" spans="6:6" x14ac:dyDescent="0.25">
      <c r="F4087"/>
    </row>
    <row r="4088" spans="6:6" x14ac:dyDescent="0.25">
      <c r="F4088"/>
    </row>
    <row r="4089" spans="6:6" x14ac:dyDescent="0.25">
      <c r="F4089"/>
    </row>
    <row r="4090" spans="6:6" x14ac:dyDescent="0.25">
      <c r="F4090"/>
    </row>
    <row r="4091" spans="6:6" x14ac:dyDescent="0.25">
      <c r="F4091"/>
    </row>
    <row r="4092" spans="6:6" x14ac:dyDescent="0.25">
      <c r="F4092"/>
    </row>
    <row r="4093" spans="6:6" x14ac:dyDescent="0.25">
      <c r="F4093"/>
    </row>
    <row r="4094" spans="6:6" x14ac:dyDescent="0.25">
      <c r="F4094"/>
    </row>
    <row r="4095" spans="6:6" x14ac:dyDescent="0.25">
      <c r="F4095"/>
    </row>
    <row r="4096" spans="6:6" x14ac:dyDescent="0.25">
      <c r="F4096"/>
    </row>
    <row r="4097" spans="6:6" x14ac:dyDescent="0.25">
      <c r="F4097"/>
    </row>
    <row r="4098" spans="6:6" x14ac:dyDescent="0.25">
      <c r="F4098"/>
    </row>
    <row r="4099" spans="6:6" x14ac:dyDescent="0.25">
      <c r="F4099"/>
    </row>
    <row r="4100" spans="6:6" x14ac:dyDescent="0.25">
      <c r="F4100"/>
    </row>
    <row r="4101" spans="6:6" x14ac:dyDescent="0.25">
      <c r="F4101"/>
    </row>
    <row r="4102" spans="6:6" x14ac:dyDescent="0.25">
      <c r="F4102"/>
    </row>
    <row r="4103" spans="6:6" x14ac:dyDescent="0.25">
      <c r="F4103"/>
    </row>
    <row r="4104" spans="6:6" x14ac:dyDescent="0.25">
      <c r="F4104"/>
    </row>
    <row r="4105" spans="6:6" x14ac:dyDescent="0.25">
      <c r="F4105"/>
    </row>
    <row r="4106" spans="6:6" x14ac:dyDescent="0.25">
      <c r="F4106"/>
    </row>
    <row r="4107" spans="6:6" x14ac:dyDescent="0.25">
      <c r="F4107"/>
    </row>
    <row r="4108" spans="6:6" x14ac:dyDescent="0.25">
      <c r="F4108"/>
    </row>
    <row r="4109" spans="6:6" x14ac:dyDescent="0.25">
      <c r="F4109"/>
    </row>
    <row r="4110" spans="6:6" x14ac:dyDescent="0.25">
      <c r="F4110"/>
    </row>
    <row r="4111" spans="6:6" x14ac:dyDescent="0.25">
      <c r="F4111"/>
    </row>
    <row r="4112" spans="6:6" x14ac:dyDescent="0.25">
      <c r="F4112"/>
    </row>
    <row r="4113" spans="6:6" x14ac:dyDescent="0.25">
      <c r="F4113"/>
    </row>
    <row r="4114" spans="6:6" x14ac:dyDescent="0.25">
      <c r="F4114"/>
    </row>
    <row r="4115" spans="6:6" x14ac:dyDescent="0.25">
      <c r="F4115"/>
    </row>
    <row r="4116" spans="6:6" x14ac:dyDescent="0.25">
      <c r="F4116"/>
    </row>
    <row r="4117" spans="6:6" x14ac:dyDescent="0.25">
      <c r="F4117"/>
    </row>
    <row r="4118" spans="6:6" x14ac:dyDescent="0.25">
      <c r="F4118"/>
    </row>
    <row r="4119" spans="6:6" x14ac:dyDescent="0.25">
      <c r="F4119"/>
    </row>
    <row r="4120" spans="6:6" x14ac:dyDescent="0.25">
      <c r="F4120"/>
    </row>
    <row r="4121" spans="6:6" x14ac:dyDescent="0.25">
      <c r="F4121"/>
    </row>
    <row r="4122" spans="6:6" x14ac:dyDescent="0.25">
      <c r="F4122"/>
    </row>
    <row r="4123" spans="6:6" x14ac:dyDescent="0.25">
      <c r="F4123"/>
    </row>
    <row r="4124" spans="6:6" x14ac:dyDescent="0.25">
      <c r="F4124"/>
    </row>
    <row r="4125" spans="6:6" x14ac:dyDescent="0.25">
      <c r="F4125"/>
    </row>
    <row r="4126" spans="6:6" x14ac:dyDescent="0.25">
      <c r="F4126"/>
    </row>
    <row r="4127" spans="6:6" x14ac:dyDescent="0.25">
      <c r="F4127"/>
    </row>
    <row r="4128" spans="6:6" x14ac:dyDescent="0.25">
      <c r="F4128"/>
    </row>
    <row r="4129" spans="6:6" x14ac:dyDescent="0.25">
      <c r="F4129"/>
    </row>
    <row r="4130" spans="6:6" x14ac:dyDescent="0.25">
      <c r="F4130"/>
    </row>
    <row r="4131" spans="6:6" x14ac:dyDescent="0.25">
      <c r="F4131"/>
    </row>
    <row r="4132" spans="6:6" x14ac:dyDescent="0.25">
      <c r="F4132"/>
    </row>
    <row r="4133" spans="6:6" x14ac:dyDescent="0.25">
      <c r="F4133"/>
    </row>
    <row r="4134" spans="6:6" x14ac:dyDescent="0.25">
      <c r="F4134"/>
    </row>
    <row r="4135" spans="6:6" x14ac:dyDescent="0.25">
      <c r="F4135"/>
    </row>
    <row r="4136" spans="6:6" x14ac:dyDescent="0.25">
      <c r="F4136"/>
    </row>
    <row r="4137" spans="6:6" x14ac:dyDescent="0.25">
      <c r="F4137"/>
    </row>
    <row r="4138" spans="6:6" x14ac:dyDescent="0.25">
      <c r="F4138"/>
    </row>
    <row r="4139" spans="6:6" x14ac:dyDescent="0.25">
      <c r="F4139"/>
    </row>
    <row r="4140" spans="6:6" x14ac:dyDescent="0.25">
      <c r="F4140"/>
    </row>
    <row r="4141" spans="6:6" x14ac:dyDescent="0.25">
      <c r="F4141"/>
    </row>
    <row r="4142" spans="6:6" x14ac:dyDescent="0.25">
      <c r="F4142"/>
    </row>
    <row r="4143" spans="6:6" x14ac:dyDescent="0.25">
      <c r="F4143"/>
    </row>
    <row r="4144" spans="6:6" x14ac:dyDescent="0.25">
      <c r="F4144"/>
    </row>
    <row r="4145" spans="6:6" x14ac:dyDescent="0.25">
      <c r="F4145"/>
    </row>
    <row r="4146" spans="6:6" x14ac:dyDescent="0.25">
      <c r="F4146"/>
    </row>
    <row r="4147" spans="6:6" x14ac:dyDescent="0.25">
      <c r="F4147"/>
    </row>
    <row r="4148" spans="6:6" x14ac:dyDescent="0.25">
      <c r="F4148"/>
    </row>
    <row r="4149" spans="6:6" x14ac:dyDescent="0.25">
      <c r="F4149"/>
    </row>
    <row r="4150" spans="6:6" x14ac:dyDescent="0.25">
      <c r="F4150"/>
    </row>
    <row r="4151" spans="6:6" x14ac:dyDescent="0.25">
      <c r="F4151"/>
    </row>
    <row r="4152" spans="6:6" x14ac:dyDescent="0.25">
      <c r="F4152"/>
    </row>
    <row r="4153" spans="6:6" x14ac:dyDescent="0.25">
      <c r="F4153"/>
    </row>
    <row r="4154" spans="6:6" x14ac:dyDescent="0.25">
      <c r="F4154"/>
    </row>
    <row r="4155" spans="6:6" x14ac:dyDescent="0.25">
      <c r="F4155"/>
    </row>
    <row r="4156" spans="6:6" x14ac:dyDescent="0.25">
      <c r="F4156"/>
    </row>
    <row r="4157" spans="6:6" x14ac:dyDescent="0.25">
      <c r="F4157"/>
    </row>
    <row r="4158" spans="6:6" x14ac:dyDescent="0.25">
      <c r="F4158"/>
    </row>
    <row r="4159" spans="6:6" x14ac:dyDescent="0.25">
      <c r="F4159"/>
    </row>
    <row r="4160" spans="6:6" x14ac:dyDescent="0.25">
      <c r="F4160"/>
    </row>
    <row r="4161" spans="6:6" x14ac:dyDescent="0.25">
      <c r="F4161"/>
    </row>
    <row r="4162" spans="6:6" x14ac:dyDescent="0.25">
      <c r="F4162"/>
    </row>
    <row r="4163" spans="6:6" x14ac:dyDescent="0.25">
      <c r="F4163"/>
    </row>
    <row r="4164" spans="6:6" x14ac:dyDescent="0.25">
      <c r="F4164"/>
    </row>
    <row r="4165" spans="6:6" x14ac:dyDescent="0.25">
      <c r="F4165"/>
    </row>
    <row r="4166" spans="6:6" x14ac:dyDescent="0.25">
      <c r="F4166"/>
    </row>
    <row r="4167" spans="6:6" x14ac:dyDescent="0.25">
      <c r="F4167"/>
    </row>
    <row r="4168" spans="6:6" x14ac:dyDescent="0.25">
      <c r="F4168"/>
    </row>
    <row r="4169" spans="6:6" x14ac:dyDescent="0.25">
      <c r="F4169"/>
    </row>
    <row r="4170" spans="6:6" x14ac:dyDescent="0.25">
      <c r="F4170"/>
    </row>
    <row r="4171" spans="6:6" x14ac:dyDescent="0.25">
      <c r="F4171"/>
    </row>
    <row r="4172" spans="6:6" x14ac:dyDescent="0.25">
      <c r="F4172"/>
    </row>
    <row r="4173" spans="6:6" x14ac:dyDescent="0.25">
      <c r="F4173"/>
    </row>
    <row r="4174" spans="6:6" x14ac:dyDescent="0.25">
      <c r="F4174"/>
    </row>
    <row r="4175" spans="6:6" x14ac:dyDescent="0.25">
      <c r="F4175"/>
    </row>
    <row r="4176" spans="6:6" x14ac:dyDescent="0.25">
      <c r="F4176"/>
    </row>
    <row r="4177" spans="6:6" x14ac:dyDescent="0.25">
      <c r="F4177"/>
    </row>
    <row r="4178" spans="6:6" x14ac:dyDescent="0.25">
      <c r="F4178"/>
    </row>
    <row r="4179" spans="6:6" x14ac:dyDescent="0.25">
      <c r="F4179"/>
    </row>
    <row r="4180" spans="6:6" x14ac:dyDescent="0.25">
      <c r="F4180"/>
    </row>
    <row r="4181" spans="6:6" x14ac:dyDescent="0.25">
      <c r="F4181"/>
    </row>
    <row r="4182" spans="6:6" x14ac:dyDescent="0.25">
      <c r="F4182"/>
    </row>
    <row r="4183" spans="6:6" x14ac:dyDescent="0.25">
      <c r="F4183"/>
    </row>
    <row r="4184" spans="6:6" x14ac:dyDescent="0.25">
      <c r="F4184"/>
    </row>
    <row r="4185" spans="6:6" x14ac:dyDescent="0.25">
      <c r="F4185"/>
    </row>
    <row r="4186" spans="6:6" x14ac:dyDescent="0.25">
      <c r="F4186"/>
    </row>
    <row r="4187" spans="6:6" x14ac:dyDescent="0.25">
      <c r="F4187"/>
    </row>
    <row r="4188" spans="6:6" x14ac:dyDescent="0.25">
      <c r="F4188"/>
    </row>
    <row r="4189" spans="6:6" x14ac:dyDescent="0.25">
      <c r="F4189"/>
    </row>
    <row r="4190" spans="6:6" x14ac:dyDescent="0.25">
      <c r="F4190"/>
    </row>
    <row r="4191" spans="6:6" x14ac:dyDescent="0.25">
      <c r="F4191"/>
    </row>
    <row r="4192" spans="6:6" x14ac:dyDescent="0.25">
      <c r="F4192"/>
    </row>
    <row r="4193" spans="6:6" x14ac:dyDescent="0.25">
      <c r="F4193"/>
    </row>
    <row r="4194" spans="6:6" x14ac:dyDescent="0.25">
      <c r="F4194"/>
    </row>
    <row r="4195" spans="6:6" x14ac:dyDescent="0.25">
      <c r="F4195"/>
    </row>
    <row r="4196" spans="6:6" x14ac:dyDescent="0.25">
      <c r="F4196"/>
    </row>
    <row r="4197" spans="6:6" x14ac:dyDescent="0.25">
      <c r="F4197"/>
    </row>
    <row r="4198" spans="6:6" x14ac:dyDescent="0.25">
      <c r="F4198"/>
    </row>
    <row r="4199" spans="6:6" x14ac:dyDescent="0.25">
      <c r="F4199"/>
    </row>
    <row r="4200" spans="6:6" x14ac:dyDescent="0.25">
      <c r="F4200"/>
    </row>
    <row r="4201" spans="6:6" x14ac:dyDescent="0.25">
      <c r="F4201"/>
    </row>
    <row r="4202" spans="6:6" x14ac:dyDescent="0.25">
      <c r="F4202"/>
    </row>
    <row r="4203" spans="6:6" x14ac:dyDescent="0.25">
      <c r="F4203"/>
    </row>
    <row r="4204" spans="6:6" x14ac:dyDescent="0.25">
      <c r="F4204"/>
    </row>
    <row r="4205" spans="6:6" x14ac:dyDescent="0.25">
      <c r="F4205"/>
    </row>
    <row r="4206" spans="6:6" x14ac:dyDescent="0.25">
      <c r="F4206"/>
    </row>
    <row r="4207" spans="6:6" x14ac:dyDescent="0.25">
      <c r="F4207"/>
    </row>
    <row r="4208" spans="6:6" x14ac:dyDescent="0.25">
      <c r="F4208"/>
    </row>
    <row r="4209" spans="6:6" x14ac:dyDescent="0.25">
      <c r="F4209"/>
    </row>
    <row r="4210" spans="6:6" x14ac:dyDescent="0.25">
      <c r="F4210"/>
    </row>
    <row r="4211" spans="6:6" x14ac:dyDescent="0.25">
      <c r="F4211"/>
    </row>
    <row r="4212" spans="6:6" x14ac:dyDescent="0.25">
      <c r="F4212"/>
    </row>
    <row r="4213" spans="6:6" x14ac:dyDescent="0.25">
      <c r="F4213"/>
    </row>
    <row r="4214" spans="6:6" x14ac:dyDescent="0.25">
      <c r="F4214"/>
    </row>
    <row r="4215" spans="6:6" x14ac:dyDescent="0.25">
      <c r="F4215"/>
    </row>
    <row r="4216" spans="6:6" x14ac:dyDescent="0.25">
      <c r="F4216"/>
    </row>
    <row r="4217" spans="6:6" x14ac:dyDescent="0.25">
      <c r="F4217"/>
    </row>
    <row r="4218" spans="6:6" x14ac:dyDescent="0.25">
      <c r="F4218"/>
    </row>
    <row r="4219" spans="6:6" x14ac:dyDescent="0.25">
      <c r="F4219"/>
    </row>
    <row r="4220" spans="6:6" x14ac:dyDescent="0.25">
      <c r="F4220"/>
    </row>
    <row r="4221" spans="6:6" x14ac:dyDescent="0.25">
      <c r="F4221"/>
    </row>
    <row r="4222" spans="6:6" x14ac:dyDescent="0.25">
      <c r="F4222"/>
    </row>
    <row r="4223" spans="6:6" x14ac:dyDescent="0.25">
      <c r="F4223"/>
    </row>
    <row r="4224" spans="6:6" x14ac:dyDescent="0.25">
      <c r="F4224"/>
    </row>
    <row r="4225" spans="6:6" x14ac:dyDescent="0.25">
      <c r="F4225"/>
    </row>
    <row r="4226" spans="6:6" x14ac:dyDescent="0.25">
      <c r="F4226"/>
    </row>
    <row r="4227" spans="6:6" x14ac:dyDescent="0.25">
      <c r="F4227"/>
    </row>
    <row r="4228" spans="6:6" x14ac:dyDescent="0.25">
      <c r="F4228"/>
    </row>
    <row r="4229" spans="6:6" x14ac:dyDescent="0.25">
      <c r="F4229"/>
    </row>
    <row r="4230" spans="6:6" x14ac:dyDescent="0.25">
      <c r="F4230"/>
    </row>
    <row r="4231" spans="6:6" x14ac:dyDescent="0.25">
      <c r="F4231"/>
    </row>
    <row r="4232" spans="6:6" x14ac:dyDescent="0.25">
      <c r="F4232"/>
    </row>
    <row r="4233" spans="6:6" x14ac:dyDescent="0.25">
      <c r="F4233"/>
    </row>
    <row r="4234" spans="6:6" x14ac:dyDescent="0.25">
      <c r="F4234"/>
    </row>
    <row r="4235" spans="6:6" x14ac:dyDescent="0.25">
      <c r="F4235"/>
    </row>
    <row r="4236" spans="6:6" x14ac:dyDescent="0.25">
      <c r="F4236"/>
    </row>
    <row r="4237" spans="6:6" x14ac:dyDescent="0.25">
      <c r="F4237"/>
    </row>
    <row r="4238" spans="6:6" x14ac:dyDescent="0.25">
      <c r="F4238"/>
    </row>
    <row r="4239" spans="6:6" x14ac:dyDescent="0.25">
      <c r="F4239"/>
    </row>
    <row r="4240" spans="6:6" x14ac:dyDescent="0.25">
      <c r="F4240"/>
    </row>
    <row r="4241" spans="6:6" x14ac:dyDescent="0.25">
      <c r="F4241"/>
    </row>
    <row r="4242" spans="6:6" x14ac:dyDescent="0.25">
      <c r="F4242"/>
    </row>
    <row r="4243" spans="6:6" x14ac:dyDescent="0.25">
      <c r="F4243"/>
    </row>
    <row r="4244" spans="6:6" x14ac:dyDescent="0.25">
      <c r="F4244"/>
    </row>
    <row r="4245" spans="6:6" x14ac:dyDescent="0.25">
      <c r="F4245"/>
    </row>
    <row r="4246" spans="6:6" x14ac:dyDescent="0.25">
      <c r="F4246"/>
    </row>
    <row r="4247" spans="6:6" x14ac:dyDescent="0.25">
      <c r="F4247"/>
    </row>
    <row r="4248" spans="6:6" x14ac:dyDescent="0.25">
      <c r="F4248"/>
    </row>
    <row r="4249" spans="6:6" x14ac:dyDescent="0.25">
      <c r="F4249"/>
    </row>
    <row r="4250" spans="6:6" x14ac:dyDescent="0.25">
      <c r="F4250"/>
    </row>
    <row r="4251" spans="6:6" x14ac:dyDescent="0.25">
      <c r="F4251"/>
    </row>
    <row r="4252" spans="6:6" x14ac:dyDescent="0.25">
      <c r="F4252"/>
    </row>
    <row r="4253" spans="6:6" x14ac:dyDescent="0.25">
      <c r="F4253"/>
    </row>
    <row r="4254" spans="6:6" x14ac:dyDescent="0.25">
      <c r="F4254"/>
    </row>
    <row r="4255" spans="6:6" x14ac:dyDescent="0.25">
      <c r="F4255"/>
    </row>
    <row r="4256" spans="6:6" x14ac:dyDescent="0.25">
      <c r="F4256"/>
    </row>
    <row r="4257" spans="6:6" x14ac:dyDescent="0.25">
      <c r="F4257"/>
    </row>
    <row r="4258" spans="6:6" x14ac:dyDescent="0.25">
      <c r="F4258"/>
    </row>
    <row r="4259" spans="6:6" x14ac:dyDescent="0.25">
      <c r="F4259"/>
    </row>
    <row r="4260" spans="6:6" x14ac:dyDescent="0.25">
      <c r="F4260"/>
    </row>
    <row r="4261" spans="6:6" x14ac:dyDescent="0.25">
      <c r="F4261"/>
    </row>
    <row r="4262" spans="6:6" x14ac:dyDescent="0.25">
      <c r="F4262"/>
    </row>
    <row r="4263" spans="6:6" x14ac:dyDescent="0.25">
      <c r="F4263"/>
    </row>
    <row r="4264" spans="6:6" x14ac:dyDescent="0.25">
      <c r="F4264"/>
    </row>
    <row r="4265" spans="6:6" x14ac:dyDescent="0.25">
      <c r="F4265"/>
    </row>
    <row r="4266" spans="6:6" x14ac:dyDescent="0.25">
      <c r="F4266"/>
    </row>
    <row r="4267" spans="6:6" x14ac:dyDescent="0.25">
      <c r="F4267"/>
    </row>
    <row r="4268" spans="6:6" x14ac:dyDescent="0.25">
      <c r="F4268"/>
    </row>
    <row r="4269" spans="6:6" x14ac:dyDescent="0.25">
      <c r="F4269"/>
    </row>
    <row r="4270" spans="6:6" x14ac:dyDescent="0.25">
      <c r="F4270"/>
    </row>
    <row r="4271" spans="6:6" x14ac:dyDescent="0.25">
      <c r="F4271"/>
    </row>
    <row r="4272" spans="6:6" x14ac:dyDescent="0.25">
      <c r="F4272"/>
    </row>
    <row r="4273" spans="6:6" x14ac:dyDescent="0.25">
      <c r="F4273"/>
    </row>
    <row r="4274" spans="6:6" x14ac:dyDescent="0.25">
      <c r="F4274"/>
    </row>
    <row r="4275" spans="6:6" x14ac:dyDescent="0.25">
      <c r="F4275"/>
    </row>
    <row r="4276" spans="6:6" x14ac:dyDescent="0.25">
      <c r="F4276"/>
    </row>
    <row r="4277" spans="6:6" x14ac:dyDescent="0.25">
      <c r="F4277"/>
    </row>
    <row r="4278" spans="6:6" x14ac:dyDescent="0.25">
      <c r="F4278"/>
    </row>
    <row r="4279" spans="6:6" x14ac:dyDescent="0.25">
      <c r="F4279"/>
    </row>
    <row r="4280" spans="6:6" x14ac:dyDescent="0.25">
      <c r="F4280"/>
    </row>
    <row r="4281" spans="6:6" x14ac:dyDescent="0.25">
      <c r="F4281"/>
    </row>
    <row r="4282" spans="6:6" x14ac:dyDescent="0.25">
      <c r="F4282"/>
    </row>
    <row r="4283" spans="6:6" x14ac:dyDescent="0.25">
      <c r="F4283"/>
    </row>
    <row r="4284" spans="6:6" x14ac:dyDescent="0.25">
      <c r="F4284"/>
    </row>
    <row r="4285" spans="6:6" x14ac:dyDescent="0.25">
      <c r="F4285"/>
    </row>
    <row r="4286" spans="6:6" x14ac:dyDescent="0.25">
      <c r="F4286"/>
    </row>
    <row r="4287" spans="6:6" x14ac:dyDescent="0.25">
      <c r="F4287"/>
    </row>
    <row r="4288" spans="6:6" x14ac:dyDescent="0.25">
      <c r="F4288"/>
    </row>
    <row r="4289" spans="6:6" x14ac:dyDescent="0.25">
      <c r="F4289"/>
    </row>
    <row r="4290" spans="6:6" x14ac:dyDescent="0.25">
      <c r="F4290"/>
    </row>
    <row r="4291" spans="6:6" x14ac:dyDescent="0.25">
      <c r="F4291"/>
    </row>
    <row r="4292" spans="6:6" x14ac:dyDescent="0.25">
      <c r="F4292"/>
    </row>
    <row r="4293" spans="6:6" x14ac:dyDescent="0.25">
      <c r="F4293"/>
    </row>
    <row r="4294" spans="6:6" x14ac:dyDescent="0.25">
      <c r="F4294"/>
    </row>
    <row r="4295" spans="6:6" x14ac:dyDescent="0.25">
      <c r="F4295"/>
    </row>
    <row r="4296" spans="6:6" x14ac:dyDescent="0.25">
      <c r="F4296"/>
    </row>
    <row r="4297" spans="6:6" x14ac:dyDescent="0.25">
      <c r="F4297"/>
    </row>
    <row r="4298" spans="6:6" x14ac:dyDescent="0.25">
      <c r="F4298"/>
    </row>
    <row r="4299" spans="6:6" x14ac:dyDescent="0.25">
      <c r="F4299"/>
    </row>
    <row r="4300" spans="6:6" x14ac:dyDescent="0.25">
      <c r="F4300"/>
    </row>
    <row r="4301" spans="6:6" x14ac:dyDescent="0.25">
      <c r="F4301"/>
    </row>
    <row r="4302" spans="6:6" x14ac:dyDescent="0.25">
      <c r="F4302"/>
    </row>
    <row r="4303" spans="6:6" x14ac:dyDescent="0.25">
      <c r="F4303"/>
    </row>
    <row r="4304" spans="6:6" x14ac:dyDescent="0.25">
      <c r="F4304"/>
    </row>
    <row r="4305" spans="6:6" x14ac:dyDescent="0.25">
      <c r="F4305"/>
    </row>
    <row r="4306" spans="6:6" x14ac:dyDescent="0.25">
      <c r="F4306"/>
    </row>
    <row r="4307" spans="6:6" x14ac:dyDescent="0.25">
      <c r="F4307"/>
    </row>
    <row r="4308" spans="6:6" x14ac:dyDescent="0.25">
      <c r="F4308"/>
    </row>
    <row r="4309" spans="6:6" x14ac:dyDescent="0.25">
      <c r="F4309"/>
    </row>
    <row r="4310" spans="6:6" x14ac:dyDescent="0.25">
      <c r="F4310"/>
    </row>
    <row r="4311" spans="6:6" x14ac:dyDescent="0.25">
      <c r="F4311"/>
    </row>
    <row r="4312" spans="6:6" x14ac:dyDescent="0.25">
      <c r="F4312"/>
    </row>
    <row r="4313" spans="6:6" x14ac:dyDescent="0.25">
      <c r="F4313"/>
    </row>
    <row r="4314" spans="6:6" x14ac:dyDescent="0.25">
      <c r="F4314"/>
    </row>
    <row r="4315" spans="6:6" x14ac:dyDescent="0.25">
      <c r="F4315"/>
    </row>
    <row r="4316" spans="6:6" x14ac:dyDescent="0.25">
      <c r="F4316"/>
    </row>
    <row r="4317" spans="6:6" x14ac:dyDescent="0.25">
      <c r="F4317"/>
    </row>
    <row r="4318" spans="6:6" x14ac:dyDescent="0.25">
      <c r="F4318"/>
    </row>
    <row r="4319" spans="6:6" x14ac:dyDescent="0.25">
      <c r="F4319"/>
    </row>
    <row r="4320" spans="6:6" x14ac:dyDescent="0.25">
      <c r="F4320"/>
    </row>
    <row r="4321" spans="6:6" x14ac:dyDescent="0.25">
      <c r="F4321"/>
    </row>
    <row r="4322" spans="6:6" x14ac:dyDescent="0.25">
      <c r="F4322"/>
    </row>
    <row r="4323" spans="6:6" x14ac:dyDescent="0.25">
      <c r="F4323"/>
    </row>
    <row r="4324" spans="6:6" x14ac:dyDescent="0.25">
      <c r="F4324"/>
    </row>
    <row r="4325" spans="6:6" x14ac:dyDescent="0.25">
      <c r="F4325"/>
    </row>
    <row r="4326" spans="6:6" x14ac:dyDescent="0.25">
      <c r="F4326"/>
    </row>
    <row r="4327" spans="6:6" x14ac:dyDescent="0.25">
      <c r="F4327"/>
    </row>
    <row r="4328" spans="6:6" x14ac:dyDescent="0.25">
      <c r="F4328"/>
    </row>
    <row r="4329" spans="6:6" x14ac:dyDescent="0.25">
      <c r="F4329"/>
    </row>
    <row r="4330" spans="6:6" x14ac:dyDescent="0.25">
      <c r="F4330"/>
    </row>
    <row r="4331" spans="6:6" x14ac:dyDescent="0.25">
      <c r="F4331"/>
    </row>
    <row r="4332" spans="6:6" x14ac:dyDescent="0.25">
      <c r="F4332"/>
    </row>
    <row r="4333" spans="6:6" x14ac:dyDescent="0.25">
      <c r="F4333"/>
    </row>
    <row r="4334" spans="6:6" x14ac:dyDescent="0.25">
      <c r="F4334"/>
    </row>
    <row r="4335" spans="6:6" x14ac:dyDescent="0.25">
      <c r="F4335"/>
    </row>
    <row r="4336" spans="6:6" x14ac:dyDescent="0.25">
      <c r="F4336"/>
    </row>
    <row r="4337" spans="6:6" x14ac:dyDescent="0.25">
      <c r="F4337"/>
    </row>
    <row r="4338" spans="6:6" x14ac:dyDescent="0.25">
      <c r="F4338"/>
    </row>
    <row r="4339" spans="6:6" x14ac:dyDescent="0.25">
      <c r="F4339"/>
    </row>
    <row r="4340" spans="6:6" x14ac:dyDescent="0.25">
      <c r="F4340"/>
    </row>
    <row r="4341" spans="6:6" x14ac:dyDescent="0.25">
      <c r="F4341"/>
    </row>
    <row r="4342" spans="6:6" x14ac:dyDescent="0.25">
      <c r="F4342"/>
    </row>
    <row r="4343" spans="6:6" x14ac:dyDescent="0.25">
      <c r="F4343"/>
    </row>
    <row r="4344" spans="6:6" x14ac:dyDescent="0.25">
      <c r="F4344"/>
    </row>
    <row r="4345" spans="6:6" x14ac:dyDescent="0.25">
      <c r="F4345"/>
    </row>
    <row r="4346" spans="6:6" x14ac:dyDescent="0.25">
      <c r="F4346"/>
    </row>
    <row r="4347" spans="6:6" x14ac:dyDescent="0.25">
      <c r="F4347"/>
    </row>
    <row r="4348" spans="6:6" x14ac:dyDescent="0.25">
      <c r="F4348"/>
    </row>
    <row r="4349" spans="6:6" x14ac:dyDescent="0.25">
      <c r="F4349"/>
    </row>
    <row r="4350" spans="6:6" x14ac:dyDescent="0.25">
      <c r="F4350"/>
    </row>
    <row r="4351" spans="6:6" x14ac:dyDescent="0.25">
      <c r="F4351"/>
    </row>
    <row r="4352" spans="6:6" x14ac:dyDescent="0.25">
      <c r="F4352"/>
    </row>
    <row r="4353" spans="6:6" x14ac:dyDescent="0.25">
      <c r="F4353"/>
    </row>
    <row r="4354" spans="6:6" x14ac:dyDescent="0.25">
      <c r="F4354"/>
    </row>
    <row r="4355" spans="6:6" x14ac:dyDescent="0.25">
      <c r="F4355"/>
    </row>
    <row r="4356" spans="6:6" x14ac:dyDescent="0.25">
      <c r="F4356"/>
    </row>
    <row r="4357" spans="6:6" x14ac:dyDescent="0.25">
      <c r="F4357"/>
    </row>
    <row r="4358" spans="6:6" x14ac:dyDescent="0.25">
      <c r="F4358"/>
    </row>
    <row r="4359" spans="6:6" x14ac:dyDescent="0.25">
      <c r="F4359"/>
    </row>
    <row r="4360" spans="6:6" x14ac:dyDescent="0.25">
      <c r="F4360"/>
    </row>
    <row r="4361" spans="6:6" x14ac:dyDescent="0.25">
      <c r="F4361"/>
    </row>
    <row r="4362" spans="6:6" x14ac:dyDescent="0.25">
      <c r="F4362"/>
    </row>
    <row r="4363" spans="6:6" x14ac:dyDescent="0.25">
      <c r="F4363"/>
    </row>
    <row r="4364" spans="6:6" x14ac:dyDescent="0.25">
      <c r="F4364"/>
    </row>
    <row r="4365" spans="6:6" x14ac:dyDescent="0.25">
      <c r="F4365"/>
    </row>
    <row r="4366" spans="6:6" x14ac:dyDescent="0.25">
      <c r="F4366"/>
    </row>
    <row r="4367" spans="6:6" x14ac:dyDescent="0.25">
      <c r="F4367"/>
    </row>
    <row r="4368" spans="6:6" x14ac:dyDescent="0.25">
      <c r="F4368"/>
    </row>
    <row r="4369" spans="6:6" x14ac:dyDescent="0.25">
      <c r="F4369"/>
    </row>
    <row r="4370" spans="6:6" x14ac:dyDescent="0.25">
      <c r="F4370"/>
    </row>
    <row r="4371" spans="6:6" x14ac:dyDescent="0.25">
      <c r="F4371"/>
    </row>
    <row r="4372" spans="6:6" x14ac:dyDescent="0.25">
      <c r="F4372"/>
    </row>
    <row r="4373" spans="6:6" x14ac:dyDescent="0.25">
      <c r="F4373"/>
    </row>
    <row r="4374" spans="6:6" x14ac:dyDescent="0.25">
      <c r="F4374"/>
    </row>
    <row r="4375" spans="6:6" x14ac:dyDescent="0.25">
      <c r="F4375"/>
    </row>
    <row r="4376" spans="6:6" x14ac:dyDescent="0.25">
      <c r="F4376"/>
    </row>
    <row r="4377" spans="6:6" x14ac:dyDescent="0.25">
      <c r="F4377"/>
    </row>
    <row r="4378" spans="6:6" x14ac:dyDescent="0.25">
      <c r="F4378"/>
    </row>
    <row r="4379" spans="6:6" x14ac:dyDescent="0.25">
      <c r="F4379"/>
    </row>
    <row r="4380" spans="6:6" x14ac:dyDescent="0.25">
      <c r="F4380"/>
    </row>
    <row r="4381" spans="6:6" x14ac:dyDescent="0.25">
      <c r="F4381"/>
    </row>
    <row r="4382" spans="6:6" x14ac:dyDescent="0.25">
      <c r="F4382"/>
    </row>
    <row r="4383" spans="6:6" x14ac:dyDescent="0.25">
      <c r="F4383"/>
    </row>
    <row r="4384" spans="6:6" x14ac:dyDescent="0.25">
      <c r="F4384"/>
    </row>
    <row r="4385" spans="6:6" x14ac:dyDescent="0.25">
      <c r="F4385"/>
    </row>
    <row r="4386" spans="6:6" x14ac:dyDescent="0.25">
      <c r="F4386"/>
    </row>
    <row r="4387" spans="6:6" x14ac:dyDescent="0.25">
      <c r="F4387"/>
    </row>
    <row r="4388" spans="6:6" x14ac:dyDescent="0.25">
      <c r="F4388"/>
    </row>
    <row r="4389" spans="6:6" x14ac:dyDescent="0.25">
      <c r="F4389"/>
    </row>
    <row r="4390" spans="6:6" x14ac:dyDescent="0.25">
      <c r="F4390"/>
    </row>
    <row r="4391" spans="6:6" x14ac:dyDescent="0.25">
      <c r="F4391"/>
    </row>
    <row r="4392" spans="6:6" x14ac:dyDescent="0.25">
      <c r="F4392"/>
    </row>
    <row r="4393" spans="6:6" x14ac:dyDescent="0.25">
      <c r="F4393"/>
    </row>
    <row r="4394" spans="6:6" x14ac:dyDescent="0.25">
      <c r="F4394"/>
    </row>
    <row r="4395" spans="6:6" x14ac:dyDescent="0.25">
      <c r="F4395"/>
    </row>
    <row r="4396" spans="6:6" x14ac:dyDescent="0.25">
      <c r="F4396"/>
    </row>
    <row r="4397" spans="6:6" x14ac:dyDescent="0.25">
      <c r="F4397"/>
    </row>
    <row r="4398" spans="6:6" x14ac:dyDescent="0.25">
      <c r="F4398"/>
    </row>
    <row r="4399" spans="6:6" x14ac:dyDescent="0.25">
      <c r="F4399"/>
    </row>
    <row r="4400" spans="6:6" x14ac:dyDescent="0.25">
      <c r="F4400"/>
    </row>
    <row r="4401" spans="6:6" x14ac:dyDescent="0.25">
      <c r="F4401"/>
    </row>
    <row r="4402" spans="6:6" x14ac:dyDescent="0.25">
      <c r="F4402"/>
    </row>
    <row r="4403" spans="6:6" x14ac:dyDescent="0.25">
      <c r="F4403"/>
    </row>
    <row r="4404" spans="6:6" x14ac:dyDescent="0.25">
      <c r="F4404"/>
    </row>
    <row r="4405" spans="6:6" x14ac:dyDescent="0.25">
      <c r="F4405"/>
    </row>
    <row r="4406" spans="6:6" x14ac:dyDescent="0.25">
      <c r="F4406"/>
    </row>
    <row r="4407" spans="6:6" x14ac:dyDescent="0.25">
      <c r="F4407"/>
    </row>
    <row r="4408" spans="6:6" x14ac:dyDescent="0.25">
      <c r="F4408"/>
    </row>
    <row r="4409" spans="6:6" x14ac:dyDescent="0.25">
      <c r="F4409"/>
    </row>
    <row r="4410" spans="6:6" x14ac:dyDescent="0.25">
      <c r="F4410"/>
    </row>
    <row r="4411" spans="6:6" x14ac:dyDescent="0.25">
      <c r="F4411"/>
    </row>
    <row r="4412" spans="6:6" x14ac:dyDescent="0.25">
      <c r="F4412"/>
    </row>
    <row r="4413" spans="6:6" x14ac:dyDescent="0.25">
      <c r="F4413"/>
    </row>
    <row r="4414" spans="6:6" x14ac:dyDescent="0.25">
      <c r="F4414"/>
    </row>
    <row r="4415" spans="6:6" x14ac:dyDescent="0.25">
      <c r="F4415"/>
    </row>
    <row r="4416" spans="6:6" x14ac:dyDescent="0.25">
      <c r="F4416"/>
    </row>
    <row r="4417" spans="6:6" x14ac:dyDescent="0.25">
      <c r="F4417"/>
    </row>
    <row r="4418" spans="6:6" x14ac:dyDescent="0.25">
      <c r="F4418"/>
    </row>
    <row r="4419" spans="6:6" x14ac:dyDescent="0.25">
      <c r="F4419"/>
    </row>
    <row r="4420" spans="6:6" x14ac:dyDescent="0.25">
      <c r="F4420"/>
    </row>
    <row r="4421" spans="6:6" x14ac:dyDescent="0.25">
      <c r="F4421"/>
    </row>
    <row r="4422" spans="6:6" x14ac:dyDescent="0.25">
      <c r="F4422"/>
    </row>
    <row r="4423" spans="6:6" x14ac:dyDescent="0.25">
      <c r="F4423"/>
    </row>
    <row r="4424" spans="6:6" x14ac:dyDescent="0.25">
      <c r="F4424"/>
    </row>
    <row r="4425" spans="6:6" x14ac:dyDescent="0.25">
      <c r="F4425"/>
    </row>
    <row r="4426" spans="6:6" x14ac:dyDescent="0.25">
      <c r="F4426"/>
    </row>
    <row r="4427" spans="6:6" x14ac:dyDescent="0.25">
      <c r="F4427"/>
    </row>
    <row r="4428" spans="6:6" x14ac:dyDescent="0.25">
      <c r="F4428"/>
    </row>
    <row r="4429" spans="6:6" x14ac:dyDescent="0.25">
      <c r="F4429"/>
    </row>
    <row r="4430" spans="6:6" x14ac:dyDescent="0.25">
      <c r="F4430"/>
    </row>
    <row r="4431" spans="6:6" x14ac:dyDescent="0.25">
      <c r="F4431"/>
    </row>
    <row r="4432" spans="6:6" x14ac:dyDescent="0.25">
      <c r="F4432"/>
    </row>
    <row r="4433" spans="6:6" x14ac:dyDescent="0.25">
      <c r="F4433"/>
    </row>
    <row r="4434" spans="6:6" x14ac:dyDescent="0.25">
      <c r="F4434"/>
    </row>
    <row r="4435" spans="6:6" x14ac:dyDescent="0.25">
      <c r="F4435"/>
    </row>
    <row r="4436" spans="6:6" x14ac:dyDescent="0.25">
      <c r="F4436"/>
    </row>
    <row r="4437" spans="6:6" x14ac:dyDescent="0.25">
      <c r="F4437"/>
    </row>
    <row r="4438" spans="6:6" x14ac:dyDescent="0.25">
      <c r="F4438"/>
    </row>
    <row r="4439" spans="6:6" x14ac:dyDescent="0.25">
      <c r="F4439"/>
    </row>
    <row r="4440" spans="6:6" x14ac:dyDescent="0.25">
      <c r="F4440"/>
    </row>
    <row r="4441" spans="6:6" x14ac:dyDescent="0.25">
      <c r="F4441"/>
    </row>
    <row r="4442" spans="6:6" x14ac:dyDescent="0.25">
      <c r="F4442"/>
    </row>
    <row r="4443" spans="6:6" x14ac:dyDescent="0.25">
      <c r="F4443"/>
    </row>
    <row r="4444" spans="6:6" x14ac:dyDescent="0.25">
      <c r="F4444"/>
    </row>
    <row r="4445" spans="6:6" x14ac:dyDescent="0.25">
      <c r="F4445"/>
    </row>
    <row r="4446" spans="6:6" x14ac:dyDescent="0.25">
      <c r="F4446"/>
    </row>
    <row r="4447" spans="6:6" x14ac:dyDescent="0.25">
      <c r="F4447"/>
    </row>
    <row r="4448" spans="6:6" x14ac:dyDescent="0.25">
      <c r="F4448"/>
    </row>
    <row r="4449" spans="6:6" x14ac:dyDescent="0.25">
      <c r="F4449"/>
    </row>
    <row r="4450" spans="6:6" x14ac:dyDescent="0.25">
      <c r="F4450"/>
    </row>
    <row r="4451" spans="6:6" x14ac:dyDescent="0.25">
      <c r="F4451"/>
    </row>
    <row r="4452" spans="6:6" x14ac:dyDescent="0.25">
      <c r="F4452"/>
    </row>
    <row r="4453" spans="6:6" x14ac:dyDescent="0.25">
      <c r="F4453"/>
    </row>
    <row r="4454" spans="6:6" x14ac:dyDescent="0.25">
      <c r="F4454"/>
    </row>
    <row r="4455" spans="6:6" x14ac:dyDescent="0.25">
      <c r="F4455"/>
    </row>
    <row r="4456" spans="6:6" x14ac:dyDescent="0.25">
      <c r="F4456"/>
    </row>
    <row r="4457" spans="6:6" x14ac:dyDescent="0.25">
      <c r="F4457"/>
    </row>
    <row r="4458" spans="6:6" x14ac:dyDescent="0.25">
      <c r="F4458"/>
    </row>
    <row r="4459" spans="6:6" x14ac:dyDescent="0.25">
      <c r="F4459"/>
    </row>
    <row r="4460" spans="6:6" x14ac:dyDescent="0.25">
      <c r="F4460"/>
    </row>
    <row r="4461" spans="6:6" x14ac:dyDescent="0.25">
      <c r="F4461"/>
    </row>
    <row r="4462" spans="6:6" x14ac:dyDescent="0.25">
      <c r="F4462"/>
    </row>
    <row r="4463" spans="6:6" x14ac:dyDescent="0.25">
      <c r="F4463"/>
    </row>
    <row r="4464" spans="6:6" x14ac:dyDescent="0.25">
      <c r="F4464"/>
    </row>
    <row r="4465" spans="6:6" x14ac:dyDescent="0.25">
      <c r="F4465"/>
    </row>
    <row r="4466" spans="6:6" x14ac:dyDescent="0.25">
      <c r="F4466"/>
    </row>
    <row r="4467" spans="6:6" x14ac:dyDescent="0.25">
      <c r="F4467"/>
    </row>
    <row r="4468" spans="6:6" x14ac:dyDescent="0.25">
      <c r="F4468"/>
    </row>
    <row r="4469" spans="6:6" x14ac:dyDescent="0.25">
      <c r="F4469"/>
    </row>
    <row r="4470" spans="6:6" x14ac:dyDescent="0.25">
      <c r="F4470"/>
    </row>
    <row r="4471" spans="6:6" x14ac:dyDescent="0.25">
      <c r="F4471"/>
    </row>
    <row r="4472" spans="6:6" x14ac:dyDescent="0.25">
      <c r="F4472"/>
    </row>
    <row r="4473" spans="6:6" x14ac:dyDescent="0.25">
      <c r="F4473"/>
    </row>
    <row r="4474" spans="6:6" x14ac:dyDescent="0.25">
      <c r="F4474"/>
    </row>
    <row r="4475" spans="6:6" x14ac:dyDescent="0.25">
      <c r="F4475"/>
    </row>
    <row r="4476" spans="6:6" x14ac:dyDescent="0.25">
      <c r="F4476"/>
    </row>
    <row r="4477" spans="6:6" x14ac:dyDescent="0.25">
      <c r="F4477"/>
    </row>
    <row r="4478" spans="6:6" x14ac:dyDescent="0.25">
      <c r="F4478"/>
    </row>
    <row r="4479" spans="6:6" x14ac:dyDescent="0.25">
      <c r="F4479"/>
    </row>
    <row r="4480" spans="6:6" x14ac:dyDescent="0.25">
      <c r="F4480"/>
    </row>
    <row r="4481" spans="6:6" x14ac:dyDescent="0.25">
      <c r="F4481"/>
    </row>
    <row r="4482" spans="6:6" x14ac:dyDescent="0.25">
      <c r="F4482"/>
    </row>
    <row r="4483" spans="6:6" x14ac:dyDescent="0.25">
      <c r="F4483"/>
    </row>
    <row r="4484" spans="6:6" x14ac:dyDescent="0.25">
      <c r="F4484"/>
    </row>
    <row r="4485" spans="6:6" x14ac:dyDescent="0.25">
      <c r="F4485"/>
    </row>
    <row r="4486" spans="6:6" x14ac:dyDescent="0.25">
      <c r="F4486"/>
    </row>
    <row r="4487" spans="6:6" x14ac:dyDescent="0.25">
      <c r="F4487"/>
    </row>
    <row r="4488" spans="6:6" x14ac:dyDescent="0.25">
      <c r="F4488"/>
    </row>
    <row r="4489" spans="6:6" x14ac:dyDescent="0.25">
      <c r="F4489"/>
    </row>
    <row r="4490" spans="6:6" x14ac:dyDescent="0.25">
      <c r="F4490"/>
    </row>
    <row r="4491" spans="6:6" x14ac:dyDescent="0.25">
      <c r="F4491"/>
    </row>
    <row r="4492" spans="6:6" x14ac:dyDescent="0.25">
      <c r="F4492"/>
    </row>
    <row r="4493" spans="6:6" x14ac:dyDescent="0.25">
      <c r="F4493"/>
    </row>
    <row r="4494" spans="6:6" x14ac:dyDescent="0.25">
      <c r="F4494"/>
    </row>
    <row r="4495" spans="6:6" x14ac:dyDescent="0.25">
      <c r="F4495"/>
    </row>
    <row r="4496" spans="6:6" x14ac:dyDescent="0.25">
      <c r="F4496"/>
    </row>
    <row r="4497" spans="6:6" x14ac:dyDescent="0.25">
      <c r="F4497"/>
    </row>
    <row r="4498" spans="6:6" x14ac:dyDescent="0.25">
      <c r="F4498"/>
    </row>
    <row r="4499" spans="6:6" x14ac:dyDescent="0.25">
      <c r="F4499"/>
    </row>
    <row r="4500" spans="6:6" x14ac:dyDescent="0.25">
      <c r="F4500"/>
    </row>
    <row r="4501" spans="6:6" x14ac:dyDescent="0.25">
      <c r="F4501"/>
    </row>
    <row r="4502" spans="6:6" x14ac:dyDescent="0.25">
      <c r="F4502"/>
    </row>
    <row r="4503" spans="6:6" x14ac:dyDescent="0.25">
      <c r="F4503"/>
    </row>
    <row r="4504" spans="6:6" x14ac:dyDescent="0.25">
      <c r="F4504"/>
    </row>
    <row r="4505" spans="6:6" x14ac:dyDescent="0.25">
      <c r="F4505"/>
    </row>
    <row r="4506" spans="6:6" x14ac:dyDescent="0.25">
      <c r="F4506"/>
    </row>
    <row r="4507" spans="6:6" x14ac:dyDescent="0.25">
      <c r="F4507"/>
    </row>
    <row r="4508" spans="6:6" x14ac:dyDescent="0.25">
      <c r="F4508"/>
    </row>
    <row r="4509" spans="6:6" x14ac:dyDescent="0.25">
      <c r="F4509"/>
    </row>
    <row r="4510" spans="6:6" x14ac:dyDescent="0.25">
      <c r="F4510"/>
    </row>
    <row r="4511" spans="6:6" x14ac:dyDescent="0.25">
      <c r="F4511"/>
    </row>
    <row r="4512" spans="6:6" x14ac:dyDescent="0.25">
      <c r="F4512"/>
    </row>
    <row r="4513" spans="6:6" x14ac:dyDescent="0.25">
      <c r="F4513"/>
    </row>
    <row r="4514" spans="6:6" x14ac:dyDescent="0.25">
      <c r="F4514"/>
    </row>
    <row r="4515" spans="6:6" x14ac:dyDescent="0.25">
      <c r="F4515"/>
    </row>
    <row r="4516" spans="6:6" x14ac:dyDescent="0.25">
      <c r="F4516"/>
    </row>
    <row r="4517" spans="6:6" x14ac:dyDescent="0.25">
      <c r="F4517"/>
    </row>
    <row r="4518" spans="6:6" x14ac:dyDescent="0.25">
      <c r="F4518"/>
    </row>
    <row r="4519" spans="6:6" x14ac:dyDescent="0.25">
      <c r="F4519"/>
    </row>
    <row r="4520" spans="6:6" x14ac:dyDescent="0.25">
      <c r="F4520"/>
    </row>
    <row r="4521" spans="6:6" x14ac:dyDescent="0.25">
      <c r="F4521"/>
    </row>
    <row r="4522" spans="6:6" x14ac:dyDescent="0.25">
      <c r="F4522"/>
    </row>
    <row r="4523" spans="6:6" x14ac:dyDescent="0.25">
      <c r="F4523"/>
    </row>
    <row r="4524" spans="6:6" x14ac:dyDescent="0.25">
      <c r="F4524"/>
    </row>
    <row r="4525" spans="6:6" x14ac:dyDescent="0.25">
      <c r="F4525"/>
    </row>
    <row r="4526" spans="6:6" x14ac:dyDescent="0.25">
      <c r="F4526"/>
    </row>
    <row r="4527" spans="6:6" x14ac:dyDescent="0.25">
      <c r="F4527"/>
    </row>
    <row r="4528" spans="6:6" x14ac:dyDescent="0.25">
      <c r="F4528"/>
    </row>
    <row r="4529" spans="6:6" x14ac:dyDescent="0.25">
      <c r="F4529"/>
    </row>
    <row r="4530" spans="6:6" x14ac:dyDescent="0.25">
      <c r="F4530"/>
    </row>
    <row r="4531" spans="6:6" x14ac:dyDescent="0.25">
      <c r="F4531"/>
    </row>
    <row r="4532" spans="6:6" x14ac:dyDescent="0.25">
      <c r="F4532"/>
    </row>
    <row r="4533" spans="6:6" x14ac:dyDescent="0.25">
      <c r="F4533"/>
    </row>
    <row r="4534" spans="6:6" x14ac:dyDescent="0.25">
      <c r="F4534"/>
    </row>
    <row r="4535" spans="6:6" x14ac:dyDescent="0.25">
      <c r="F4535"/>
    </row>
    <row r="4536" spans="6:6" x14ac:dyDescent="0.25">
      <c r="F4536"/>
    </row>
    <row r="4537" spans="6:6" x14ac:dyDescent="0.25">
      <c r="F4537"/>
    </row>
    <row r="4538" spans="6:6" x14ac:dyDescent="0.25">
      <c r="F4538"/>
    </row>
    <row r="4539" spans="6:6" x14ac:dyDescent="0.25">
      <c r="F4539"/>
    </row>
    <row r="4540" spans="6:6" x14ac:dyDescent="0.25">
      <c r="F4540"/>
    </row>
    <row r="4541" spans="6:6" x14ac:dyDescent="0.25">
      <c r="F4541"/>
    </row>
    <row r="4542" spans="6:6" x14ac:dyDescent="0.25">
      <c r="F4542"/>
    </row>
    <row r="4543" spans="6:6" x14ac:dyDescent="0.25">
      <c r="F4543"/>
    </row>
    <row r="4544" spans="6:6" x14ac:dyDescent="0.25">
      <c r="F4544"/>
    </row>
    <row r="4545" spans="6:6" x14ac:dyDescent="0.25">
      <c r="F4545"/>
    </row>
    <row r="4546" spans="6:6" x14ac:dyDescent="0.25">
      <c r="F4546"/>
    </row>
    <row r="4547" spans="6:6" x14ac:dyDescent="0.25">
      <c r="F4547"/>
    </row>
    <row r="4548" spans="6:6" x14ac:dyDescent="0.25">
      <c r="F4548"/>
    </row>
    <row r="4549" spans="6:6" x14ac:dyDescent="0.25">
      <c r="F4549"/>
    </row>
    <row r="4550" spans="6:6" x14ac:dyDescent="0.25">
      <c r="F4550"/>
    </row>
    <row r="4551" spans="6:6" x14ac:dyDescent="0.25">
      <c r="F4551"/>
    </row>
    <row r="4552" spans="6:6" x14ac:dyDescent="0.25">
      <c r="F4552"/>
    </row>
    <row r="4553" spans="6:6" x14ac:dyDescent="0.25">
      <c r="F4553"/>
    </row>
    <row r="4554" spans="6:6" x14ac:dyDescent="0.25">
      <c r="F4554"/>
    </row>
    <row r="4555" spans="6:6" x14ac:dyDescent="0.25">
      <c r="F4555"/>
    </row>
    <row r="4556" spans="6:6" x14ac:dyDescent="0.25">
      <c r="F4556"/>
    </row>
    <row r="4557" spans="6:6" x14ac:dyDescent="0.25">
      <c r="F4557"/>
    </row>
    <row r="4558" spans="6:6" x14ac:dyDescent="0.25">
      <c r="F4558"/>
    </row>
    <row r="4559" spans="6:6" x14ac:dyDescent="0.25">
      <c r="F4559"/>
    </row>
    <row r="4560" spans="6:6" x14ac:dyDescent="0.25">
      <c r="F4560"/>
    </row>
    <row r="4561" spans="6:6" x14ac:dyDescent="0.25">
      <c r="F4561"/>
    </row>
    <row r="4562" spans="6:6" x14ac:dyDescent="0.25">
      <c r="F4562"/>
    </row>
    <row r="4563" spans="6:6" x14ac:dyDescent="0.25">
      <c r="F4563"/>
    </row>
    <row r="4564" spans="6:6" x14ac:dyDescent="0.25">
      <c r="F4564"/>
    </row>
    <row r="4565" spans="6:6" x14ac:dyDescent="0.25">
      <c r="F4565"/>
    </row>
    <row r="4566" spans="6:6" x14ac:dyDescent="0.25">
      <c r="F4566"/>
    </row>
    <row r="4567" spans="6:6" x14ac:dyDescent="0.25">
      <c r="F4567"/>
    </row>
    <row r="4568" spans="6:6" x14ac:dyDescent="0.25">
      <c r="F4568"/>
    </row>
    <row r="4569" spans="6:6" x14ac:dyDescent="0.25">
      <c r="F4569"/>
    </row>
    <row r="4570" spans="6:6" x14ac:dyDescent="0.25">
      <c r="F4570"/>
    </row>
    <row r="4571" spans="6:6" x14ac:dyDescent="0.25">
      <c r="F4571"/>
    </row>
    <row r="4572" spans="6:6" x14ac:dyDescent="0.25">
      <c r="F4572"/>
    </row>
    <row r="4573" spans="6:6" x14ac:dyDescent="0.25">
      <c r="F4573"/>
    </row>
    <row r="4574" spans="6:6" x14ac:dyDescent="0.25">
      <c r="F4574"/>
    </row>
    <row r="4575" spans="6:6" x14ac:dyDescent="0.25">
      <c r="F4575"/>
    </row>
    <row r="4576" spans="6:6" x14ac:dyDescent="0.25">
      <c r="F4576"/>
    </row>
    <row r="4577" spans="6:6" x14ac:dyDescent="0.25">
      <c r="F4577"/>
    </row>
    <row r="4578" spans="6:6" x14ac:dyDescent="0.25">
      <c r="F4578"/>
    </row>
    <row r="4579" spans="6:6" x14ac:dyDescent="0.25">
      <c r="F4579"/>
    </row>
    <row r="4580" spans="6:6" x14ac:dyDescent="0.25">
      <c r="F4580"/>
    </row>
    <row r="4581" spans="6:6" x14ac:dyDescent="0.25">
      <c r="F4581"/>
    </row>
    <row r="4582" spans="6:6" x14ac:dyDescent="0.25">
      <c r="F4582"/>
    </row>
    <row r="4583" spans="6:6" x14ac:dyDescent="0.25">
      <c r="F4583"/>
    </row>
    <row r="4584" spans="6:6" x14ac:dyDescent="0.25">
      <c r="F4584"/>
    </row>
    <row r="4585" spans="6:6" x14ac:dyDescent="0.25">
      <c r="F4585"/>
    </row>
    <row r="4586" spans="6:6" x14ac:dyDescent="0.25">
      <c r="F4586"/>
    </row>
    <row r="4587" spans="6:6" x14ac:dyDescent="0.25">
      <c r="F4587"/>
    </row>
    <row r="4588" spans="6:6" x14ac:dyDescent="0.25">
      <c r="F4588"/>
    </row>
    <row r="4589" spans="6:6" x14ac:dyDescent="0.25">
      <c r="F4589"/>
    </row>
    <row r="4590" spans="6:6" x14ac:dyDescent="0.25">
      <c r="F4590"/>
    </row>
    <row r="4591" spans="6:6" x14ac:dyDescent="0.25">
      <c r="F4591"/>
    </row>
    <row r="4592" spans="6:6" x14ac:dyDescent="0.25">
      <c r="F4592"/>
    </row>
    <row r="4593" spans="6:6" x14ac:dyDescent="0.25">
      <c r="F4593"/>
    </row>
    <row r="4594" spans="6:6" x14ac:dyDescent="0.25">
      <c r="F4594"/>
    </row>
    <row r="4595" spans="6:6" x14ac:dyDescent="0.25">
      <c r="F4595"/>
    </row>
    <row r="4596" spans="6:6" x14ac:dyDescent="0.25">
      <c r="F4596"/>
    </row>
    <row r="4597" spans="6:6" x14ac:dyDescent="0.25">
      <c r="F4597"/>
    </row>
    <row r="4598" spans="6:6" x14ac:dyDescent="0.25">
      <c r="F4598"/>
    </row>
    <row r="4599" spans="6:6" x14ac:dyDescent="0.25">
      <c r="F4599"/>
    </row>
    <row r="4600" spans="6:6" x14ac:dyDescent="0.25">
      <c r="F4600"/>
    </row>
    <row r="4601" spans="6:6" x14ac:dyDescent="0.25">
      <c r="F4601"/>
    </row>
    <row r="4602" spans="6:6" x14ac:dyDescent="0.25">
      <c r="F4602"/>
    </row>
    <row r="4603" spans="6:6" x14ac:dyDescent="0.25">
      <c r="F4603"/>
    </row>
    <row r="4604" spans="6:6" x14ac:dyDescent="0.25">
      <c r="F4604"/>
    </row>
    <row r="4605" spans="6:6" x14ac:dyDescent="0.25">
      <c r="F4605"/>
    </row>
    <row r="4606" spans="6:6" x14ac:dyDescent="0.25">
      <c r="F4606"/>
    </row>
    <row r="4607" spans="6:6" x14ac:dyDescent="0.25">
      <c r="F4607"/>
    </row>
    <row r="4608" spans="6:6" x14ac:dyDescent="0.25">
      <c r="F4608"/>
    </row>
    <row r="4609" spans="6:6" x14ac:dyDescent="0.25">
      <c r="F4609"/>
    </row>
    <row r="4610" spans="6:6" x14ac:dyDescent="0.25">
      <c r="F4610"/>
    </row>
    <row r="4611" spans="6:6" x14ac:dyDescent="0.25">
      <c r="F4611"/>
    </row>
    <row r="4612" spans="6:6" x14ac:dyDescent="0.25">
      <c r="F4612"/>
    </row>
    <row r="4613" spans="6:6" x14ac:dyDescent="0.25">
      <c r="F4613"/>
    </row>
    <row r="4614" spans="6:6" x14ac:dyDescent="0.25">
      <c r="F4614"/>
    </row>
    <row r="4615" spans="6:6" x14ac:dyDescent="0.25">
      <c r="F4615"/>
    </row>
    <row r="4616" spans="6:6" x14ac:dyDescent="0.25">
      <c r="F4616"/>
    </row>
    <row r="4617" spans="6:6" x14ac:dyDescent="0.25">
      <c r="F4617"/>
    </row>
    <row r="4618" spans="6:6" x14ac:dyDescent="0.25">
      <c r="F4618"/>
    </row>
    <row r="4619" spans="6:6" x14ac:dyDescent="0.25">
      <c r="F4619"/>
    </row>
    <row r="4620" spans="6:6" x14ac:dyDescent="0.25">
      <c r="F4620"/>
    </row>
    <row r="4621" spans="6:6" x14ac:dyDescent="0.25">
      <c r="F4621"/>
    </row>
    <row r="4622" spans="6:6" x14ac:dyDescent="0.25">
      <c r="F4622"/>
    </row>
    <row r="4623" spans="6:6" x14ac:dyDescent="0.25">
      <c r="F4623"/>
    </row>
    <row r="4624" spans="6:6" x14ac:dyDescent="0.25">
      <c r="F4624"/>
    </row>
    <row r="4625" spans="6:6" x14ac:dyDescent="0.25">
      <c r="F4625"/>
    </row>
    <row r="4626" spans="6:6" x14ac:dyDescent="0.25">
      <c r="F4626"/>
    </row>
    <row r="4627" spans="6:6" x14ac:dyDescent="0.25">
      <c r="F4627"/>
    </row>
    <row r="4628" spans="6:6" x14ac:dyDescent="0.25">
      <c r="F4628"/>
    </row>
    <row r="4629" spans="6:6" x14ac:dyDescent="0.25">
      <c r="F4629"/>
    </row>
    <row r="4630" spans="6:6" x14ac:dyDescent="0.25">
      <c r="F4630"/>
    </row>
    <row r="4631" spans="6:6" x14ac:dyDescent="0.25">
      <c r="F4631"/>
    </row>
    <row r="4632" spans="6:6" x14ac:dyDescent="0.25">
      <c r="F4632"/>
    </row>
    <row r="4633" spans="6:6" x14ac:dyDescent="0.25">
      <c r="F4633"/>
    </row>
    <row r="4634" spans="6:6" x14ac:dyDescent="0.25">
      <c r="F4634"/>
    </row>
    <row r="4635" spans="6:6" x14ac:dyDescent="0.25">
      <c r="F4635"/>
    </row>
    <row r="4636" spans="6:6" x14ac:dyDescent="0.25">
      <c r="F4636"/>
    </row>
    <row r="4637" spans="6:6" x14ac:dyDescent="0.25">
      <c r="F4637"/>
    </row>
    <row r="4638" spans="6:6" x14ac:dyDescent="0.25">
      <c r="F4638"/>
    </row>
    <row r="4639" spans="6:6" x14ac:dyDescent="0.25">
      <c r="F4639"/>
    </row>
    <row r="4640" spans="6:6" x14ac:dyDescent="0.25">
      <c r="F4640"/>
    </row>
    <row r="4641" spans="6:6" x14ac:dyDescent="0.25">
      <c r="F4641"/>
    </row>
    <row r="4642" spans="6:6" x14ac:dyDescent="0.25">
      <c r="F4642"/>
    </row>
    <row r="4643" spans="6:6" x14ac:dyDescent="0.25">
      <c r="F4643"/>
    </row>
    <row r="4644" spans="6:6" x14ac:dyDescent="0.25">
      <c r="F4644"/>
    </row>
    <row r="4645" spans="6:6" x14ac:dyDescent="0.25">
      <c r="F4645"/>
    </row>
    <row r="4646" spans="6:6" x14ac:dyDescent="0.25">
      <c r="F4646"/>
    </row>
    <row r="4647" spans="6:6" x14ac:dyDescent="0.25">
      <c r="F4647"/>
    </row>
    <row r="4648" spans="6:6" x14ac:dyDescent="0.25">
      <c r="F4648"/>
    </row>
    <row r="4649" spans="6:6" x14ac:dyDescent="0.25">
      <c r="F4649"/>
    </row>
    <row r="4650" spans="6:6" x14ac:dyDescent="0.25">
      <c r="F4650"/>
    </row>
    <row r="4651" spans="6:6" x14ac:dyDescent="0.25">
      <c r="F4651"/>
    </row>
    <row r="4652" spans="6:6" x14ac:dyDescent="0.25">
      <c r="F4652"/>
    </row>
    <row r="4653" spans="6:6" x14ac:dyDescent="0.25">
      <c r="F4653"/>
    </row>
    <row r="4654" spans="6:6" x14ac:dyDescent="0.25">
      <c r="F4654"/>
    </row>
    <row r="4655" spans="6:6" x14ac:dyDescent="0.25">
      <c r="F4655"/>
    </row>
    <row r="4656" spans="6:6" x14ac:dyDescent="0.25">
      <c r="F4656"/>
    </row>
    <row r="4657" spans="6:6" x14ac:dyDescent="0.25">
      <c r="F4657"/>
    </row>
    <row r="4658" spans="6:6" x14ac:dyDescent="0.25">
      <c r="F4658"/>
    </row>
    <row r="4659" spans="6:6" x14ac:dyDescent="0.25">
      <c r="F4659"/>
    </row>
    <row r="4660" spans="6:6" x14ac:dyDescent="0.25">
      <c r="F4660"/>
    </row>
    <row r="4661" spans="6:6" x14ac:dyDescent="0.25">
      <c r="F4661"/>
    </row>
    <row r="4662" spans="6:6" x14ac:dyDescent="0.25">
      <c r="F4662"/>
    </row>
    <row r="4663" spans="6:6" x14ac:dyDescent="0.25">
      <c r="F4663"/>
    </row>
    <row r="4664" spans="6:6" x14ac:dyDescent="0.25">
      <c r="F4664"/>
    </row>
    <row r="4665" spans="6:6" x14ac:dyDescent="0.25">
      <c r="F4665"/>
    </row>
    <row r="4666" spans="6:6" x14ac:dyDescent="0.25">
      <c r="F4666"/>
    </row>
    <row r="4667" spans="6:6" x14ac:dyDescent="0.25">
      <c r="F4667"/>
    </row>
    <row r="4668" spans="6:6" x14ac:dyDescent="0.25">
      <c r="F4668"/>
    </row>
    <row r="4669" spans="6:6" x14ac:dyDescent="0.25">
      <c r="F4669"/>
    </row>
    <row r="4670" spans="6:6" x14ac:dyDescent="0.25">
      <c r="F4670"/>
    </row>
    <row r="4671" spans="6:6" x14ac:dyDescent="0.25">
      <c r="F4671"/>
    </row>
    <row r="4672" spans="6:6" x14ac:dyDescent="0.25">
      <c r="F4672"/>
    </row>
    <row r="4673" spans="6:6" x14ac:dyDescent="0.25">
      <c r="F4673"/>
    </row>
    <row r="4674" spans="6:6" x14ac:dyDescent="0.25">
      <c r="F4674"/>
    </row>
    <row r="4675" spans="6:6" x14ac:dyDescent="0.25">
      <c r="F4675"/>
    </row>
    <row r="4676" spans="6:6" x14ac:dyDescent="0.25">
      <c r="F4676"/>
    </row>
    <row r="4677" spans="6:6" x14ac:dyDescent="0.25">
      <c r="F4677"/>
    </row>
    <row r="4678" spans="6:6" x14ac:dyDescent="0.25">
      <c r="F4678"/>
    </row>
    <row r="4679" spans="6:6" x14ac:dyDescent="0.25">
      <c r="F4679"/>
    </row>
    <row r="4680" spans="6:6" x14ac:dyDescent="0.25">
      <c r="F4680"/>
    </row>
    <row r="4681" spans="6:6" x14ac:dyDescent="0.25">
      <c r="F4681"/>
    </row>
    <row r="4682" spans="6:6" x14ac:dyDescent="0.25">
      <c r="F4682"/>
    </row>
    <row r="4683" spans="6:6" x14ac:dyDescent="0.25">
      <c r="F4683"/>
    </row>
    <row r="4684" spans="6:6" x14ac:dyDescent="0.25">
      <c r="F4684"/>
    </row>
    <row r="4685" spans="6:6" x14ac:dyDescent="0.25">
      <c r="F4685"/>
    </row>
    <row r="4686" spans="6:6" x14ac:dyDescent="0.25">
      <c r="F4686"/>
    </row>
    <row r="4687" spans="6:6" x14ac:dyDescent="0.25">
      <c r="F4687"/>
    </row>
    <row r="4688" spans="6:6" x14ac:dyDescent="0.25">
      <c r="F4688"/>
    </row>
    <row r="4689" spans="6:6" x14ac:dyDescent="0.25">
      <c r="F4689"/>
    </row>
    <row r="4690" spans="6:6" x14ac:dyDescent="0.25">
      <c r="F4690"/>
    </row>
    <row r="4691" spans="6:6" x14ac:dyDescent="0.25">
      <c r="F4691"/>
    </row>
    <row r="4692" spans="6:6" x14ac:dyDescent="0.25">
      <c r="F4692"/>
    </row>
    <row r="4693" spans="6:6" x14ac:dyDescent="0.25">
      <c r="F4693"/>
    </row>
    <row r="4694" spans="6:6" x14ac:dyDescent="0.25">
      <c r="F4694"/>
    </row>
    <row r="4695" spans="6:6" x14ac:dyDescent="0.25">
      <c r="F4695"/>
    </row>
    <row r="4696" spans="6:6" x14ac:dyDescent="0.25">
      <c r="F4696"/>
    </row>
    <row r="4697" spans="6:6" x14ac:dyDescent="0.25">
      <c r="F4697"/>
    </row>
    <row r="4698" spans="6:6" x14ac:dyDescent="0.25">
      <c r="F4698"/>
    </row>
    <row r="4699" spans="6:6" x14ac:dyDescent="0.25">
      <c r="F4699"/>
    </row>
    <row r="4700" spans="6:6" x14ac:dyDescent="0.25">
      <c r="F4700"/>
    </row>
    <row r="4701" spans="6:6" x14ac:dyDescent="0.25">
      <c r="F4701"/>
    </row>
    <row r="4702" spans="6:6" x14ac:dyDescent="0.25">
      <c r="F4702"/>
    </row>
    <row r="4703" spans="6:6" x14ac:dyDescent="0.25">
      <c r="F4703"/>
    </row>
    <row r="4704" spans="6:6" x14ac:dyDescent="0.25">
      <c r="F4704"/>
    </row>
    <row r="4705" spans="6:6" x14ac:dyDescent="0.25">
      <c r="F4705"/>
    </row>
    <row r="4706" spans="6:6" x14ac:dyDescent="0.25">
      <c r="F4706"/>
    </row>
    <row r="4707" spans="6:6" x14ac:dyDescent="0.25">
      <c r="F4707"/>
    </row>
    <row r="4708" spans="6:6" x14ac:dyDescent="0.25">
      <c r="F4708"/>
    </row>
    <row r="4709" spans="6:6" x14ac:dyDescent="0.25">
      <c r="F4709"/>
    </row>
    <row r="4710" spans="6:6" x14ac:dyDescent="0.25">
      <c r="F4710"/>
    </row>
    <row r="4711" spans="6:6" x14ac:dyDescent="0.25">
      <c r="F4711"/>
    </row>
    <row r="4712" spans="6:6" x14ac:dyDescent="0.25">
      <c r="F4712"/>
    </row>
    <row r="4713" spans="6:6" x14ac:dyDescent="0.25">
      <c r="F4713"/>
    </row>
    <row r="4714" spans="6:6" x14ac:dyDescent="0.25">
      <c r="F4714"/>
    </row>
    <row r="4715" spans="6:6" x14ac:dyDescent="0.25">
      <c r="F4715"/>
    </row>
    <row r="4716" spans="6:6" x14ac:dyDescent="0.25">
      <c r="F4716"/>
    </row>
    <row r="4717" spans="6:6" x14ac:dyDescent="0.25">
      <c r="F4717"/>
    </row>
    <row r="4718" spans="6:6" x14ac:dyDescent="0.25">
      <c r="F4718"/>
    </row>
    <row r="4719" spans="6:6" x14ac:dyDescent="0.25">
      <c r="F4719"/>
    </row>
    <row r="4720" spans="6:6" x14ac:dyDescent="0.25">
      <c r="F4720"/>
    </row>
    <row r="4721" spans="6:6" x14ac:dyDescent="0.25">
      <c r="F4721"/>
    </row>
    <row r="4722" spans="6:6" x14ac:dyDescent="0.25">
      <c r="F4722"/>
    </row>
    <row r="4723" spans="6:6" x14ac:dyDescent="0.25">
      <c r="F4723"/>
    </row>
    <row r="4724" spans="6:6" x14ac:dyDescent="0.25">
      <c r="F4724"/>
    </row>
    <row r="4725" spans="6:6" x14ac:dyDescent="0.25">
      <c r="F4725"/>
    </row>
    <row r="4726" spans="6:6" x14ac:dyDescent="0.25">
      <c r="F4726"/>
    </row>
    <row r="4727" spans="6:6" x14ac:dyDescent="0.25">
      <c r="F4727"/>
    </row>
    <row r="4728" spans="6:6" x14ac:dyDescent="0.25">
      <c r="F4728"/>
    </row>
    <row r="4729" spans="6:6" x14ac:dyDescent="0.25">
      <c r="F4729"/>
    </row>
    <row r="4730" spans="6:6" x14ac:dyDescent="0.25">
      <c r="F4730"/>
    </row>
    <row r="4731" spans="6:6" x14ac:dyDescent="0.25">
      <c r="F4731"/>
    </row>
    <row r="4732" spans="6:6" x14ac:dyDescent="0.25">
      <c r="F4732"/>
    </row>
    <row r="4733" spans="6:6" x14ac:dyDescent="0.25">
      <c r="F4733"/>
    </row>
    <row r="4734" spans="6:6" x14ac:dyDescent="0.25">
      <c r="F4734"/>
    </row>
    <row r="4735" spans="6:6" x14ac:dyDescent="0.25">
      <c r="F4735"/>
    </row>
    <row r="4736" spans="6:6" x14ac:dyDescent="0.25">
      <c r="F4736"/>
    </row>
    <row r="4737" spans="6:6" x14ac:dyDescent="0.25">
      <c r="F4737"/>
    </row>
    <row r="4738" spans="6:6" x14ac:dyDescent="0.25">
      <c r="F4738"/>
    </row>
    <row r="4739" spans="6:6" x14ac:dyDescent="0.25">
      <c r="F4739"/>
    </row>
    <row r="4740" spans="6:6" x14ac:dyDescent="0.25">
      <c r="F4740"/>
    </row>
    <row r="4741" spans="6:6" x14ac:dyDescent="0.25">
      <c r="F4741"/>
    </row>
    <row r="4742" spans="6:6" x14ac:dyDescent="0.25">
      <c r="F4742"/>
    </row>
    <row r="4743" spans="6:6" x14ac:dyDescent="0.25">
      <c r="F4743"/>
    </row>
    <row r="4744" spans="6:6" x14ac:dyDescent="0.25">
      <c r="F4744"/>
    </row>
    <row r="4745" spans="6:6" x14ac:dyDescent="0.25">
      <c r="F4745"/>
    </row>
    <row r="4746" spans="6:6" x14ac:dyDescent="0.25">
      <c r="F4746"/>
    </row>
    <row r="4747" spans="6:6" x14ac:dyDescent="0.25">
      <c r="F4747"/>
    </row>
    <row r="4748" spans="6:6" x14ac:dyDescent="0.25">
      <c r="F4748"/>
    </row>
    <row r="4749" spans="6:6" x14ac:dyDescent="0.25">
      <c r="F4749"/>
    </row>
    <row r="4750" spans="6:6" x14ac:dyDescent="0.25">
      <c r="F4750"/>
    </row>
    <row r="4751" spans="6:6" x14ac:dyDescent="0.25">
      <c r="F4751"/>
    </row>
    <row r="4752" spans="6:6" x14ac:dyDescent="0.25">
      <c r="F4752"/>
    </row>
    <row r="4753" spans="6:6" x14ac:dyDescent="0.25">
      <c r="F4753"/>
    </row>
    <row r="4754" spans="6:6" x14ac:dyDescent="0.25">
      <c r="F4754"/>
    </row>
    <row r="4755" spans="6:6" x14ac:dyDescent="0.25">
      <c r="F4755"/>
    </row>
    <row r="4756" spans="6:6" x14ac:dyDescent="0.25">
      <c r="F4756"/>
    </row>
    <row r="4757" spans="6:6" x14ac:dyDescent="0.25">
      <c r="F4757"/>
    </row>
    <row r="4758" spans="6:6" x14ac:dyDescent="0.25">
      <c r="F4758"/>
    </row>
    <row r="4759" spans="6:6" x14ac:dyDescent="0.25">
      <c r="F4759"/>
    </row>
    <row r="4760" spans="6:6" x14ac:dyDescent="0.25">
      <c r="F4760"/>
    </row>
    <row r="4761" spans="6:6" x14ac:dyDescent="0.25">
      <c r="F4761"/>
    </row>
    <row r="4762" spans="6:6" x14ac:dyDescent="0.25">
      <c r="F4762"/>
    </row>
    <row r="4763" spans="6:6" x14ac:dyDescent="0.25">
      <c r="F4763"/>
    </row>
    <row r="4764" spans="6:6" x14ac:dyDescent="0.25">
      <c r="F4764"/>
    </row>
    <row r="4765" spans="6:6" x14ac:dyDescent="0.25">
      <c r="F4765"/>
    </row>
    <row r="4766" spans="6:6" x14ac:dyDescent="0.25">
      <c r="F4766"/>
    </row>
    <row r="4767" spans="6:6" x14ac:dyDescent="0.25">
      <c r="F4767"/>
    </row>
    <row r="4768" spans="6:6" x14ac:dyDescent="0.25">
      <c r="F4768"/>
    </row>
    <row r="4769" spans="6:6" x14ac:dyDescent="0.25">
      <c r="F4769"/>
    </row>
    <row r="4770" spans="6:6" x14ac:dyDescent="0.25">
      <c r="F4770"/>
    </row>
    <row r="4771" spans="6:6" x14ac:dyDescent="0.25">
      <c r="F4771"/>
    </row>
    <row r="4772" spans="6:6" x14ac:dyDescent="0.25">
      <c r="F4772"/>
    </row>
    <row r="4773" spans="6:6" x14ac:dyDescent="0.25">
      <c r="F4773"/>
    </row>
    <row r="4774" spans="6:6" x14ac:dyDescent="0.25">
      <c r="F4774"/>
    </row>
    <row r="4775" spans="6:6" x14ac:dyDescent="0.25">
      <c r="F4775"/>
    </row>
    <row r="4776" spans="6:6" x14ac:dyDescent="0.25">
      <c r="F4776"/>
    </row>
    <row r="4777" spans="6:6" x14ac:dyDescent="0.25">
      <c r="F4777"/>
    </row>
    <row r="4778" spans="6:6" x14ac:dyDescent="0.25">
      <c r="F4778"/>
    </row>
    <row r="4779" spans="6:6" x14ac:dyDescent="0.25">
      <c r="F4779"/>
    </row>
    <row r="4780" spans="6:6" x14ac:dyDescent="0.25">
      <c r="F4780"/>
    </row>
    <row r="4781" spans="6:6" x14ac:dyDescent="0.25">
      <c r="F4781"/>
    </row>
    <row r="4782" spans="6:6" x14ac:dyDescent="0.25">
      <c r="F4782"/>
    </row>
    <row r="4783" spans="6:6" x14ac:dyDescent="0.25">
      <c r="F4783"/>
    </row>
    <row r="4784" spans="6:6" x14ac:dyDescent="0.25">
      <c r="F4784"/>
    </row>
    <row r="4785" spans="6:6" x14ac:dyDescent="0.25">
      <c r="F4785"/>
    </row>
    <row r="4786" spans="6:6" x14ac:dyDescent="0.25">
      <c r="F4786"/>
    </row>
    <row r="4787" spans="6:6" x14ac:dyDescent="0.25">
      <c r="F4787"/>
    </row>
    <row r="4788" spans="6:6" x14ac:dyDescent="0.25">
      <c r="F4788"/>
    </row>
    <row r="4789" spans="6:6" x14ac:dyDescent="0.25">
      <c r="F4789"/>
    </row>
    <row r="4790" spans="6:6" x14ac:dyDescent="0.25">
      <c r="F4790"/>
    </row>
    <row r="4791" spans="6:6" x14ac:dyDescent="0.25">
      <c r="F4791"/>
    </row>
    <row r="4792" spans="6:6" x14ac:dyDescent="0.25">
      <c r="F4792"/>
    </row>
    <row r="4793" spans="6:6" x14ac:dyDescent="0.25">
      <c r="F4793"/>
    </row>
    <row r="4794" spans="6:6" x14ac:dyDescent="0.25">
      <c r="F4794"/>
    </row>
    <row r="4795" spans="6:6" x14ac:dyDescent="0.25">
      <c r="F4795"/>
    </row>
    <row r="4796" spans="6:6" x14ac:dyDescent="0.25">
      <c r="F4796"/>
    </row>
    <row r="4797" spans="6:6" x14ac:dyDescent="0.25">
      <c r="F4797"/>
    </row>
    <row r="4798" spans="6:6" x14ac:dyDescent="0.25">
      <c r="F4798"/>
    </row>
    <row r="4799" spans="6:6" x14ac:dyDescent="0.25">
      <c r="F4799"/>
    </row>
    <row r="4800" spans="6:6" x14ac:dyDescent="0.25">
      <c r="F4800"/>
    </row>
    <row r="4801" spans="6:6" x14ac:dyDescent="0.25">
      <c r="F4801"/>
    </row>
    <row r="4802" spans="6:6" x14ac:dyDescent="0.25">
      <c r="F4802"/>
    </row>
    <row r="4803" spans="6:6" x14ac:dyDescent="0.25">
      <c r="F4803"/>
    </row>
    <row r="4804" spans="6:6" x14ac:dyDescent="0.25">
      <c r="F4804"/>
    </row>
    <row r="4805" spans="6:6" x14ac:dyDescent="0.25">
      <c r="F4805"/>
    </row>
    <row r="4806" spans="6:6" x14ac:dyDescent="0.25">
      <c r="F4806"/>
    </row>
    <row r="4807" spans="6:6" x14ac:dyDescent="0.25">
      <c r="F4807"/>
    </row>
    <row r="4808" spans="6:6" x14ac:dyDescent="0.25">
      <c r="F4808"/>
    </row>
    <row r="4809" spans="6:6" x14ac:dyDescent="0.25">
      <c r="F4809"/>
    </row>
    <row r="4810" spans="6:6" x14ac:dyDescent="0.25">
      <c r="F4810"/>
    </row>
    <row r="4811" spans="6:6" x14ac:dyDescent="0.25">
      <c r="F4811"/>
    </row>
    <row r="4812" spans="6:6" x14ac:dyDescent="0.25">
      <c r="F4812"/>
    </row>
    <row r="4813" spans="6:6" x14ac:dyDescent="0.25">
      <c r="F4813"/>
    </row>
    <row r="4814" spans="6:6" x14ac:dyDescent="0.25">
      <c r="F4814"/>
    </row>
    <row r="4815" spans="6:6" x14ac:dyDescent="0.25">
      <c r="F4815"/>
    </row>
    <row r="4816" spans="6:6" x14ac:dyDescent="0.25">
      <c r="F4816"/>
    </row>
    <row r="4817" spans="6:6" x14ac:dyDescent="0.25">
      <c r="F4817"/>
    </row>
    <row r="4818" spans="6:6" x14ac:dyDescent="0.25">
      <c r="F4818"/>
    </row>
    <row r="4819" spans="6:6" x14ac:dyDescent="0.25">
      <c r="F4819"/>
    </row>
    <row r="4820" spans="6:6" x14ac:dyDescent="0.25">
      <c r="F4820"/>
    </row>
    <row r="4821" spans="6:6" x14ac:dyDescent="0.25">
      <c r="F4821"/>
    </row>
    <row r="4822" spans="6:6" x14ac:dyDescent="0.25">
      <c r="F4822"/>
    </row>
    <row r="4823" spans="6:6" x14ac:dyDescent="0.25">
      <c r="F4823"/>
    </row>
    <row r="4824" spans="6:6" x14ac:dyDescent="0.25">
      <c r="F4824"/>
    </row>
    <row r="4825" spans="6:6" x14ac:dyDescent="0.25">
      <c r="F4825"/>
    </row>
    <row r="4826" spans="6:6" x14ac:dyDescent="0.25">
      <c r="F4826"/>
    </row>
    <row r="4827" spans="6:6" x14ac:dyDescent="0.25">
      <c r="F4827"/>
    </row>
    <row r="4828" spans="6:6" x14ac:dyDescent="0.25">
      <c r="F4828"/>
    </row>
    <row r="4829" spans="6:6" x14ac:dyDescent="0.25">
      <c r="F4829"/>
    </row>
    <row r="4830" spans="6:6" x14ac:dyDescent="0.25">
      <c r="F4830"/>
    </row>
    <row r="4831" spans="6:6" x14ac:dyDescent="0.25">
      <c r="F4831"/>
    </row>
    <row r="4832" spans="6:6" x14ac:dyDescent="0.25">
      <c r="F4832"/>
    </row>
    <row r="4833" spans="6:6" x14ac:dyDescent="0.25">
      <c r="F4833"/>
    </row>
    <row r="4834" spans="6:6" x14ac:dyDescent="0.25">
      <c r="F4834"/>
    </row>
    <row r="4835" spans="6:6" x14ac:dyDescent="0.25">
      <c r="F4835"/>
    </row>
    <row r="4836" spans="6:6" x14ac:dyDescent="0.25">
      <c r="F4836"/>
    </row>
    <row r="4837" spans="6:6" x14ac:dyDescent="0.25">
      <c r="F4837"/>
    </row>
    <row r="4838" spans="6:6" x14ac:dyDescent="0.25">
      <c r="F4838"/>
    </row>
    <row r="4839" spans="6:6" x14ac:dyDescent="0.25">
      <c r="F4839"/>
    </row>
    <row r="4840" spans="6:6" x14ac:dyDescent="0.25">
      <c r="F4840"/>
    </row>
    <row r="4841" spans="6:6" x14ac:dyDescent="0.25">
      <c r="F4841"/>
    </row>
    <row r="4842" spans="6:6" x14ac:dyDescent="0.25">
      <c r="F4842"/>
    </row>
    <row r="4843" spans="6:6" x14ac:dyDescent="0.25">
      <c r="F4843"/>
    </row>
    <row r="4844" spans="6:6" x14ac:dyDescent="0.25">
      <c r="F4844"/>
    </row>
    <row r="4845" spans="6:6" x14ac:dyDescent="0.25">
      <c r="F4845"/>
    </row>
    <row r="4846" spans="6:6" x14ac:dyDescent="0.25">
      <c r="F4846"/>
    </row>
    <row r="4847" spans="6:6" x14ac:dyDescent="0.25">
      <c r="F4847"/>
    </row>
    <row r="4848" spans="6:6" x14ac:dyDescent="0.25">
      <c r="F4848"/>
    </row>
    <row r="4849" spans="6:6" x14ac:dyDescent="0.25">
      <c r="F4849"/>
    </row>
    <row r="4850" spans="6:6" x14ac:dyDescent="0.25">
      <c r="F4850"/>
    </row>
    <row r="4851" spans="6:6" x14ac:dyDescent="0.25">
      <c r="F4851"/>
    </row>
    <row r="4852" spans="6:6" x14ac:dyDescent="0.25">
      <c r="F4852"/>
    </row>
    <row r="4853" spans="6:6" x14ac:dyDescent="0.25">
      <c r="F4853"/>
    </row>
    <row r="4854" spans="6:6" x14ac:dyDescent="0.25">
      <c r="F4854"/>
    </row>
    <row r="4855" spans="6:6" x14ac:dyDescent="0.25">
      <c r="F4855"/>
    </row>
    <row r="4856" spans="6:6" x14ac:dyDescent="0.25">
      <c r="F4856"/>
    </row>
    <row r="4857" spans="6:6" x14ac:dyDescent="0.25">
      <c r="F4857"/>
    </row>
    <row r="4858" spans="6:6" x14ac:dyDescent="0.25">
      <c r="F4858"/>
    </row>
    <row r="4859" spans="6:6" x14ac:dyDescent="0.25">
      <c r="F4859"/>
    </row>
    <row r="4860" spans="6:6" x14ac:dyDescent="0.25">
      <c r="F4860"/>
    </row>
    <row r="4861" spans="6:6" x14ac:dyDescent="0.25">
      <c r="F4861"/>
    </row>
    <row r="4862" spans="6:6" x14ac:dyDescent="0.25">
      <c r="F4862"/>
    </row>
    <row r="4863" spans="6:6" x14ac:dyDescent="0.25">
      <c r="F4863"/>
    </row>
    <row r="4864" spans="6:6" x14ac:dyDescent="0.25">
      <c r="F4864"/>
    </row>
    <row r="4865" spans="6:6" x14ac:dyDescent="0.25">
      <c r="F4865"/>
    </row>
    <row r="4866" spans="6:6" x14ac:dyDescent="0.25">
      <c r="F4866"/>
    </row>
    <row r="4867" spans="6:6" x14ac:dyDescent="0.25">
      <c r="F4867"/>
    </row>
    <row r="4868" spans="6:6" x14ac:dyDescent="0.25">
      <c r="F4868"/>
    </row>
    <row r="4869" spans="6:6" x14ac:dyDescent="0.25">
      <c r="F4869"/>
    </row>
    <row r="4870" spans="6:6" x14ac:dyDescent="0.25">
      <c r="F4870"/>
    </row>
    <row r="4871" spans="6:6" x14ac:dyDescent="0.25">
      <c r="F4871"/>
    </row>
    <row r="4872" spans="6:6" x14ac:dyDescent="0.25">
      <c r="F4872"/>
    </row>
    <row r="4873" spans="6:6" x14ac:dyDescent="0.25">
      <c r="F4873"/>
    </row>
    <row r="4874" spans="6:6" x14ac:dyDescent="0.25">
      <c r="F4874"/>
    </row>
    <row r="4875" spans="6:6" x14ac:dyDescent="0.25">
      <c r="F4875"/>
    </row>
    <row r="4876" spans="6:6" x14ac:dyDescent="0.25">
      <c r="F4876"/>
    </row>
    <row r="4877" spans="6:6" x14ac:dyDescent="0.25">
      <c r="F4877"/>
    </row>
    <row r="4878" spans="6:6" x14ac:dyDescent="0.25">
      <c r="F4878"/>
    </row>
    <row r="4879" spans="6:6" x14ac:dyDescent="0.25">
      <c r="F4879"/>
    </row>
    <row r="4880" spans="6:6" x14ac:dyDescent="0.25">
      <c r="F4880"/>
    </row>
    <row r="4881" spans="6:6" x14ac:dyDescent="0.25">
      <c r="F4881"/>
    </row>
    <row r="4882" spans="6:6" x14ac:dyDescent="0.25">
      <c r="F4882"/>
    </row>
    <row r="4883" spans="6:6" x14ac:dyDescent="0.25">
      <c r="F4883"/>
    </row>
    <row r="4884" spans="6:6" x14ac:dyDescent="0.25">
      <c r="F4884"/>
    </row>
    <row r="4885" spans="6:6" x14ac:dyDescent="0.25">
      <c r="F4885"/>
    </row>
    <row r="4886" spans="6:6" x14ac:dyDescent="0.25">
      <c r="F4886"/>
    </row>
    <row r="4887" spans="6:6" x14ac:dyDescent="0.25">
      <c r="F4887"/>
    </row>
    <row r="4888" spans="6:6" x14ac:dyDescent="0.25">
      <c r="F4888"/>
    </row>
    <row r="4889" spans="6:6" x14ac:dyDescent="0.25">
      <c r="F4889"/>
    </row>
    <row r="4890" spans="6:6" x14ac:dyDescent="0.25">
      <c r="F4890"/>
    </row>
    <row r="4891" spans="6:6" x14ac:dyDescent="0.25">
      <c r="F4891"/>
    </row>
    <row r="4892" spans="6:6" x14ac:dyDescent="0.25">
      <c r="F4892"/>
    </row>
    <row r="4893" spans="6:6" x14ac:dyDescent="0.25">
      <c r="F4893"/>
    </row>
    <row r="4894" spans="6:6" x14ac:dyDescent="0.25">
      <c r="F4894"/>
    </row>
    <row r="4895" spans="6:6" x14ac:dyDescent="0.25">
      <c r="F4895"/>
    </row>
    <row r="4896" spans="6:6" x14ac:dyDescent="0.25">
      <c r="F4896"/>
    </row>
    <row r="4897" spans="6:6" x14ac:dyDescent="0.25">
      <c r="F4897"/>
    </row>
    <row r="4898" spans="6:6" x14ac:dyDescent="0.25">
      <c r="F4898"/>
    </row>
    <row r="4899" spans="6:6" x14ac:dyDescent="0.25">
      <c r="F4899"/>
    </row>
    <row r="4900" spans="6:6" x14ac:dyDescent="0.25">
      <c r="F4900"/>
    </row>
    <row r="4901" spans="6:6" x14ac:dyDescent="0.25">
      <c r="F4901"/>
    </row>
    <row r="4902" spans="6:6" x14ac:dyDescent="0.25">
      <c r="F4902"/>
    </row>
    <row r="4903" spans="6:6" x14ac:dyDescent="0.25">
      <c r="F4903"/>
    </row>
    <row r="4904" spans="6:6" x14ac:dyDescent="0.25">
      <c r="F4904"/>
    </row>
    <row r="4905" spans="6:6" x14ac:dyDescent="0.25">
      <c r="F4905"/>
    </row>
    <row r="4906" spans="6:6" x14ac:dyDescent="0.25">
      <c r="F4906"/>
    </row>
    <row r="4907" spans="6:6" x14ac:dyDescent="0.25">
      <c r="F4907"/>
    </row>
    <row r="4908" spans="6:6" x14ac:dyDescent="0.25">
      <c r="F4908"/>
    </row>
    <row r="4909" spans="6:6" x14ac:dyDescent="0.25">
      <c r="F4909"/>
    </row>
    <row r="4910" spans="6:6" x14ac:dyDescent="0.25">
      <c r="F4910"/>
    </row>
    <row r="4911" spans="6:6" x14ac:dyDescent="0.25">
      <c r="F4911"/>
    </row>
    <row r="4912" spans="6:6" x14ac:dyDescent="0.25">
      <c r="F4912"/>
    </row>
    <row r="4913" spans="6:6" x14ac:dyDescent="0.25">
      <c r="F4913"/>
    </row>
    <row r="4914" spans="6:6" x14ac:dyDescent="0.25">
      <c r="F4914"/>
    </row>
    <row r="4915" spans="6:6" x14ac:dyDescent="0.25">
      <c r="F4915"/>
    </row>
    <row r="4916" spans="6:6" x14ac:dyDescent="0.25">
      <c r="F4916"/>
    </row>
    <row r="4917" spans="6:6" x14ac:dyDescent="0.25">
      <c r="F4917"/>
    </row>
    <row r="4918" spans="6:6" x14ac:dyDescent="0.25">
      <c r="F4918"/>
    </row>
    <row r="4919" spans="6:6" x14ac:dyDescent="0.25">
      <c r="F4919"/>
    </row>
    <row r="4920" spans="6:6" x14ac:dyDescent="0.25">
      <c r="F4920"/>
    </row>
    <row r="4921" spans="6:6" x14ac:dyDescent="0.25">
      <c r="F4921"/>
    </row>
    <row r="4922" spans="6:6" x14ac:dyDescent="0.25">
      <c r="F4922"/>
    </row>
    <row r="4923" spans="6:6" x14ac:dyDescent="0.25">
      <c r="F4923"/>
    </row>
    <row r="4924" spans="6:6" x14ac:dyDescent="0.25">
      <c r="F4924"/>
    </row>
    <row r="4925" spans="6:6" x14ac:dyDescent="0.25">
      <c r="F4925"/>
    </row>
    <row r="4926" spans="6:6" x14ac:dyDescent="0.25">
      <c r="F4926"/>
    </row>
    <row r="4927" spans="6:6" x14ac:dyDescent="0.25">
      <c r="F4927"/>
    </row>
    <row r="4928" spans="6:6" x14ac:dyDescent="0.25">
      <c r="F4928"/>
    </row>
    <row r="4929" spans="6:6" x14ac:dyDescent="0.25">
      <c r="F4929"/>
    </row>
    <row r="4930" spans="6:6" x14ac:dyDescent="0.25">
      <c r="F4930"/>
    </row>
    <row r="4931" spans="6:6" x14ac:dyDescent="0.25">
      <c r="F4931"/>
    </row>
    <row r="4932" spans="6:6" x14ac:dyDescent="0.25">
      <c r="F4932"/>
    </row>
    <row r="4933" spans="6:6" x14ac:dyDescent="0.25">
      <c r="F4933"/>
    </row>
    <row r="4934" spans="6:6" x14ac:dyDescent="0.25">
      <c r="F4934"/>
    </row>
    <row r="4935" spans="6:6" x14ac:dyDescent="0.25">
      <c r="F4935"/>
    </row>
    <row r="4936" spans="6:6" x14ac:dyDescent="0.25">
      <c r="F4936"/>
    </row>
    <row r="4937" spans="6:6" x14ac:dyDescent="0.25">
      <c r="F4937"/>
    </row>
    <row r="4938" spans="6:6" x14ac:dyDescent="0.25">
      <c r="F4938"/>
    </row>
    <row r="4939" spans="6:6" x14ac:dyDescent="0.25">
      <c r="F4939"/>
    </row>
    <row r="4940" spans="6:6" x14ac:dyDescent="0.25">
      <c r="F4940"/>
    </row>
    <row r="4941" spans="6:6" x14ac:dyDescent="0.25">
      <c r="F4941"/>
    </row>
    <row r="4942" spans="6:6" x14ac:dyDescent="0.25">
      <c r="F4942"/>
    </row>
    <row r="4943" spans="6:6" x14ac:dyDescent="0.25">
      <c r="F4943"/>
    </row>
    <row r="4944" spans="6:6" x14ac:dyDescent="0.25">
      <c r="F4944"/>
    </row>
    <row r="4945" spans="6:6" x14ac:dyDescent="0.25">
      <c r="F4945"/>
    </row>
    <row r="4946" spans="6:6" x14ac:dyDescent="0.25">
      <c r="F4946"/>
    </row>
    <row r="4947" spans="6:6" x14ac:dyDescent="0.25">
      <c r="F4947"/>
    </row>
    <row r="4948" spans="6:6" x14ac:dyDescent="0.25">
      <c r="F4948"/>
    </row>
    <row r="4949" spans="6:6" x14ac:dyDescent="0.25">
      <c r="F4949"/>
    </row>
    <row r="4950" spans="6:6" x14ac:dyDescent="0.25">
      <c r="F4950"/>
    </row>
    <row r="4951" spans="6:6" x14ac:dyDescent="0.25">
      <c r="F4951"/>
    </row>
    <row r="4952" spans="6:6" x14ac:dyDescent="0.25">
      <c r="F4952"/>
    </row>
    <row r="4953" spans="6:6" x14ac:dyDescent="0.25">
      <c r="F4953"/>
    </row>
    <row r="4954" spans="6:6" x14ac:dyDescent="0.25">
      <c r="F4954"/>
    </row>
    <row r="4955" spans="6:6" x14ac:dyDescent="0.25">
      <c r="F4955"/>
    </row>
    <row r="4956" spans="6:6" x14ac:dyDescent="0.25">
      <c r="F4956"/>
    </row>
    <row r="4957" spans="6:6" x14ac:dyDescent="0.25">
      <c r="F4957"/>
    </row>
    <row r="4958" spans="6:6" x14ac:dyDescent="0.25">
      <c r="F4958"/>
    </row>
    <row r="4959" spans="6:6" x14ac:dyDescent="0.25">
      <c r="F4959"/>
    </row>
    <row r="4960" spans="6:6" x14ac:dyDescent="0.25">
      <c r="F4960"/>
    </row>
    <row r="4961" spans="6:6" x14ac:dyDescent="0.25">
      <c r="F4961"/>
    </row>
    <row r="4962" spans="6:6" x14ac:dyDescent="0.25">
      <c r="F4962"/>
    </row>
    <row r="4963" spans="6:6" x14ac:dyDescent="0.25">
      <c r="F4963"/>
    </row>
    <row r="4964" spans="6:6" x14ac:dyDescent="0.25">
      <c r="F4964"/>
    </row>
    <row r="4965" spans="6:6" x14ac:dyDescent="0.25">
      <c r="F4965"/>
    </row>
    <row r="4966" spans="6:6" x14ac:dyDescent="0.25">
      <c r="F4966"/>
    </row>
    <row r="4967" spans="6:6" x14ac:dyDescent="0.25">
      <c r="F4967"/>
    </row>
    <row r="4968" spans="6:6" x14ac:dyDescent="0.25">
      <c r="F4968"/>
    </row>
    <row r="4969" spans="6:6" x14ac:dyDescent="0.25">
      <c r="F4969"/>
    </row>
    <row r="4970" spans="6:6" x14ac:dyDescent="0.25">
      <c r="F4970"/>
    </row>
    <row r="4971" spans="6:6" x14ac:dyDescent="0.25">
      <c r="F4971"/>
    </row>
    <row r="4972" spans="6:6" x14ac:dyDescent="0.25">
      <c r="F4972"/>
    </row>
    <row r="4973" spans="6:6" x14ac:dyDescent="0.25">
      <c r="F4973"/>
    </row>
    <row r="4974" spans="6:6" x14ac:dyDescent="0.25">
      <c r="F4974"/>
    </row>
    <row r="4975" spans="6:6" x14ac:dyDescent="0.25">
      <c r="F4975"/>
    </row>
    <row r="4976" spans="6:6" x14ac:dyDescent="0.25">
      <c r="F4976"/>
    </row>
    <row r="4977" spans="6:6" x14ac:dyDescent="0.25">
      <c r="F4977"/>
    </row>
    <row r="4978" spans="6:6" x14ac:dyDescent="0.25">
      <c r="F4978"/>
    </row>
    <row r="4979" spans="6:6" x14ac:dyDescent="0.25">
      <c r="F4979"/>
    </row>
    <row r="4980" spans="6:6" x14ac:dyDescent="0.25">
      <c r="F4980"/>
    </row>
    <row r="4981" spans="6:6" x14ac:dyDescent="0.25">
      <c r="F4981"/>
    </row>
    <row r="4982" spans="6:6" x14ac:dyDescent="0.25">
      <c r="F4982"/>
    </row>
    <row r="4983" spans="6:6" x14ac:dyDescent="0.25">
      <c r="F4983"/>
    </row>
    <row r="4984" spans="6:6" x14ac:dyDescent="0.25">
      <c r="F4984"/>
    </row>
    <row r="4985" spans="6:6" x14ac:dyDescent="0.25">
      <c r="F4985"/>
    </row>
    <row r="4986" spans="6:6" x14ac:dyDescent="0.25">
      <c r="F4986"/>
    </row>
    <row r="4987" spans="6:6" x14ac:dyDescent="0.25">
      <c r="F4987"/>
    </row>
    <row r="4988" spans="6:6" x14ac:dyDescent="0.25">
      <c r="F4988"/>
    </row>
    <row r="4989" spans="6:6" x14ac:dyDescent="0.25">
      <c r="F4989"/>
    </row>
    <row r="4990" spans="6:6" x14ac:dyDescent="0.25">
      <c r="F4990"/>
    </row>
    <row r="4991" spans="6:6" x14ac:dyDescent="0.25">
      <c r="F4991"/>
    </row>
    <row r="4992" spans="6:6" x14ac:dyDescent="0.25">
      <c r="F4992"/>
    </row>
    <row r="4993" spans="6:6" x14ac:dyDescent="0.25">
      <c r="F4993"/>
    </row>
    <row r="4994" spans="6:6" x14ac:dyDescent="0.25">
      <c r="F4994"/>
    </row>
    <row r="4995" spans="6:6" x14ac:dyDescent="0.25">
      <c r="F4995"/>
    </row>
    <row r="4996" spans="6:6" x14ac:dyDescent="0.25">
      <c r="F4996"/>
    </row>
    <row r="4997" spans="6:6" x14ac:dyDescent="0.25">
      <c r="F4997"/>
    </row>
    <row r="4998" spans="6:6" x14ac:dyDescent="0.25">
      <c r="F4998"/>
    </row>
    <row r="4999" spans="6:6" x14ac:dyDescent="0.25">
      <c r="F4999"/>
    </row>
    <row r="5000" spans="6:6" x14ac:dyDescent="0.25">
      <c r="F5000"/>
    </row>
    <row r="5001" spans="6:6" x14ac:dyDescent="0.25">
      <c r="F5001"/>
    </row>
    <row r="5002" spans="6:6" x14ac:dyDescent="0.25">
      <c r="F5002"/>
    </row>
    <row r="5003" spans="6:6" x14ac:dyDescent="0.25">
      <c r="F5003"/>
    </row>
    <row r="5004" spans="6:6" x14ac:dyDescent="0.25">
      <c r="F5004"/>
    </row>
    <row r="5005" spans="6:6" x14ac:dyDescent="0.25">
      <c r="F5005"/>
    </row>
    <row r="5006" spans="6:6" x14ac:dyDescent="0.25">
      <c r="F5006"/>
    </row>
    <row r="5007" spans="6:6" x14ac:dyDescent="0.25">
      <c r="F5007"/>
    </row>
    <row r="5008" spans="6:6" x14ac:dyDescent="0.25">
      <c r="F5008"/>
    </row>
    <row r="5009" spans="6:6" x14ac:dyDescent="0.25">
      <c r="F5009"/>
    </row>
    <row r="5010" spans="6:6" x14ac:dyDescent="0.25">
      <c r="F5010"/>
    </row>
    <row r="5011" spans="6:6" x14ac:dyDescent="0.25">
      <c r="F5011"/>
    </row>
    <row r="5012" spans="6:6" x14ac:dyDescent="0.25">
      <c r="F5012"/>
    </row>
    <row r="5013" spans="6:6" x14ac:dyDescent="0.25">
      <c r="F5013"/>
    </row>
    <row r="5014" spans="6:6" x14ac:dyDescent="0.25">
      <c r="F5014"/>
    </row>
    <row r="5015" spans="6:6" x14ac:dyDescent="0.25">
      <c r="F5015"/>
    </row>
    <row r="5016" spans="6:6" x14ac:dyDescent="0.25">
      <c r="F5016"/>
    </row>
    <row r="5017" spans="6:6" x14ac:dyDescent="0.25">
      <c r="F5017"/>
    </row>
    <row r="5018" spans="6:6" x14ac:dyDescent="0.25">
      <c r="F5018"/>
    </row>
    <row r="5019" spans="6:6" x14ac:dyDescent="0.25">
      <c r="F5019"/>
    </row>
    <row r="5020" spans="6:6" x14ac:dyDescent="0.25">
      <c r="F5020"/>
    </row>
    <row r="5021" spans="6:6" x14ac:dyDescent="0.25">
      <c r="F5021"/>
    </row>
    <row r="5022" spans="6:6" x14ac:dyDescent="0.25">
      <c r="F5022"/>
    </row>
    <row r="5023" spans="6:6" x14ac:dyDescent="0.25">
      <c r="F5023"/>
    </row>
    <row r="5024" spans="6:6" x14ac:dyDescent="0.25">
      <c r="F5024"/>
    </row>
    <row r="5025" spans="6:6" x14ac:dyDescent="0.25">
      <c r="F5025"/>
    </row>
    <row r="5026" spans="6:6" x14ac:dyDescent="0.25">
      <c r="F5026"/>
    </row>
    <row r="5027" spans="6:6" x14ac:dyDescent="0.25">
      <c r="F5027"/>
    </row>
    <row r="5028" spans="6:6" x14ac:dyDescent="0.25">
      <c r="F5028"/>
    </row>
    <row r="5029" spans="6:6" x14ac:dyDescent="0.25">
      <c r="F5029"/>
    </row>
    <row r="5030" spans="6:6" x14ac:dyDescent="0.25">
      <c r="F5030"/>
    </row>
    <row r="5031" spans="6:6" x14ac:dyDescent="0.25">
      <c r="F5031"/>
    </row>
    <row r="5032" spans="6:6" x14ac:dyDescent="0.25">
      <c r="F5032"/>
    </row>
    <row r="5033" spans="6:6" x14ac:dyDescent="0.25">
      <c r="F5033"/>
    </row>
    <row r="5034" spans="6:6" x14ac:dyDescent="0.25">
      <c r="F5034"/>
    </row>
    <row r="5035" spans="6:6" x14ac:dyDescent="0.25">
      <c r="F5035"/>
    </row>
    <row r="5036" spans="6:6" x14ac:dyDescent="0.25">
      <c r="F5036"/>
    </row>
    <row r="5037" spans="6:6" x14ac:dyDescent="0.25">
      <c r="F5037"/>
    </row>
    <row r="5038" spans="6:6" x14ac:dyDescent="0.25">
      <c r="F5038"/>
    </row>
    <row r="5039" spans="6:6" x14ac:dyDescent="0.25">
      <c r="F5039"/>
    </row>
    <row r="5040" spans="6:6" x14ac:dyDescent="0.25">
      <c r="F5040"/>
    </row>
    <row r="5041" spans="6:6" x14ac:dyDescent="0.25">
      <c r="F5041"/>
    </row>
    <row r="5042" spans="6:6" x14ac:dyDescent="0.25">
      <c r="F5042"/>
    </row>
    <row r="5043" spans="6:6" x14ac:dyDescent="0.25">
      <c r="F5043"/>
    </row>
    <row r="5044" spans="6:6" x14ac:dyDescent="0.25">
      <c r="F5044"/>
    </row>
    <row r="5045" spans="6:6" x14ac:dyDescent="0.25">
      <c r="F5045"/>
    </row>
    <row r="5046" spans="6:6" x14ac:dyDescent="0.25">
      <c r="F5046"/>
    </row>
    <row r="5047" spans="6:6" x14ac:dyDescent="0.25">
      <c r="F5047"/>
    </row>
    <row r="5048" spans="6:6" x14ac:dyDescent="0.25">
      <c r="F5048"/>
    </row>
    <row r="5049" spans="6:6" x14ac:dyDescent="0.25">
      <c r="F5049"/>
    </row>
    <row r="5050" spans="6:6" x14ac:dyDescent="0.25">
      <c r="F5050"/>
    </row>
    <row r="5051" spans="6:6" x14ac:dyDescent="0.25">
      <c r="F5051"/>
    </row>
    <row r="5052" spans="6:6" x14ac:dyDescent="0.25">
      <c r="F5052"/>
    </row>
    <row r="5053" spans="6:6" x14ac:dyDescent="0.25">
      <c r="F5053"/>
    </row>
    <row r="5054" spans="6:6" x14ac:dyDescent="0.25">
      <c r="F5054"/>
    </row>
    <row r="5055" spans="6:6" x14ac:dyDescent="0.25">
      <c r="F5055"/>
    </row>
    <row r="5056" spans="6:6" x14ac:dyDescent="0.25">
      <c r="F5056"/>
    </row>
    <row r="5057" spans="6:6" x14ac:dyDescent="0.25">
      <c r="F5057"/>
    </row>
    <row r="5058" spans="6:6" x14ac:dyDescent="0.25">
      <c r="F5058"/>
    </row>
    <row r="5059" spans="6:6" x14ac:dyDescent="0.25">
      <c r="F5059"/>
    </row>
    <row r="5060" spans="6:6" x14ac:dyDescent="0.25">
      <c r="F5060"/>
    </row>
    <row r="5061" spans="6:6" x14ac:dyDescent="0.25">
      <c r="F5061"/>
    </row>
    <row r="5062" spans="6:6" x14ac:dyDescent="0.25">
      <c r="F5062"/>
    </row>
    <row r="5063" spans="6:6" x14ac:dyDescent="0.25">
      <c r="F5063"/>
    </row>
    <row r="5064" spans="6:6" x14ac:dyDescent="0.25">
      <c r="F5064"/>
    </row>
    <row r="5065" spans="6:6" x14ac:dyDescent="0.25">
      <c r="F5065"/>
    </row>
    <row r="5066" spans="6:6" x14ac:dyDescent="0.25">
      <c r="F5066"/>
    </row>
    <row r="5067" spans="6:6" x14ac:dyDescent="0.25">
      <c r="F5067"/>
    </row>
    <row r="5068" spans="6:6" x14ac:dyDescent="0.25">
      <c r="F5068"/>
    </row>
    <row r="5069" spans="6:6" x14ac:dyDescent="0.25">
      <c r="F5069"/>
    </row>
    <row r="5070" spans="6:6" x14ac:dyDescent="0.25">
      <c r="F5070"/>
    </row>
    <row r="5071" spans="6:6" x14ac:dyDescent="0.25">
      <c r="F5071"/>
    </row>
    <row r="5072" spans="6:6" x14ac:dyDescent="0.25">
      <c r="F5072"/>
    </row>
    <row r="5073" spans="6:6" x14ac:dyDescent="0.25">
      <c r="F5073"/>
    </row>
    <row r="5074" spans="6:6" x14ac:dyDescent="0.25">
      <c r="F5074"/>
    </row>
    <row r="5075" spans="6:6" x14ac:dyDescent="0.25">
      <c r="F5075"/>
    </row>
    <row r="5076" spans="6:6" x14ac:dyDescent="0.25">
      <c r="F5076"/>
    </row>
    <row r="5077" spans="6:6" x14ac:dyDescent="0.25">
      <c r="F5077"/>
    </row>
    <row r="5078" spans="6:6" x14ac:dyDescent="0.25">
      <c r="F5078"/>
    </row>
    <row r="5079" spans="6:6" x14ac:dyDescent="0.25">
      <c r="F5079"/>
    </row>
    <row r="5080" spans="6:6" x14ac:dyDescent="0.25">
      <c r="F5080"/>
    </row>
    <row r="5081" spans="6:6" x14ac:dyDescent="0.25">
      <c r="F5081"/>
    </row>
    <row r="5082" spans="6:6" x14ac:dyDescent="0.25">
      <c r="F5082"/>
    </row>
    <row r="5083" spans="6:6" x14ac:dyDescent="0.25">
      <c r="F5083"/>
    </row>
    <row r="5084" spans="6:6" x14ac:dyDescent="0.25">
      <c r="F5084"/>
    </row>
    <row r="5085" spans="6:6" x14ac:dyDescent="0.25">
      <c r="F5085"/>
    </row>
    <row r="5086" spans="6:6" x14ac:dyDescent="0.25">
      <c r="F5086"/>
    </row>
    <row r="5087" spans="6:6" x14ac:dyDescent="0.25">
      <c r="F5087"/>
    </row>
    <row r="5088" spans="6:6" x14ac:dyDescent="0.25">
      <c r="F5088"/>
    </row>
    <row r="5089" spans="6:6" x14ac:dyDescent="0.25">
      <c r="F5089"/>
    </row>
    <row r="5090" spans="6:6" x14ac:dyDescent="0.25">
      <c r="F5090"/>
    </row>
    <row r="5091" spans="6:6" x14ac:dyDescent="0.25">
      <c r="F5091"/>
    </row>
    <row r="5092" spans="6:6" x14ac:dyDescent="0.25">
      <c r="F5092"/>
    </row>
    <row r="5093" spans="6:6" x14ac:dyDescent="0.25">
      <c r="F5093"/>
    </row>
    <row r="5094" spans="6:6" x14ac:dyDescent="0.25">
      <c r="F5094"/>
    </row>
    <row r="5095" spans="6:6" x14ac:dyDescent="0.25">
      <c r="F5095"/>
    </row>
    <row r="5096" spans="6:6" x14ac:dyDescent="0.25">
      <c r="F5096"/>
    </row>
    <row r="5097" spans="6:6" x14ac:dyDescent="0.25">
      <c r="F5097"/>
    </row>
    <row r="5098" spans="6:6" x14ac:dyDescent="0.25">
      <c r="F5098"/>
    </row>
    <row r="5099" spans="6:6" x14ac:dyDescent="0.25">
      <c r="F5099"/>
    </row>
    <row r="5100" spans="6:6" x14ac:dyDescent="0.25">
      <c r="F5100"/>
    </row>
    <row r="5101" spans="6:6" x14ac:dyDescent="0.25">
      <c r="F5101"/>
    </row>
    <row r="5102" spans="6:6" x14ac:dyDescent="0.25">
      <c r="F5102"/>
    </row>
    <row r="5103" spans="6:6" x14ac:dyDescent="0.25">
      <c r="F5103"/>
    </row>
    <row r="5104" spans="6:6" x14ac:dyDescent="0.25">
      <c r="F5104"/>
    </row>
    <row r="5105" spans="6:6" x14ac:dyDescent="0.25">
      <c r="F5105"/>
    </row>
    <row r="5106" spans="6:6" x14ac:dyDescent="0.25">
      <c r="F5106"/>
    </row>
    <row r="5107" spans="6:6" x14ac:dyDescent="0.25">
      <c r="F5107"/>
    </row>
    <row r="5108" spans="6:6" x14ac:dyDescent="0.25">
      <c r="F5108"/>
    </row>
    <row r="5109" spans="6:6" x14ac:dyDescent="0.25">
      <c r="F5109"/>
    </row>
    <row r="5110" spans="6:6" x14ac:dyDescent="0.25">
      <c r="F5110"/>
    </row>
    <row r="5111" spans="6:6" x14ac:dyDescent="0.25">
      <c r="F5111"/>
    </row>
    <row r="5112" spans="6:6" x14ac:dyDescent="0.25">
      <c r="F5112"/>
    </row>
    <row r="5113" spans="6:6" x14ac:dyDescent="0.25">
      <c r="F5113"/>
    </row>
    <row r="5114" spans="6:6" x14ac:dyDescent="0.25">
      <c r="F5114"/>
    </row>
    <row r="5115" spans="6:6" x14ac:dyDescent="0.25">
      <c r="F5115"/>
    </row>
    <row r="5116" spans="6:6" x14ac:dyDescent="0.25">
      <c r="F5116"/>
    </row>
    <row r="5117" spans="6:6" x14ac:dyDescent="0.25">
      <c r="F5117"/>
    </row>
    <row r="5118" spans="6:6" x14ac:dyDescent="0.25">
      <c r="F5118"/>
    </row>
    <row r="5119" spans="6:6" x14ac:dyDescent="0.25">
      <c r="F5119"/>
    </row>
    <row r="5120" spans="6:6" x14ac:dyDescent="0.25">
      <c r="F5120"/>
    </row>
    <row r="5121" spans="6:6" x14ac:dyDescent="0.25">
      <c r="F5121"/>
    </row>
    <row r="5122" spans="6:6" x14ac:dyDescent="0.25">
      <c r="F5122"/>
    </row>
    <row r="5123" spans="6:6" x14ac:dyDescent="0.25">
      <c r="F5123"/>
    </row>
    <row r="5124" spans="6:6" x14ac:dyDescent="0.25">
      <c r="F5124"/>
    </row>
    <row r="5125" spans="6:6" x14ac:dyDescent="0.25">
      <c r="F5125"/>
    </row>
    <row r="5126" spans="6:6" x14ac:dyDescent="0.25">
      <c r="F5126"/>
    </row>
    <row r="5127" spans="6:6" x14ac:dyDescent="0.25">
      <c r="F5127"/>
    </row>
    <row r="5128" spans="6:6" x14ac:dyDescent="0.25">
      <c r="F5128"/>
    </row>
    <row r="5129" spans="6:6" x14ac:dyDescent="0.25">
      <c r="F5129"/>
    </row>
    <row r="5130" spans="6:6" x14ac:dyDescent="0.25">
      <c r="F5130"/>
    </row>
    <row r="5131" spans="6:6" x14ac:dyDescent="0.25">
      <c r="F5131"/>
    </row>
    <row r="5132" spans="6:6" x14ac:dyDescent="0.25">
      <c r="F5132"/>
    </row>
    <row r="5133" spans="6:6" x14ac:dyDescent="0.25">
      <c r="F5133"/>
    </row>
    <row r="5134" spans="6:6" x14ac:dyDescent="0.25">
      <c r="F5134"/>
    </row>
    <row r="5135" spans="6:6" x14ac:dyDescent="0.25">
      <c r="F5135"/>
    </row>
    <row r="5136" spans="6:6" x14ac:dyDescent="0.25">
      <c r="F5136"/>
    </row>
    <row r="5137" spans="6:6" x14ac:dyDescent="0.25">
      <c r="F5137"/>
    </row>
    <row r="5138" spans="6:6" x14ac:dyDescent="0.25">
      <c r="F5138"/>
    </row>
    <row r="5139" spans="6:6" x14ac:dyDescent="0.25">
      <c r="F5139"/>
    </row>
    <row r="5140" spans="6:6" x14ac:dyDescent="0.25">
      <c r="F5140"/>
    </row>
    <row r="5141" spans="6:6" x14ac:dyDescent="0.25">
      <c r="F5141"/>
    </row>
    <row r="5142" spans="6:6" x14ac:dyDescent="0.25">
      <c r="F5142"/>
    </row>
    <row r="5143" spans="6:6" x14ac:dyDescent="0.25">
      <c r="F5143"/>
    </row>
    <row r="5144" spans="6:6" x14ac:dyDescent="0.25">
      <c r="F5144"/>
    </row>
    <row r="5145" spans="6:6" x14ac:dyDescent="0.25">
      <c r="F5145"/>
    </row>
    <row r="5146" spans="6:6" x14ac:dyDescent="0.25">
      <c r="F5146"/>
    </row>
    <row r="5147" spans="6:6" x14ac:dyDescent="0.25">
      <c r="F5147"/>
    </row>
    <row r="5148" spans="6:6" x14ac:dyDescent="0.25">
      <c r="F5148"/>
    </row>
    <row r="5149" spans="6:6" x14ac:dyDescent="0.25">
      <c r="F5149"/>
    </row>
    <row r="5150" spans="6:6" x14ac:dyDescent="0.25">
      <c r="F5150"/>
    </row>
    <row r="5151" spans="6:6" x14ac:dyDescent="0.25">
      <c r="F5151"/>
    </row>
    <row r="5152" spans="6:6" x14ac:dyDescent="0.25">
      <c r="F5152"/>
    </row>
    <row r="5153" spans="6:6" x14ac:dyDescent="0.25">
      <c r="F5153"/>
    </row>
    <row r="5154" spans="6:6" x14ac:dyDescent="0.25">
      <c r="F5154"/>
    </row>
    <row r="5155" spans="6:6" x14ac:dyDescent="0.25">
      <c r="F5155"/>
    </row>
    <row r="5156" spans="6:6" x14ac:dyDescent="0.25">
      <c r="F5156"/>
    </row>
    <row r="5157" spans="6:6" x14ac:dyDescent="0.25">
      <c r="F5157"/>
    </row>
    <row r="5158" spans="6:6" x14ac:dyDescent="0.25">
      <c r="F5158"/>
    </row>
    <row r="5159" spans="6:6" x14ac:dyDescent="0.25">
      <c r="F5159"/>
    </row>
    <row r="5160" spans="6:6" x14ac:dyDescent="0.25">
      <c r="F5160"/>
    </row>
    <row r="5161" spans="6:6" x14ac:dyDescent="0.25">
      <c r="F5161"/>
    </row>
    <row r="5162" spans="6:6" x14ac:dyDescent="0.25">
      <c r="F5162"/>
    </row>
    <row r="5163" spans="6:6" x14ac:dyDescent="0.25">
      <c r="F5163"/>
    </row>
    <row r="5164" spans="6:6" x14ac:dyDescent="0.25">
      <c r="F5164"/>
    </row>
    <row r="5165" spans="6:6" x14ac:dyDescent="0.25">
      <c r="F5165"/>
    </row>
    <row r="5166" spans="6:6" x14ac:dyDescent="0.25">
      <c r="F5166"/>
    </row>
    <row r="5167" spans="6:6" x14ac:dyDescent="0.25">
      <c r="F5167"/>
    </row>
    <row r="5168" spans="6:6" x14ac:dyDescent="0.25">
      <c r="F5168"/>
    </row>
    <row r="5169" spans="6:6" x14ac:dyDescent="0.25">
      <c r="F5169"/>
    </row>
    <row r="5170" spans="6:6" x14ac:dyDescent="0.25">
      <c r="F5170"/>
    </row>
    <row r="5171" spans="6:6" x14ac:dyDescent="0.25">
      <c r="F5171"/>
    </row>
    <row r="5172" spans="6:6" x14ac:dyDescent="0.25">
      <c r="F5172"/>
    </row>
    <row r="5173" spans="6:6" x14ac:dyDescent="0.25">
      <c r="F5173"/>
    </row>
    <row r="5174" spans="6:6" x14ac:dyDescent="0.25">
      <c r="F5174"/>
    </row>
    <row r="5175" spans="6:6" x14ac:dyDescent="0.25">
      <c r="F5175"/>
    </row>
    <row r="5176" spans="6:6" x14ac:dyDescent="0.25">
      <c r="F5176"/>
    </row>
    <row r="5177" spans="6:6" x14ac:dyDescent="0.25">
      <c r="F5177"/>
    </row>
    <row r="5178" spans="6:6" x14ac:dyDescent="0.25">
      <c r="F5178"/>
    </row>
    <row r="5179" spans="6:6" x14ac:dyDescent="0.25">
      <c r="F5179"/>
    </row>
    <row r="5180" spans="6:6" x14ac:dyDescent="0.25">
      <c r="F5180"/>
    </row>
    <row r="5181" spans="6:6" x14ac:dyDescent="0.25">
      <c r="F5181"/>
    </row>
    <row r="5182" spans="6:6" x14ac:dyDescent="0.25">
      <c r="F5182"/>
    </row>
    <row r="5183" spans="6:6" x14ac:dyDescent="0.25">
      <c r="F5183"/>
    </row>
    <row r="5184" spans="6:6" x14ac:dyDescent="0.25">
      <c r="F5184"/>
    </row>
    <row r="5185" spans="6:6" x14ac:dyDescent="0.25">
      <c r="F5185"/>
    </row>
    <row r="5186" spans="6:6" x14ac:dyDescent="0.25">
      <c r="F5186"/>
    </row>
    <row r="5187" spans="6:6" x14ac:dyDescent="0.25">
      <c r="F5187"/>
    </row>
    <row r="5188" spans="6:6" x14ac:dyDescent="0.25">
      <c r="F5188"/>
    </row>
    <row r="5189" spans="6:6" x14ac:dyDescent="0.25">
      <c r="F5189"/>
    </row>
    <row r="5190" spans="6:6" x14ac:dyDescent="0.25">
      <c r="F5190"/>
    </row>
    <row r="5191" spans="6:6" x14ac:dyDescent="0.25">
      <c r="F5191"/>
    </row>
    <row r="5192" spans="6:6" x14ac:dyDescent="0.25">
      <c r="F5192"/>
    </row>
    <row r="5193" spans="6:6" x14ac:dyDescent="0.25">
      <c r="F5193"/>
    </row>
    <row r="5194" spans="6:6" x14ac:dyDescent="0.25">
      <c r="F5194"/>
    </row>
    <row r="5195" spans="6:6" x14ac:dyDescent="0.25">
      <c r="F5195"/>
    </row>
    <row r="5196" spans="6:6" x14ac:dyDescent="0.25">
      <c r="F5196"/>
    </row>
    <row r="5197" spans="6:6" x14ac:dyDescent="0.25">
      <c r="F5197"/>
    </row>
    <row r="5198" spans="6:6" x14ac:dyDescent="0.25">
      <c r="F5198"/>
    </row>
    <row r="5199" spans="6:6" x14ac:dyDescent="0.25">
      <c r="F5199"/>
    </row>
    <row r="5200" spans="6:6" x14ac:dyDescent="0.25">
      <c r="F5200"/>
    </row>
    <row r="5201" spans="6:6" x14ac:dyDescent="0.25">
      <c r="F5201"/>
    </row>
    <row r="5202" spans="6:6" x14ac:dyDescent="0.25">
      <c r="F5202"/>
    </row>
    <row r="5203" spans="6:6" x14ac:dyDescent="0.25">
      <c r="F5203"/>
    </row>
    <row r="5204" spans="6:6" x14ac:dyDescent="0.25">
      <c r="F5204"/>
    </row>
    <row r="5205" spans="6:6" x14ac:dyDescent="0.25">
      <c r="F5205"/>
    </row>
    <row r="5206" spans="6:6" x14ac:dyDescent="0.25">
      <c r="F5206"/>
    </row>
    <row r="5207" spans="6:6" x14ac:dyDescent="0.25">
      <c r="F5207"/>
    </row>
    <row r="5208" spans="6:6" x14ac:dyDescent="0.25">
      <c r="F5208"/>
    </row>
    <row r="5209" spans="6:6" x14ac:dyDescent="0.25">
      <c r="F5209"/>
    </row>
    <row r="5210" spans="6:6" x14ac:dyDescent="0.25">
      <c r="F5210"/>
    </row>
    <row r="5211" spans="6:6" x14ac:dyDescent="0.25">
      <c r="F5211"/>
    </row>
    <row r="5212" spans="6:6" x14ac:dyDescent="0.25">
      <c r="F5212"/>
    </row>
    <row r="5213" spans="6:6" x14ac:dyDescent="0.25">
      <c r="F5213"/>
    </row>
    <row r="5214" spans="6:6" x14ac:dyDescent="0.25">
      <c r="F5214"/>
    </row>
    <row r="5215" spans="6:6" x14ac:dyDescent="0.25">
      <c r="F5215"/>
    </row>
    <row r="5216" spans="6:6" x14ac:dyDescent="0.25">
      <c r="F5216"/>
    </row>
    <row r="5217" spans="6:6" x14ac:dyDescent="0.25">
      <c r="F5217"/>
    </row>
    <row r="5218" spans="6:6" x14ac:dyDescent="0.25">
      <c r="F5218"/>
    </row>
    <row r="5219" spans="6:6" x14ac:dyDescent="0.25">
      <c r="F5219"/>
    </row>
    <row r="5220" spans="6:6" x14ac:dyDescent="0.25">
      <c r="F5220"/>
    </row>
    <row r="5221" spans="6:6" x14ac:dyDescent="0.25">
      <c r="F5221"/>
    </row>
    <row r="5222" spans="6:6" x14ac:dyDescent="0.25">
      <c r="F5222"/>
    </row>
    <row r="5223" spans="6:6" x14ac:dyDescent="0.25">
      <c r="F5223"/>
    </row>
    <row r="5224" spans="6:6" x14ac:dyDescent="0.25">
      <c r="F5224"/>
    </row>
    <row r="5225" spans="6:6" x14ac:dyDescent="0.25">
      <c r="F5225"/>
    </row>
    <row r="5226" spans="6:6" x14ac:dyDescent="0.25">
      <c r="F5226"/>
    </row>
    <row r="5227" spans="6:6" x14ac:dyDescent="0.25">
      <c r="F5227"/>
    </row>
    <row r="5228" spans="6:6" x14ac:dyDescent="0.25">
      <c r="F5228"/>
    </row>
    <row r="5229" spans="6:6" x14ac:dyDescent="0.25">
      <c r="F5229"/>
    </row>
    <row r="5230" spans="6:6" x14ac:dyDescent="0.25">
      <c r="F5230"/>
    </row>
    <row r="5231" spans="6:6" x14ac:dyDescent="0.25">
      <c r="F5231"/>
    </row>
    <row r="5232" spans="6:6" x14ac:dyDescent="0.25">
      <c r="F5232"/>
    </row>
    <row r="5233" spans="6:6" x14ac:dyDescent="0.25">
      <c r="F5233"/>
    </row>
    <row r="5234" spans="6:6" x14ac:dyDescent="0.25">
      <c r="F5234"/>
    </row>
    <row r="5235" spans="6:6" x14ac:dyDescent="0.25">
      <c r="F5235"/>
    </row>
    <row r="5236" spans="6:6" x14ac:dyDescent="0.25">
      <c r="F5236"/>
    </row>
    <row r="5237" spans="6:6" x14ac:dyDescent="0.25">
      <c r="F5237"/>
    </row>
    <row r="5238" spans="6:6" x14ac:dyDescent="0.25">
      <c r="F5238"/>
    </row>
    <row r="5239" spans="6:6" x14ac:dyDescent="0.25">
      <c r="F5239"/>
    </row>
    <row r="5240" spans="6:6" x14ac:dyDescent="0.25">
      <c r="F5240"/>
    </row>
    <row r="5241" spans="6:6" x14ac:dyDescent="0.25">
      <c r="F5241"/>
    </row>
    <row r="5242" spans="6:6" x14ac:dyDescent="0.25">
      <c r="F5242"/>
    </row>
    <row r="5243" spans="6:6" x14ac:dyDescent="0.25">
      <c r="F5243"/>
    </row>
    <row r="5244" spans="6:6" x14ac:dyDescent="0.25">
      <c r="F5244"/>
    </row>
    <row r="5245" spans="6:6" x14ac:dyDescent="0.25">
      <c r="F5245"/>
    </row>
    <row r="5246" spans="6:6" x14ac:dyDescent="0.25">
      <c r="F5246"/>
    </row>
    <row r="5247" spans="6:6" x14ac:dyDescent="0.25">
      <c r="F5247"/>
    </row>
    <row r="5248" spans="6:6" x14ac:dyDescent="0.25">
      <c r="F5248"/>
    </row>
    <row r="5249" spans="6:6" x14ac:dyDescent="0.25">
      <c r="F5249"/>
    </row>
    <row r="5250" spans="6:6" x14ac:dyDescent="0.25">
      <c r="F5250"/>
    </row>
    <row r="5251" spans="6:6" x14ac:dyDescent="0.25">
      <c r="F5251"/>
    </row>
    <row r="5252" spans="6:6" x14ac:dyDescent="0.25">
      <c r="F5252"/>
    </row>
    <row r="5253" spans="6:6" x14ac:dyDescent="0.25">
      <c r="F5253"/>
    </row>
    <row r="5254" spans="6:6" x14ac:dyDescent="0.25">
      <c r="F5254"/>
    </row>
    <row r="5255" spans="6:6" x14ac:dyDescent="0.25">
      <c r="F5255"/>
    </row>
    <row r="5256" spans="6:6" x14ac:dyDescent="0.25">
      <c r="F5256"/>
    </row>
    <row r="5257" spans="6:6" x14ac:dyDescent="0.25">
      <c r="F5257"/>
    </row>
    <row r="5258" spans="6:6" x14ac:dyDescent="0.25">
      <c r="F5258"/>
    </row>
    <row r="5259" spans="6:6" x14ac:dyDescent="0.25">
      <c r="F5259"/>
    </row>
    <row r="5260" spans="6:6" x14ac:dyDescent="0.25">
      <c r="F5260"/>
    </row>
    <row r="5261" spans="6:6" x14ac:dyDescent="0.25">
      <c r="F5261"/>
    </row>
    <row r="5262" spans="6:6" x14ac:dyDescent="0.25">
      <c r="F5262"/>
    </row>
    <row r="5263" spans="6:6" x14ac:dyDescent="0.25">
      <c r="F5263"/>
    </row>
    <row r="5264" spans="6:6" x14ac:dyDescent="0.25">
      <c r="F5264"/>
    </row>
    <row r="5265" spans="6:6" x14ac:dyDescent="0.25">
      <c r="F5265"/>
    </row>
    <row r="5266" spans="6:6" x14ac:dyDescent="0.25">
      <c r="F5266"/>
    </row>
    <row r="5267" spans="6:6" x14ac:dyDescent="0.25">
      <c r="F5267"/>
    </row>
    <row r="5268" spans="6:6" x14ac:dyDescent="0.25">
      <c r="F5268"/>
    </row>
    <row r="5269" spans="6:6" x14ac:dyDescent="0.25">
      <c r="F5269"/>
    </row>
    <row r="5270" spans="6:6" x14ac:dyDescent="0.25">
      <c r="F5270"/>
    </row>
    <row r="5271" spans="6:6" x14ac:dyDescent="0.25">
      <c r="F5271"/>
    </row>
    <row r="5272" spans="6:6" x14ac:dyDescent="0.25">
      <c r="F5272"/>
    </row>
    <row r="5273" spans="6:6" x14ac:dyDescent="0.25">
      <c r="F5273"/>
    </row>
    <row r="5274" spans="6:6" x14ac:dyDescent="0.25">
      <c r="F5274"/>
    </row>
    <row r="5275" spans="6:6" x14ac:dyDescent="0.25">
      <c r="F5275"/>
    </row>
    <row r="5276" spans="6:6" x14ac:dyDescent="0.25">
      <c r="F5276"/>
    </row>
    <row r="5277" spans="6:6" x14ac:dyDescent="0.25">
      <c r="F5277"/>
    </row>
    <row r="5278" spans="6:6" x14ac:dyDescent="0.25">
      <c r="F5278"/>
    </row>
    <row r="5279" spans="6:6" x14ac:dyDescent="0.25">
      <c r="F5279"/>
    </row>
    <row r="5280" spans="6:6" x14ac:dyDescent="0.25">
      <c r="F5280"/>
    </row>
    <row r="5281" spans="6:6" x14ac:dyDescent="0.25">
      <c r="F5281"/>
    </row>
    <row r="5282" spans="6:6" x14ac:dyDescent="0.25">
      <c r="F5282"/>
    </row>
    <row r="5283" spans="6:6" x14ac:dyDescent="0.25">
      <c r="F5283"/>
    </row>
    <row r="5284" spans="6:6" x14ac:dyDescent="0.25">
      <c r="F5284"/>
    </row>
    <row r="5285" spans="6:6" x14ac:dyDescent="0.25">
      <c r="F5285"/>
    </row>
    <row r="5286" spans="6:6" x14ac:dyDescent="0.25">
      <c r="F5286"/>
    </row>
    <row r="5287" spans="6:6" x14ac:dyDescent="0.25">
      <c r="F5287"/>
    </row>
    <row r="5288" spans="6:6" x14ac:dyDescent="0.25">
      <c r="F5288"/>
    </row>
    <row r="5289" spans="6:6" x14ac:dyDescent="0.25">
      <c r="F5289"/>
    </row>
    <row r="5290" spans="6:6" x14ac:dyDescent="0.25">
      <c r="F5290"/>
    </row>
    <row r="5291" spans="6:6" x14ac:dyDescent="0.25">
      <c r="F5291"/>
    </row>
    <row r="5292" spans="6:6" x14ac:dyDescent="0.25">
      <c r="F5292"/>
    </row>
    <row r="5293" spans="6:6" x14ac:dyDescent="0.25">
      <c r="F5293"/>
    </row>
    <row r="5294" spans="6:6" x14ac:dyDescent="0.25">
      <c r="F5294"/>
    </row>
    <row r="5295" spans="6:6" x14ac:dyDescent="0.25">
      <c r="F5295"/>
    </row>
    <row r="5296" spans="6:6" x14ac:dyDescent="0.25">
      <c r="F5296"/>
    </row>
    <row r="5297" spans="6:6" x14ac:dyDescent="0.25">
      <c r="F5297"/>
    </row>
    <row r="5298" spans="6:6" x14ac:dyDescent="0.25">
      <c r="F5298"/>
    </row>
    <row r="5299" spans="6:6" x14ac:dyDescent="0.25">
      <c r="F5299"/>
    </row>
    <row r="5300" spans="6:6" x14ac:dyDescent="0.25">
      <c r="F5300"/>
    </row>
    <row r="5301" spans="6:6" x14ac:dyDescent="0.25">
      <c r="F5301"/>
    </row>
    <row r="5302" spans="6:6" x14ac:dyDescent="0.25">
      <c r="F5302"/>
    </row>
    <row r="5303" spans="6:6" x14ac:dyDescent="0.25">
      <c r="F5303"/>
    </row>
    <row r="5304" spans="6:6" x14ac:dyDescent="0.25">
      <c r="F5304"/>
    </row>
    <row r="5305" spans="6:6" x14ac:dyDescent="0.25">
      <c r="F5305"/>
    </row>
    <row r="5306" spans="6:6" x14ac:dyDescent="0.25">
      <c r="F5306"/>
    </row>
    <row r="5307" spans="6:6" x14ac:dyDescent="0.25">
      <c r="F5307"/>
    </row>
    <row r="5308" spans="6:6" x14ac:dyDescent="0.25">
      <c r="F5308"/>
    </row>
    <row r="5309" spans="6:6" x14ac:dyDescent="0.25">
      <c r="F5309"/>
    </row>
    <row r="5310" spans="6:6" x14ac:dyDescent="0.25">
      <c r="F5310"/>
    </row>
    <row r="5311" spans="6:6" x14ac:dyDescent="0.25">
      <c r="F5311"/>
    </row>
    <row r="5312" spans="6:6" x14ac:dyDescent="0.25">
      <c r="F5312"/>
    </row>
    <row r="5313" spans="6:6" x14ac:dyDescent="0.25">
      <c r="F5313"/>
    </row>
    <row r="5314" spans="6:6" x14ac:dyDescent="0.25">
      <c r="F5314"/>
    </row>
    <row r="5315" spans="6:6" x14ac:dyDescent="0.25">
      <c r="F5315"/>
    </row>
    <row r="5316" spans="6:6" x14ac:dyDescent="0.25">
      <c r="F5316"/>
    </row>
    <row r="5317" spans="6:6" x14ac:dyDescent="0.25">
      <c r="F5317"/>
    </row>
    <row r="5318" spans="6:6" x14ac:dyDescent="0.25">
      <c r="F5318"/>
    </row>
    <row r="5319" spans="6:6" x14ac:dyDescent="0.25">
      <c r="F5319"/>
    </row>
    <row r="5320" spans="6:6" x14ac:dyDescent="0.25">
      <c r="F5320"/>
    </row>
    <row r="5321" spans="6:6" x14ac:dyDescent="0.25">
      <c r="F5321"/>
    </row>
    <row r="5322" spans="6:6" x14ac:dyDescent="0.25">
      <c r="F5322"/>
    </row>
    <row r="5323" spans="6:6" x14ac:dyDescent="0.25">
      <c r="F5323"/>
    </row>
    <row r="5324" spans="6:6" x14ac:dyDescent="0.25">
      <c r="F5324"/>
    </row>
    <row r="5325" spans="6:6" x14ac:dyDescent="0.25">
      <c r="F5325"/>
    </row>
    <row r="5326" spans="6:6" x14ac:dyDescent="0.25">
      <c r="F5326"/>
    </row>
    <row r="5327" spans="6:6" x14ac:dyDescent="0.25">
      <c r="F5327"/>
    </row>
    <row r="5328" spans="6:6" x14ac:dyDescent="0.25">
      <c r="F5328"/>
    </row>
    <row r="5329" spans="6:6" x14ac:dyDescent="0.25">
      <c r="F5329"/>
    </row>
    <row r="5330" spans="6:6" x14ac:dyDescent="0.25">
      <c r="F5330"/>
    </row>
    <row r="5331" spans="6:6" x14ac:dyDescent="0.25">
      <c r="F5331"/>
    </row>
    <row r="5332" spans="6:6" x14ac:dyDescent="0.25">
      <c r="F5332"/>
    </row>
    <row r="5333" spans="6:6" x14ac:dyDescent="0.25">
      <c r="F5333"/>
    </row>
    <row r="5334" spans="6:6" x14ac:dyDescent="0.25">
      <c r="F5334"/>
    </row>
    <row r="5335" spans="6:6" x14ac:dyDescent="0.25">
      <c r="F5335"/>
    </row>
    <row r="5336" spans="6:6" x14ac:dyDescent="0.25">
      <c r="F5336"/>
    </row>
    <row r="5337" spans="6:6" x14ac:dyDescent="0.25">
      <c r="F5337"/>
    </row>
    <row r="5338" spans="6:6" x14ac:dyDescent="0.25">
      <c r="F5338"/>
    </row>
    <row r="5339" spans="6:6" x14ac:dyDescent="0.25">
      <c r="F5339"/>
    </row>
    <row r="5340" spans="6:6" x14ac:dyDescent="0.25">
      <c r="F5340"/>
    </row>
    <row r="5341" spans="6:6" x14ac:dyDescent="0.25">
      <c r="F5341"/>
    </row>
    <row r="5342" spans="6:6" x14ac:dyDescent="0.25">
      <c r="F5342"/>
    </row>
    <row r="5343" spans="6:6" x14ac:dyDescent="0.25">
      <c r="F5343"/>
    </row>
    <row r="5344" spans="6:6" x14ac:dyDescent="0.25">
      <c r="F5344"/>
    </row>
    <row r="5345" spans="6:6" x14ac:dyDescent="0.25">
      <c r="F5345"/>
    </row>
    <row r="5346" spans="6:6" x14ac:dyDescent="0.25">
      <c r="F5346"/>
    </row>
    <row r="5347" spans="6:6" x14ac:dyDescent="0.25">
      <c r="F5347"/>
    </row>
    <row r="5348" spans="6:6" x14ac:dyDescent="0.25">
      <c r="F5348"/>
    </row>
    <row r="5349" spans="6:6" x14ac:dyDescent="0.25">
      <c r="F5349"/>
    </row>
    <row r="5350" spans="6:6" x14ac:dyDescent="0.25">
      <c r="F5350"/>
    </row>
    <row r="5351" spans="6:6" x14ac:dyDescent="0.25">
      <c r="F5351"/>
    </row>
    <row r="5352" spans="6:6" x14ac:dyDescent="0.25">
      <c r="F5352"/>
    </row>
    <row r="5353" spans="6:6" x14ac:dyDescent="0.25">
      <c r="F5353"/>
    </row>
    <row r="5354" spans="6:6" x14ac:dyDescent="0.25">
      <c r="F5354"/>
    </row>
    <row r="5355" spans="6:6" x14ac:dyDescent="0.25">
      <c r="F5355"/>
    </row>
    <row r="5356" spans="6:6" x14ac:dyDescent="0.25">
      <c r="F5356"/>
    </row>
    <row r="5357" spans="6:6" x14ac:dyDescent="0.25">
      <c r="F5357"/>
    </row>
    <row r="5358" spans="6:6" x14ac:dyDescent="0.25">
      <c r="F5358"/>
    </row>
    <row r="5359" spans="6:6" x14ac:dyDescent="0.25">
      <c r="F5359"/>
    </row>
    <row r="5360" spans="6:6" x14ac:dyDescent="0.25">
      <c r="F5360"/>
    </row>
    <row r="5361" spans="6:6" x14ac:dyDescent="0.25">
      <c r="F5361"/>
    </row>
    <row r="5362" spans="6:6" x14ac:dyDescent="0.25">
      <c r="F5362"/>
    </row>
    <row r="5363" spans="6:6" x14ac:dyDescent="0.25">
      <c r="F5363"/>
    </row>
    <row r="5364" spans="6:6" x14ac:dyDescent="0.25">
      <c r="F5364"/>
    </row>
    <row r="5365" spans="6:6" x14ac:dyDescent="0.25">
      <c r="F5365"/>
    </row>
    <row r="5366" spans="6:6" x14ac:dyDescent="0.25">
      <c r="F5366"/>
    </row>
    <row r="5367" spans="6:6" x14ac:dyDescent="0.25">
      <c r="F5367"/>
    </row>
    <row r="5368" spans="6:6" x14ac:dyDescent="0.25">
      <c r="F5368"/>
    </row>
    <row r="5369" spans="6:6" x14ac:dyDescent="0.25">
      <c r="F5369"/>
    </row>
    <row r="5370" spans="6:6" x14ac:dyDescent="0.25">
      <c r="F5370"/>
    </row>
    <row r="5371" spans="6:6" x14ac:dyDescent="0.25">
      <c r="F5371"/>
    </row>
    <row r="5372" spans="6:6" x14ac:dyDescent="0.25">
      <c r="F5372"/>
    </row>
    <row r="5373" spans="6:6" x14ac:dyDescent="0.25">
      <c r="F5373"/>
    </row>
    <row r="5374" spans="6:6" x14ac:dyDescent="0.25">
      <c r="F5374"/>
    </row>
    <row r="5375" spans="6:6" x14ac:dyDescent="0.25">
      <c r="F5375"/>
    </row>
    <row r="5376" spans="6:6" x14ac:dyDescent="0.25">
      <c r="F5376"/>
    </row>
    <row r="5377" spans="6:6" x14ac:dyDescent="0.25">
      <c r="F5377"/>
    </row>
    <row r="5378" spans="6:6" x14ac:dyDescent="0.25">
      <c r="F5378"/>
    </row>
    <row r="5379" spans="6:6" x14ac:dyDescent="0.25">
      <c r="F5379"/>
    </row>
    <row r="5380" spans="6:6" x14ac:dyDescent="0.25">
      <c r="F5380"/>
    </row>
    <row r="5381" spans="6:6" x14ac:dyDescent="0.25">
      <c r="F5381"/>
    </row>
    <row r="5382" spans="6:6" x14ac:dyDescent="0.25">
      <c r="F5382"/>
    </row>
    <row r="5383" spans="6:6" x14ac:dyDescent="0.25">
      <c r="F5383"/>
    </row>
    <row r="5384" spans="6:6" x14ac:dyDescent="0.25">
      <c r="F5384"/>
    </row>
    <row r="5385" spans="6:6" x14ac:dyDescent="0.25">
      <c r="F5385"/>
    </row>
    <row r="5386" spans="6:6" x14ac:dyDescent="0.25">
      <c r="F5386"/>
    </row>
    <row r="5387" spans="6:6" x14ac:dyDescent="0.25">
      <c r="F5387"/>
    </row>
    <row r="5388" spans="6:6" x14ac:dyDescent="0.25">
      <c r="F5388"/>
    </row>
    <row r="5389" spans="6:6" x14ac:dyDescent="0.25">
      <c r="F5389"/>
    </row>
    <row r="5390" spans="6:6" x14ac:dyDescent="0.25">
      <c r="F5390"/>
    </row>
    <row r="5391" spans="6:6" x14ac:dyDescent="0.25">
      <c r="F5391"/>
    </row>
    <row r="5392" spans="6:6" x14ac:dyDescent="0.25">
      <c r="F5392"/>
    </row>
    <row r="5393" spans="6:6" x14ac:dyDescent="0.25">
      <c r="F5393"/>
    </row>
    <row r="5394" spans="6:6" x14ac:dyDescent="0.25">
      <c r="F5394"/>
    </row>
    <row r="5395" spans="6:6" x14ac:dyDescent="0.25">
      <c r="F5395"/>
    </row>
    <row r="5396" spans="6:6" x14ac:dyDescent="0.25">
      <c r="F5396"/>
    </row>
    <row r="5397" spans="6:6" x14ac:dyDescent="0.25">
      <c r="F5397"/>
    </row>
    <row r="5398" spans="6:6" x14ac:dyDescent="0.25">
      <c r="F5398"/>
    </row>
    <row r="5399" spans="6:6" x14ac:dyDescent="0.25">
      <c r="F5399"/>
    </row>
    <row r="5400" spans="6:6" x14ac:dyDescent="0.25">
      <c r="F5400"/>
    </row>
    <row r="5401" spans="6:6" x14ac:dyDescent="0.25">
      <c r="F5401"/>
    </row>
    <row r="5402" spans="6:6" x14ac:dyDescent="0.25">
      <c r="F5402"/>
    </row>
    <row r="5403" spans="6:6" x14ac:dyDescent="0.25">
      <c r="F5403"/>
    </row>
    <row r="5404" spans="6:6" x14ac:dyDescent="0.25">
      <c r="F5404"/>
    </row>
    <row r="5405" spans="6:6" x14ac:dyDescent="0.25">
      <c r="F5405"/>
    </row>
    <row r="5406" spans="6:6" x14ac:dyDescent="0.25">
      <c r="F5406"/>
    </row>
    <row r="5407" spans="6:6" x14ac:dyDescent="0.25">
      <c r="F5407"/>
    </row>
    <row r="5408" spans="6:6" x14ac:dyDescent="0.25">
      <c r="F5408"/>
    </row>
    <row r="5409" spans="6:6" x14ac:dyDescent="0.25">
      <c r="F5409"/>
    </row>
    <row r="5410" spans="6:6" x14ac:dyDescent="0.25">
      <c r="F5410"/>
    </row>
    <row r="5411" spans="6:6" x14ac:dyDescent="0.25">
      <c r="F5411"/>
    </row>
    <row r="5412" spans="6:6" x14ac:dyDescent="0.25">
      <c r="F5412"/>
    </row>
    <row r="5413" spans="6:6" x14ac:dyDescent="0.25">
      <c r="F5413"/>
    </row>
    <row r="5414" spans="6:6" x14ac:dyDescent="0.25">
      <c r="F5414"/>
    </row>
    <row r="5415" spans="6:6" x14ac:dyDescent="0.25">
      <c r="F5415"/>
    </row>
    <row r="5416" spans="6:6" x14ac:dyDescent="0.25">
      <c r="F5416"/>
    </row>
    <row r="5417" spans="6:6" x14ac:dyDescent="0.25">
      <c r="F5417"/>
    </row>
    <row r="5418" spans="6:6" x14ac:dyDescent="0.25">
      <c r="F5418"/>
    </row>
    <row r="5419" spans="6:6" x14ac:dyDescent="0.25">
      <c r="F5419"/>
    </row>
    <row r="5420" spans="6:6" x14ac:dyDescent="0.25">
      <c r="F5420"/>
    </row>
    <row r="5421" spans="6:6" x14ac:dyDescent="0.25">
      <c r="F5421"/>
    </row>
    <row r="5422" spans="6:6" x14ac:dyDescent="0.25">
      <c r="F5422"/>
    </row>
    <row r="5423" spans="6:6" x14ac:dyDescent="0.25">
      <c r="F5423"/>
    </row>
    <row r="5424" spans="6:6" x14ac:dyDescent="0.25">
      <c r="F5424"/>
    </row>
    <row r="5425" spans="6:6" x14ac:dyDescent="0.25">
      <c r="F5425"/>
    </row>
    <row r="5426" spans="6:6" x14ac:dyDescent="0.25">
      <c r="F5426"/>
    </row>
    <row r="5427" spans="6:6" x14ac:dyDescent="0.25">
      <c r="F5427"/>
    </row>
    <row r="5428" spans="6:6" x14ac:dyDescent="0.25">
      <c r="F5428"/>
    </row>
    <row r="5429" spans="6:6" x14ac:dyDescent="0.25">
      <c r="F5429"/>
    </row>
    <row r="5430" spans="6:6" x14ac:dyDescent="0.25">
      <c r="F5430"/>
    </row>
    <row r="5431" spans="6:6" x14ac:dyDescent="0.25">
      <c r="F5431"/>
    </row>
    <row r="5432" spans="6:6" x14ac:dyDescent="0.25">
      <c r="F5432"/>
    </row>
    <row r="5433" spans="6:6" x14ac:dyDescent="0.25">
      <c r="F5433"/>
    </row>
    <row r="5434" spans="6:6" x14ac:dyDescent="0.25">
      <c r="F5434"/>
    </row>
    <row r="5435" spans="6:6" x14ac:dyDescent="0.25">
      <c r="F5435"/>
    </row>
    <row r="5436" spans="6:6" x14ac:dyDescent="0.25">
      <c r="F5436"/>
    </row>
    <row r="5437" spans="6:6" x14ac:dyDescent="0.25">
      <c r="F5437"/>
    </row>
    <row r="5438" spans="6:6" x14ac:dyDescent="0.25">
      <c r="F5438"/>
    </row>
    <row r="5439" spans="6:6" x14ac:dyDescent="0.25">
      <c r="F5439"/>
    </row>
    <row r="5440" spans="6:6" x14ac:dyDescent="0.25">
      <c r="F5440"/>
    </row>
    <row r="5441" spans="6:6" x14ac:dyDescent="0.25">
      <c r="F5441"/>
    </row>
    <row r="5442" spans="6:6" x14ac:dyDescent="0.25">
      <c r="F5442"/>
    </row>
    <row r="5443" spans="6:6" x14ac:dyDescent="0.25">
      <c r="F5443"/>
    </row>
    <row r="5444" spans="6:6" x14ac:dyDescent="0.25">
      <c r="F5444"/>
    </row>
    <row r="5445" spans="6:6" x14ac:dyDescent="0.25">
      <c r="F5445"/>
    </row>
    <row r="5446" spans="6:6" x14ac:dyDescent="0.25">
      <c r="F5446"/>
    </row>
    <row r="5447" spans="6:6" x14ac:dyDescent="0.25">
      <c r="F5447"/>
    </row>
    <row r="5448" spans="6:6" x14ac:dyDescent="0.25">
      <c r="F5448"/>
    </row>
    <row r="5449" spans="6:6" x14ac:dyDescent="0.25">
      <c r="F5449"/>
    </row>
    <row r="5450" spans="6:6" x14ac:dyDescent="0.25">
      <c r="F5450"/>
    </row>
    <row r="5451" spans="6:6" x14ac:dyDescent="0.25">
      <c r="F5451"/>
    </row>
    <row r="5452" spans="6:6" x14ac:dyDescent="0.25">
      <c r="F5452"/>
    </row>
    <row r="5453" spans="6:6" x14ac:dyDescent="0.25">
      <c r="F5453"/>
    </row>
    <row r="5454" spans="6:6" x14ac:dyDescent="0.25">
      <c r="F5454"/>
    </row>
    <row r="5455" spans="6:6" x14ac:dyDescent="0.25">
      <c r="F5455"/>
    </row>
    <row r="5456" spans="6:6" x14ac:dyDescent="0.25">
      <c r="F5456"/>
    </row>
    <row r="5457" spans="6:6" x14ac:dyDescent="0.25">
      <c r="F5457"/>
    </row>
    <row r="5458" spans="6:6" x14ac:dyDescent="0.25">
      <c r="F5458"/>
    </row>
    <row r="5459" spans="6:6" x14ac:dyDescent="0.25">
      <c r="F5459"/>
    </row>
    <row r="5460" spans="6:6" x14ac:dyDescent="0.25">
      <c r="F5460"/>
    </row>
    <row r="5461" spans="6:6" x14ac:dyDescent="0.25">
      <c r="F5461"/>
    </row>
    <row r="5462" spans="6:6" x14ac:dyDescent="0.25">
      <c r="F5462"/>
    </row>
    <row r="5463" spans="6:6" x14ac:dyDescent="0.25">
      <c r="F5463"/>
    </row>
    <row r="5464" spans="6:6" x14ac:dyDescent="0.25">
      <c r="F5464"/>
    </row>
    <row r="5465" spans="6:6" x14ac:dyDescent="0.25">
      <c r="F5465"/>
    </row>
    <row r="5466" spans="6:6" x14ac:dyDescent="0.25">
      <c r="F5466"/>
    </row>
    <row r="5467" spans="6:6" x14ac:dyDescent="0.25">
      <c r="F5467"/>
    </row>
    <row r="5468" spans="6:6" x14ac:dyDescent="0.25">
      <c r="F5468"/>
    </row>
    <row r="5469" spans="6:6" x14ac:dyDescent="0.25">
      <c r="F5469"/>
    </row>
    <row r="5470" spans="6:6" x14ac:dyDescent="0.25">
      <c r="F5470"/>
    </row>
    <row r="5471" spans="6:6" x14ac:dyDescent="0.25">
      <c r="F5471"/>
    </row>
    <row r="5472" spans="6:6" x14ac:dyDescent="0.25">
      <c r="F5472"/>
    </row>
    <row r="5473" spans="6:6" x14ac:dyDescent="0.25">
      <c r="F5473"/>
    </row>
    <row r="5474" spans="6:6" x14ac:dyDescent="0.25">
      <c r="F5474"/>
    </row>
    <row r="5475" spans="6:6" x14ac:dyDescent="0.25">
      <c r="F5475"/>
    </row>
    <row r="5476" spans="6:6" x14ac:dyDescent="0.25">
      <c r="F5476"/>
    </row>
    <row r="5477" spans="6:6" x14ac:dyDescent="0.25">
      <c r="F5477"/>
    </row>
    <row r="5478" spans="6:6" x14ac:dyDescent="0.25">
      <c r="F5478"/>
    </row>
    <row r="5479" spans="6:6" x14ac:dyDescent="0.25">
      <c r="F5479"/>
    </row>
    <row r="5480" spans="6:6" x14ac:dyDescent="0.25">
      <c r="F5480"/>
    </row>
    <row r="5481" spans="6:6" x14ac:dyDescent="0.25">
      <c r="F5481"/>
    </row>
    <row r="5482" spans="6:6" x14ac:dyDescent="0.25">
      <c r="F5482"/>
    </row>
    <row r="5483" spans="6:6" x14ac:dyDescent="0.25">
      <c r="F5483"/>
    </row>
    <row r="5484" spans="6:6" x14ac:dyDescent="0.25">
      <c r="F5484"/>
    </row>
    <row r="5485" spans="6:6" x14ac:dyDescent="0.25">
      <c r="F5485"/>
    </row>
    <row r="5486" spans="6:6" x14ac:dyDescent="0.25">
      <c r="F5486"/>
    </row>
    <row r="5487" spans="6:6" x14ac:dyDescent="0.25">
      <c r="F5487"/>
    </row>
    <row r="5488" spans="6:6" x14ac:dyDescent="0.25">
      <c r="F5488"/>
    </row>
    <row r="5489" spans="6:6" x14ac:dyDescent="0.25">
      <c r="F5489"/>
    </row>
    <row r="5490" spans="6:6" x14ac:dyDescent="0.25">
      <c r="F5490"/>
    </row>
    <row r="5491" spans="6:6" x14ac:dyDescent="0.25">
      <c r="F5491"/>
    </row>
    <row r="5492" spans="6:6" x14ac:dyDescent="0.25">
      <c r="F5492"/>
    </row>
    <row r="5493" spans="6:6" x14ac:dyDescent="0.25">
      <c r="F5493"/>
    </row>
    <row r="5494" spans="6:6" x14ac:dyDescent="0.25">
      <c r="F5494"/>
    </row>
    <row r="5495" spans="6:6" x14ac:dyDescent="0.25">
      <c r="F5495"/>
    </row>
    <row r="5496" spans="6:6" x14ac:dyDescent="0.25">
      <c r="F5496"/>
    </row>
    <row r="5497" spans="6:6" x14ac:dyDescent="0.25">
      <c r="F5497"/>
    </row>
    <row r="5498" spans="6:6" x14ac:dyDescent="0.25">
      <c r="F5498"/>
    </row>
    <row r="5499" spans="6:6" x14ac:dyDescent="0.25">
      <c r="F5499"/>
    </row>
    <row r="5500" spans="6:6" x14ac:dyDescent="0.25">
      <c r="F5500"/>
    </row>
    <row r="5501" spans="6:6" x14ac:dyDescent="0.25">
      <c r="F5501"/>
    </row>
    <row r="5502" spans="6:6" x14ac:dyDescent="0.25">
      <c r="F5502"/>
    </row>
    <row r="5503" spans="6:6" x14ac:dyDescent="0.25">
      <c r="F5503"/>
    </row>
    <row r="5504" spans="6:6" x14ac:dyDescent="0.25">
      <c r="F5504"/>
    </row>
    <row r="5505" spans="6:6" x14ac:dyDescent="0.25">
      <c r="F5505"/>
    </row>
    <row r="5506" spans="6:6" x14ac:dyDescent="0.25">
      <c r="F5506"/>
    </row>
    <row r="5507" spans="6:6" x14ac:dyDescent="0.25">
      <c r="F5507"/>
    </row>
    <row r="5508" spans="6:6" x14ac:dyDescent="0.25">
      <c r="F5508"/>
    </row>
    <row r="5509" spans="6:6" x14ac:dyDescent="0.25">
      <c r="F5509"/>
    </row>
    <row r="5510" spans="6:6" x14ac:dyDescent="0.25">
      <c r="F5510"/>
    </row>
    <row r="5511" spans="6:6" x14ac:dyDescent="0.25">
      <c r="F5511"/>
    </row>
    <row r="5512" spans="6:6" x14ac:dyDescent="0.25">
      <c r="F5512"/>
    </row>
    <row r="5513" spans="6:6" x14ac:dyDescent="0.25">
      <c r="F5513"/>
    </row>
    <row r="5514" spans="6:6" x14ac:dyDescent="0.25">
      <c r="F5514"/>
    </row>
    <row r="5515" spans="6:6" x14ac:dyDescent="0.25">
      <c r="F5515"/>
    </row>
    <row r="5516" spans="6:6" x14ac:dyDescent="0.25">
      <c r="F5516"/>
    </row>
    <row r="5517" spans="6:6" x14ac:dyDescent="0.25">
      <c r="F5517"/>
    </row>
    <row r="5518" spans="6:6" x14ac:dyDescent="0.25">
      <c r="F5518"/>
    </row>
    <row r="5519" spans="6:6" x14ac:dyDescent="0.25">
      <c r="F5519"/>
    </row>
    <row r="5520" spans="6:6" x14ac:dyDescent="0.25">
      <c r="F5520"/>
    </row>
    <row r="5521" spans="6:6" x14ac:dyDescent="0.25">
      <c r="F5521"/>
    </row>
    <row r="5522" spans="6:6" x14ac:dyDescent="0.25">
      <c r="F5522"/>
    </row>
    <row r="5523" spans="6:6" x14ac:dyDescent="0.25">
      <c r="F5523"/>
    </row>
    <row r="5524" spans="6:6" x14ac:dyDescent="0.25">
      <c r="F5524"/>
    </row>
    <row r="5525" spans="6:6" x14ac:dyDescent="0.25">
      <c r="F5525"/>
    </row>
    <row r="5526" spans="6:6" x14ac:dyDescent="0.25">
      <c r="F5526"/>
    </row>
    <row r="5527" spans="6:6" x14ac:dyDescent="0.25">
      <c r="F5527"/>
    </row>
    <row r="5528" spans="6:6" x14ac:dyDescent="0.25">
      <c r="F5528"/>
    </row>
    <row r="5529" spans="6:6" x14ac:dyDescent="0.25">
      <c r="F5529"/>
    </row>
    <row r="5530" spans="6:6" x14ac:dyDescent="0.25">
      <c r="F5530"/>
    </row>
    <row r="5531" spans="6:6" x14ac:dyDescent="0.25">
      <c r="F5531"/>
    </row>
    <row r="5532" spans="6:6" x14ac:dyDescent="0.25">
      <c r="F5532"/>
    </row>
    <row r="5533" spans="6:6" x14ac:dyDescent="0.25">
      <c r="F5533"/>
    </row>
    <row r="5534" spans="6:6" x14ac:dyDescent="0.25">
      <c r="F5534"/>
    </row>
    <row r="5535" spans="6:6" x14ac:dyDescent="0.25">
      <c r="F5535"/>
    </row>
    <row r="5536" spans="6:6" x14ac:dyDescent="0.25">
      <c r="F5536"/>
    </row>
    <row r="5537" spans="6:6" x14ac:dyDescent="0.25">
      <c r="F5537"/>
    </row>
    <row r="5538" spans="6:6" x14ac:dyDescent="0.25">
      <c r="F5538"/>
    </row>
    <row r="5539" spans="6:6" x14ac:dyDescent="0.25">
      <c r="F5539"/>
    </row>
    <row r="5540" spans="6:6" x14ac:dyDescent="0.25">
      <c r="F5540"/>
    </row>
    <row r="5541" spans="6:6" x14ac:dyDescent="0.25">
      <c r="F5541"/>
    </row>
    <row r="5542" spans="6:6" x14ac:dyDescent="0.25">
      <c r="F5542"/>
    </row>
    <row r="5543" spans="6:6" x14ac:dyDescent="0.25">
      <c r="F5543"/>
    </row>
    <row r="5544" spans="6:6" x14ac:dyDescent="0.25">
      <c r="F5544"/>
    </row>
    <row r="5545" spans="6:6" x14ac:dyDescent="0.25">
      <c r="F5545"/>
    </row>
    <row r="5546" spans="6:6" x14ac:dyDescent="0.25">
      <c r="F5546"/>
    </row>
    <row r="5547" spans="6:6" x14ac:dyDescent="0.25">
      <c r="F5547"/>
    </row>
    <row r="5548" spans="6:6" x14ac:dyDescent="0.25">
      <c r="F5548"/>
    </row>
    <row r="5549" spans="6:6" x14ac:dyDescent="0.25">
      <c r="F5549"/>
    </row>
    <row r="5550" spans="6:6" x14ac:dyDescent="0.25">
      <c r="F5550"/>
    </row>
    <row r="5551" spans="6:6" x14ac:dyDescent="0.25">
      <c r="F5551"/>
    </row>
    <row r="5552" spans="6:6" x14ac:dyDescent="0.25">
      <c r="F5552"/>
    </row>
    <row r="5553" spans="6:6" x14ac:dyDescent="0.25">
      <c r="F5553"/>
    </row>
    <row r="5554" spans="6:6" x14ac:dyDescent="0.25">
      <c r="F5554"/>
    </row>
    <row r="5555" spans="6:6" x14ac:dyDescent="0.25">
      <c r="F5555"/>
    </row>
    <row r="5556" spans="6:6" x14ac:dyDescent="0.25">
      <c r="F5556"/>
    </row>
    <row r="5557" spans="6:6" x14ac:dyDescent="0.25">
      <c r="F5557"/>
    </row>
    <row r="5558" spans="6:6" x14ac:dyDescent="0.25">
      <c r="F5558"/>
    </row>
    <row r="5559" spans="6:6" x14ac:dyDescent="0.25">
      <c r="F5559"/>
    </row>
    <row r="5560" spans="6:6" x14ac:dyDescent="0.25">
      <c r="F5560"/>
    </row>
    <row r="5561" spans="6:6" x14ac:dyDescent="0.25">
      <c r="F5561"/>
    </row>
    <row r="5562" spans="6:6" x14ac:dyDescent="0.25">
      <c r="F5562"/>
    </row>
    <row r="5563" spans="6:6" x14ac:dyDescent="0.25">
      <c r="F5563"/>
    </row>
    <row r="5564" spans="6:6" x14ac:dyDescent="0.25">
      <c r="F5564"/>
    </row>
    <row r="5565" spans="6:6" x14ac:dyDescent="0.25">
      <c r="F5565"/>
    </row>
    <row r="5566" spans="6:6" x14ac:dyDescent="0.25">
      <c r="F5566"/>
    </row>
    <row r="5567" spans="6:6" x14ac:dyDescent="0.25">
      <c r="F5567"/>
    </row>
    <row r="5568" spans="6:6" x14ac:dyDescent="0.25">
      <c r="F5568"/>
    </row>
    <row r="5569" spans="6:6" x14ac:dyDescent="0.25">
      <c r="F5569"/>
    </row>
    <row r="5570" spans="6:6" x14ac:dyDescent="0.25">
      <c r="F5570"/>
    </row>
    <row r="5571" spans="6:6" x14ac:dyDescent="0.25">
      <c r="F5571"/>
    </row>
    <row r="5572" spans="6:6" x14ac:dyDescent="0.25">
      <c r="F5572"/>
    </row>
    <row r="5573" spans="6:6" x14ac:dyDescent="0.25">
      <c r="F5573"/>
    </row>
    <row r="5574" spans="6:6" x14ac:dyDescent="0.25">
      <c r="F5574"/>
    </row>
    <row r="5575" spans="6:6" x14ac:dyDescent="0.25">
      <c r="F5575"/>
    </row>
    <row r="5576" spans="6:6" x14ac:dyDescent="0.25">
      <c r="F5576"/>
    </row>
    <row r="5577" spans="6:6" x14ac:dyDescent="0.25">
      <c r="F5577"/>
    </row>
    <row r="5578" spans="6:6" x14ac:dyDescent="0.25">
      <c r="F5578"/>
    </row>
    <row r="5579" spans="6:6" x14ac:dyDescent="0.25">
      <c r="F5579"/>
    </row>
    <row r="5580" spans="6:6" x14ac:dyDescent="0.25">
      <c r="F5580"/>
    </row>
    <row r="5581" spans="6:6" x14ac:dyDescent="0.25">
      <c r="F5581"/>
    </row>
    <row r="5582" spans="6:6" x14ac:dyDescent="0.25">
      <c r="F5582"/>
    </row>
    <row r="5583" spans="6:6" x14ac:dyDescent="0.25">
      <c r="F5583"/>
    </row>
    <row r="5584" spans="6:6" x14ac:dyDescent="0.25">
      <c r="F5584"/>
    </row>
    <row r="5585" spans="6:6" x14ac:dyDescent="0.25">
      <c r="F5585"/>
    </row>
    <row r="5586" spans="6:6" x14ac:dyDescent="0.25">
      <c r="F5586"/>
    </row>
    <row r="5587" spans="6:6" x14ac:dyDescent="0.25">
      <c r="F5587"/>
    </row>
    <row r="5588" spans="6:6" x14ac:dyDescent="0.25">
      <c r="F5588"/>
    </row>
    <row r="5589" spans="6:6" x14ac:dyDescent="0.25">
      <c r="F5589"/>
    </row>
    <row r="5590" spans="6:6" x14ac:dyDescent="0.25">
      <c r="F5590"/>
    </row>
    <row r="5591" spans="6:6" x14ac:dyDescent="0.25">
      <c r="F5591"/>
    </row>
    <row r="5592" spans="6:6" x14ac:dyDescent="0.25">
      <c r="F5592"/>
    </row>
    <row r="5593" spans="6:6" x14ac:dyDescent="0.25">
      <c r="F5593"/>
    </row>
    <row r="5594" spans="6:6" x14ac:dyDescent="0.25">
      <c r="F5594"/>
    </row>
    <row r="5595" spans="6:6" x14ac:dyDescent="0.25">
      <c r="F5595"/>
    </row>
    <row r="5596" spans="6:6" x14ac:dyDescent="0.25">
      <c r="F5596"/>
    </row>
    <row r="5597" spans="6:6" x14ac:dyDescent="0.25">
      <c r="F5597"/>
    </row>
    <row r="5598" spans="6:6" x14ac:dyDescent="0.25">
      <c r="F5598"/>
    </row>
    <row r="5599" spans="6:6" x14ac:dyDescent="0.25">
      <c r="F5599"/>
    </row>
    <row r="5600" spans="6:6" x14ac:dyDescent="0.25">
      <c r="F5600"/>
    </row>
    <row r="5601" spans="6:6" x14ac:dyDescent="0.25">
      <c r="F5601"/>
    </row>
    <row r="5602" spans="6:6" x14ac:dyDescent="0.25">
      <c r="F5602"/>
    </row>
    <row r="5603" spans="6:6" x14ac:dyDescent="0.25">
      <c r="F5603"/>
    </row>
    <row r="5604" spans="6:6" x14ac:dyDescent="0.25">
      <c r="F5604"/>
    </row>
    <row r="5605" spans="6:6" x14ac:dyDescent="0.25">
      <c r="F5605"/>
    </row>
    <row r="5606" spans="6:6" x14ac:dyDescent="0.25">
      <c r="F5606"/>
    </row>
    <row r="5607" spans="6:6" x14ac:dyDescent="0.25">
      <c r="F5607"/>
    </row>
    <row r="5608" spans="6:6" x14ac:dyDescent="0.25">
      <c r="F5608"/>
    </row>
    <row r="5609" spans="6:6" x14ac:dyDescent="0.25">
      <c r="F5609"/>
    </row>
    <row r="5610" spans="6:6" x14ac:dyDescent="0.25">
      <c r="F5610"/>
    </row>
    <row r="5611" spans="6:6" x14ac:dyDescent="0.25">
      <c r="F5611"/>
    </row>
    <row r="5612" spans="6:6" x14ac:dyDescent="0.25">
      <c r="F5612"/>
    </row>
    <row r="5613" spans="6:6" x14ac:dyDescent="0.25">
      <c r="F5613"/>
    </row>
    <row r="5614" spans="6:6" x14ac:dyDescent="0.25">
      <c r="F5614"/>
    </row>
    <row r="5615" spans="6:6" x14ac:dyDescent="0.25">
      <c r="F5615"/>
    </row>
    <row r="5616" spans="6:6" x14ac:dyDescent="0.25">
      <c r="F5616"/>
    </row>
    <row r="5617" spans="6:6" x14ac:dyDescent="0.25">
      <c r="F5617"/>
    </row>
    <row r="5618" spans="6:6" x14ac:dyDescent="0.25">
      <c r="F5618"/>
    </row>
    <row r="5619" spans="6:6" x14ac:dyDescent="0.25">
      <c r="F5619"/>
    </row>
    <row r="5620" spans="6:6" x14ac:dyDescent="0.25">
      <c r="F5620"/>
    </row>
    <row r="5621" spans="6:6" x14ac:dyDescent="0.25">
      <c r="F5621"/>
    </row>
    <row r="5622" spans="6:6" x14ac:dyDescent="0.25">
      <c r="F5622"/>
    </row>
    <row r="5623" spans="6:6" x14ac:dyDescent="0.25">
      <c r="F5623"/>
    </row>
    <row r="5624" spans="6:6" x14ac:dyDescent="0.25">
      <c r="F5624"/>
    </row>
    <row r="5625" spans="6:6" x14ac:dyDescent="0.25">
      <c r="F5625"/>
    </row>
    <row r="5626" spans="6:6" x14ac:dyDescent="0.25">
      <c r="F5626"/>
    </row>
    <row r="5627" spans="6:6" x14ac:dyDescent="0.25">
      <c r="F5627"/>
    </row>
    <row r="5628" spans="6:6" x14ac:dyDescent="0.25">
      <c r="F5628"/>
    </row>
    <row r="5629" spans="6:6" x14ac:dyDescent="0.25">
      <c r="F5629"/>
    </row>
    <row r="5630" spans="6:6" x14ac:dyDescent="0.25">
      <c r="F5630"/>
    </row>
    <row r="5631" spans="6:6" x14ac:dyDescent="0.25">
      <c r="F5631"/>
    </row>
    <row r="5632" spans="6:6" x14ac:dyDescent="0.25">
      <c r="F5632"/>
    </row>
    <row r="5633" spans="6:6" x14ac:dyDescent="0.25">
      <c r="F5633"/>
    </row>
    <row r="5634" spans="6:6" x14ac:dyDescent="0.25">
      <c r="F5634"/>
    </row>
    <row r="5635" spans="6:6" x14ac:dyDescent="0.25">
      <c r="F5635"/>
    </row>
    <row r="5636" spans="6:6" x14ac:dyDescent="0.25">
      <c r="F5636"/>
    </row>
    <row r="5637" spans="6:6" x14ac:dyDescent="0.25">
      <c r="F5637"/>
    </row>
    <row r="5638" spans="6:6" x14ac:dyDescent="0.25">
      <c r="F5638"/>
    </row>
    <row r="5639" spans="6:6" x14ac:dyDescent="0.25">
      <c r="F5639"/>
    </row>
    <row r="5640" spans="6:6" x14ac:dyDescent="0.25">
      <c r="F5640"/>
    </row>
    <row r="5641" spans="6:6" x14ac:dyDescent="0.25">
      <c r="F5641"/>
    </row>
    <row r="5642" spans="6:6" x14ac:dyDescent="0.25">
      <c r="F5642"/>
    </row>
    <row r="5643" spans="6:6" x14ac:dyDescent="0.25">
      <c r="F5643"/>
    </row>
    <row r="5644" spans="6:6" x14ac:dyDescent="0.25">
      <c r="F5644"/>
    </row>
    <row r="5645" spans="6:6" x14ac:dyDescent="0.25">
      <c r="F5645"/>
    </row>
    <row r="5646" spans="6:6" x14ac:dyDescent="0.25">
      <c r="F5646"/>
    </row>
    <row r="5647" spans="6:6" x14ac:dyDescent="0.25">
      <c r="F5647"/>
    </row>
    <row r="5648" spans="6:6" x14ac:dyDescent="0.25">
      <c r="F5648"/>
    </row>
    <row r="5649" spans="6:6" x14ac:dyDescent="0.25">
      <c r="F5649"/>
    </row>
    <row r="5650" spans="6:6" x14ac:dyDescent="0.25">
      <c r="F5650"/>
    </row>
    <row r="5651" spans="6:6" x14ac:dyDescent="0.25">
      <c r="F5651"/>
    </row>
    <row r="5652" spans="6:6" x14ac:dyDescent="0.25">
      <c r="F5652"/>
    </row>
    <row r="5653" spans="6:6" x14ac:dyDescent="0.25">
      <c r="F5653"/>
    </row>
    <row r="5654" spans="6:6" x14ac:dyDescent="0.25">
      <c r="F5654"/>
    </row>
    <row r="5655" spans="6:6" x14ac:dyDescent="0.25">
      <c r="F5655"/>
    </row>
    <row r="5656" spans="6:6" x14ac:dyDescent="0.25">
      <c r="F5656"/>
    </row>
    <row r="5657" spans="6:6" x14ac:dyDescent="0.25">
      <c r="F5657"/>
    </row>
    <row r="5658" spans="6:6" x14ac:dyDescent="0.25">
      <c r="F5658"/>
    </row>
    <row r="5659" spans="6:6" x14ac:dyDescent="0.25">
      <c r="F5659"/>
    </row>
    <row r="5660" spans="6:6" x14ac:dyDescent="0.25">
      <c r="F5660"/>
    </row>
    <row r="5661" spans="6:6" x14ac:dyDescent="0.25">
      <c r="F5661"/>
    </row>
    <row r="5662" spans="6:6" x14ac:dyDescent="0.25">
      <c r="F5662"/>
    </row>
    <row r="5663" spans="6:6" x14ac:dyDescent="0.25">
      <c r="F5663"/>
    </row>
    <row r="5664" spans="6:6" x14ac:dyDescent="0.25">
      <c r="F5664"/>
    </row>
    <row r="5665" spans="6:6" x14ac:dyDescent="0.25">
      <c r="F5665"/>
    </row>
    <row r="5666" spans="6:6" x14ac:dyDescent="0.25">
      <c r="F5666"/>
    </row>
    <row r="5667" spans="6:6" x14ac:dyDescent="0.25">
      <c r="F5667"/>
    </row>
    <row r="5668" spans="6:6" x14ac:dyDescent="0.25">
      <c r="F5668"/>
    </row>
    <row r="5669" spans="6:6" x14ac:dyDescent="0.25">
      <c r="F5669"/>
    </row>
    <row r="5670" spans="6:6" x14ac:dyDescent="0.25">
      <c r="F5670"/>
    </row>
    <row r="5671" spans="6:6" x14ac:dyDescent="0.25">
      <c r="F5671"/>
    </row>
    <row r="5672" spans="6:6" x14ac:dyDescent="0.25">
      <c r="F5672"/>
    </row>
    <row r="5673" spans="6:6" x14ac:dyDescent="0.25">
      <c r="F5673"/>
    </row>
    <row r="5674" spans="6:6" x14ac:dyDescent="0.25">
      <c r="F5674"/>
    </row>
    <row r="5675" spans="6:6" x14ac:dyDescent="0.25">
      <c r="F5675"/>
    </row>
    <row r="5676" spans="6:6" x14ac:dyDescent="0.25">
      <c r="F5676"/>
    </row>
    <row r="5677" spans="6:6" x14ac:dyDescent="0.25">
      <c r="F5677"/>
    </row>
    <row r="5678" spans="6:6" x14ac:dyDescent="0.25">
      <c r="F5678"/>
    </row>
    <row r="5679" spans="6:6" x14ac:dyDescent="0.25">
      <c r="F5679"/>
    </row>
    <row r="5680" spans="6:6" x14ac:dyDescent="0.25">
      <c r="F5680"/>
    </row>
    <row r="5681" spans="6:6" x14ac:dyDescent="0.25">
      <c r="F5681"/>
    </row>
    <row r="5682" spans="6:6" x14ac:dyDescent="0.25">
      <c r="F5682"/>
    </row>
    <row r="5683" spans="6:6" x14ac:dyDescent="0.25">
      <c r="F5683"/>
    </row>
    <row r="5684" spans="6:6" x14ac:dyDescent="0.25">
      <c r="F5684"/>
    </row>
    <row r="5685" spans="6:6" x14ac:dyDescent="0.25">
      <c r="F5685"/>
    </row>
    <row r="5686" spans="6:6" x14ac:dyDescent="0.25">
      <c r="F5686"/>
    </row>
    <row r="5687" spans="6:6" x14ac:dyDescent="0.25">
      <c r="F5687"/>
    </row>
    <row r="5688" spans="6:6" x14ac:dyDescent="0.25">
      <c r="F5688"/>
    </row>
    <row r="5689" spans="6:6" x14ac:dyDescent="0.25">
      <c r="F5689"/>
    </row>
    <row r="5690" spans="6:6" x14ac:dyDescent="0.25">
      <c r="F5690"/>
    </row>
    <row r="5691" spans="6:6" x14ac:dyDescent="0.25">
      <c r="F5691"/>
    </row>
    <row r="5692" spans="6:6" x14ac:dyDescent="0.25">
      <c r="F5692"/>
    </row>
    <row r="5693" spans="6:6" x14ac:dyDescent="0.25">
      <c r="F5693"/>
    </row>
    <row r="5694" spans="6:6" x14ac:dyDescent="0.25">
      <c r="F5694"/>
    </row>
    <row r="5695" spans="6:6" x14ac:dyDescent="0.25">
      <c r="F5695"/>
    </row>
    <row r="5696" spans="6:6" x14ac:dyDescent="0.25">
      <c r="F5696"/>
    </row>
    <row r="5697" spans="6:6" x14ac:dyDescent="0.25">
      <c r="F5697"/>
    </row>
    <row r="5698" spans="6:6" x14ac:dyDescent="0.25">
      <c r="F5698"/>
    </row>
    <row r="5699" spans="6:6" x14ac:dyDescent="0.25">
      <c r="F5699"/>
    </row>
    <row r="5700" spans="6:6" x14ac:dyDescent="0.25">
      <c r="F5700"/>
    </row>
    <row r="5701" spans="6:6" x14ac:dyDescent="0.25">
      <c r="F5701"/>
    </row>
    <row r="5702" spans="6:6" x14ac:dyDescent="0.25">
      <c r="F5702"/>
    </row>
    <row r="5703" spans="6:6" x14ac:dyDescent="0.25">
      <c r="F5703"/>
    </row>
    <row r="5704" spans="6:6" x14ac:dyDescent="0.25">
      <c r="F5704"/>
    </row>
    <row r="5705" spans="6:6" x14ac:dyDescent="0.25">
      <c r="F5705"/>
    </row>
    <row r="5706" spans="6:6" x14ac:dyDescent="0.25">
      <c r="F5706"/>
    </row>
    <row r="5707" spans="6:6" x14ac:dyDescent="0.25">
      <c r="F5707"/>
    </row>
    <row r="5708" spans="6:6" x14ac:dyDescent="0.25">
      <c r="F5708"/>
    </row>
    <row r="5709" spans="6:6" x14ac:dyDescent="0.25">
      <c r="F5709"/>
    </row>
    <row r="5710" spans="6:6" x14ac:dyDescent="0.25">
      <c r="F5710"/>
    </row>
    <row r="5711" spans="6:6" x14ac:dyDescent="0.25">
      <c r="F5711"/>
    </row>
    <row r="5712" spans="6:6" x14ac:dyDescent="0.25">
      <c r="F5712"/>
    </row>
    <row r="5713" spans="6:6" x14ac:dyDescent="0.25">
      <c r="F5713"/>
    </row>
    <row r="5714" spans="6:6" x14ac:dyDescent="0.25">
      <c r="F5714"/>
    </row>
    <row r="5715" spans="6:6" x14ac:dyDescent="0.25">
      <c r="F5715"/>
    </row>
    <row r="5716" spans="6:6" x14ac:dyDescent="0.25">
      <c r="F5716"/>
    </row>
    <row r="5717" spans="6:6" x14ac:dyDescent="0.25">
      <c r="F5717"/>
    </row>
    <row r="5718" spans="6:6" x14ac:dyDescent="0.25">
      <c r="F5718"/>
    </row>
    <row r="5719" spans="6:6" x14ac:dyDescent="0.25">
      <c r="F5719"/>
    </row>
    <row r="5720" spans="6:6" x14ac:dyDescent="0.25">
      <c r="F5720"/>
    </row>
    <row r="5721" spans="6:6" x14ac:dyDescent="0.25">
      <c r="F5721"/>
    </row>
    <row r="5722" spans="6:6" x14ac:dyDescent="0.25">
      <c r="F5722"/>
    </row>
    <row r="5723" spans="6:6" x14ac:dyDescent="0.25">
      <c r="F5723"/>
    </row>
    <row r="5724" spans="6:6" x14ac:dyDescent="0.25">
      <c r="F5724"/>
    </row>
    <row r="5725" spans="6:6" x14ac:dyDescent="0.25">
      <c r="F5725"/>
    </row>
    <row r="5726" spans="6:6" x14ac:dyDescent="0.25">
      <c r="F5726"/>
    </row>
    <row r="5727" spans="6:6" x14ac:dyDescent="0.25">
      <c r="F5727"/>
    </row>
    <row r="5728" spans="6:6" x14ac:dyDescent="0.25">
      <c r="F5728"/>
    </row>
    <row r="5729" spans="6:6" x14ac:dyDescent="0.25">
      <c r="F5729"/>
    </row>
    <row r="5730" spans="6:6" x14ac:dyDescent="0.25">
      <c r="F5730"/>
    </row>
    <row r="5731" spans="6:6" x14ac:dyDescent="0.25">
      <c r="F5731"/>
    </row>
    <row r="5732" spans="6:6" x14ac:dyDescent="0.25">
      <c r="F5732"/>
    </row>
    <row r="5733" spans="6:6" x14ac:dyDescent="0.25">
      <c r="F5733"/>
    </row>
    <row r="5734" spans="6:6" x14ac:dyDescent="0.25">
      <c r="F5734"/>
    </row>
    <row r="5735" spans="6:6" x14ac:dyDescent="0.25">
      <c r="F5735"/>
    </row>
    <row r="5736" spans="6:6" x14ac:dyDescent="0.25">
      <c r="F5736"/>
    </row>
    <row r="5737" spans="6:6" x14ac:dyDescent="0.25">
      <c r="F5737"/>
    </row>
    <row r="5738" spans="6:6" x14ac:dyDescent="0.25">
      <c r="F5738"/>
    </row>
    <row r="5739" spans="6:6" x14ac:dyDescent="0.25">
      <c r="F5739"/>
    </row>
    <row r="5740" spans="6:6" x14ac:dyDescent="0.25">
      <c r="F5740"/>
    </row>
    <row r="5741" spans="6:6" x14ac:dyDescent="0.25">
      <c r="F5741"/>
    </row>
    <row r="5742" spans="6:6" x14ac:dyDescent="0.25">
      <c r="F5742"/>
    </row>
    <row r="5743" spans="6:6" x14ac:dyDescent="0.25">
      <c r="F5743"/>
    </row>
    <row r="5744" spans="6:6" x14ac:dyDescent="0.25">
      <c r="F5744"/>
    </row>
    <row r="5745" spans="6:6" x14ac:dyDescent="0.25">
      <c r="F5745"/>
    </row>
    <row r="5746" spans="6:6" x14ac:dyDescent="0.25">
      <c r="F5746"/>
    </row>
    <row r="5747" spans="6:6" x14ac:dyDescent="0.25">
      <c r="F5747"/>
    </row>
    <row r="5748" spans="6:6" x14ac:dyDescent="0.25">
      <c r="F5748"/>
    </row>
    <row r="5749" spans="6:6" x14ac:dyDescent="0.25">
      <c r="F5749"/>
    </row>
    <row r="5750" spans="6:6" x14ac:dyDescent="0.25">
      <c r="F5750"/>
    </row>
    <row r="5751" spans="6:6" x14ac:dyDescent="0.25">
      <c r="F5751"/>
    </row>
    <row r="5752" spans="6:6" x14ac:dyDescent="0.25">
      <c r="F5752"/>
    </row>
    <row r="5753" spans="6:6" x14ac:dyDescent="0.25">
      <c r="F5753"/>
    </row>
    <row r="5754" spans="6:6" x14ac:dyDescent="0.25">
      <c r="F5754"/>
    </row>
    <row r="5755" spans="6:6" x14ac:dyDescent="0.25">
      <c r="F5755"/>
    </row>
    <row r="5756" spans="6:6" x14ac:dyDescent="0.25">
      <c r="F5756"/>
    </row>
    <row r="5757" spans="6:6" x14ac:dyDescent="0.25">
      <c r="F5757"/>
    </row>
    <row r="5758" spans="6:6" x14ac:dyDescent="0.25">
      <c r="F5758"/>
    </row>
    <row r="5759" spans="6:6" x14ac:dyDescent="0.25">
      <c r="F5759"/>
    </row>
    <row r="5760" spans="6:6" x14ac:dyDescent="0.25">
      <c r="F5760"/>
    </row>
    <row r="5761" spans="6:6" x14ac:dyDescent="0.25">
      <c r="F5761"/>
    </row>
    <row r="5762" spans="6:6" x14ac:dyDescent="0.25">
      <c r="F5762"/>
    </row>
    <row r="5763" spans="6:6" x14ac:dyDescent="0.25">
      <c r="F5763"/>
    </row>
    <row r="5764" spans="6:6" x14ac:dyDescent="0.25">
      <c r="F5764"/>
    </row>
    <row r="5765" spans="6:6" x14ac:dyDescent="0.25">
      <c r="F5765"/>
    </row>
    <row r="5766" spans="6:6" x14ac:dyDescent="0.25">
      <c r="F5766"/>
    </row>
    <row r="5767" spans="6:6" x14ac:dyDescent="0.25">
      <c r="F5767"/>
    </row>
    <row r="5768" spans="6:6" x14ac:dyDescent="0.25">
      <c r="F5768"/>
    </row>
    <row r="5769" spans="6:6" x14ac:dyDescent="0.25">
      <c r="F5769"/>
    </row>
    <row r="5770" spans="6:6" x14ac:dyDescent="0.25">
      <c r="F5770"/>
    </row>
    <row r="5771" spans="6:6" x14ac:dyDescent="0.25">
      <c r="F5771"/>
    </row>
    <row r="5772" spans="6:6" x14ac:dyDescent="0.25">
      <c r="F5772"/>
    </row>
    <row r="5773" spans="6:6" x14ac:dyDescent="0.25">
      <c r="F5773"/>
    </row>
    <row r="5774" spans="6:6" x14ac:dyDescent="0.25">
      <c r="F5774"/>
    </row>
    <row r="5775" spans="6:6" x14ac:dyDescent="0.25">
      <c r="F5775"/>
    </row>
    <row r="5776" spans="6:6" x14ac:dyDescent="0.25">
      <c r="F5776"/>
    </row>
    <row r="5777" spans="6:6" x14ac:dyDescent="0.25">
      <c r="F5777"/>
    </row>
    <row r="5778" spans="6:6" x14ac:dyDescent="0.25">
      <c r="F5778"/>
    </row>
    <row r="5779" spans="6:6" x14ac:dyDescent="0.25">
      <c r="F5779"/>
    </row>
    <row r="5780" spans="6:6" x14ac:dyDescent="0.25">
      <c r="F5780"/>
    </row>
    <row r="5781" spans="6:6" x14ac:dyDescent="0.25">
      <c r="F5781"/>
    </row>
    <row r="5782" spans="6:6" x14ac:dyDescent="0.25">
      <c r="F5782"/>
    </row>
    <row r="5783" spans="6:6" x14ac:dyDescent="0.25">
      <c r="F5783"/>
    </row>
    <row r="5784" spans="6:6" x14ac:dyDescent="0.25">
      <c r="F5784"/>
    </row>
    <row r="5785" spans="6:6" x14ac:dyDescent="0.25">
      <c r="F5785"/>
    </row>
    <row r="5786" spans="6:6" x14ac:dyDescent="0.25">
      <c r="F5786"/>
    </row>
    <row r="5787" spans="6:6" x14ac:dyDescent="0.25">
      <c r="F5787"/>
    </row>
    <row r="5788" spans="6:6" x14ac:dyDescent="0.25">
      <c r="F5788"/>
    </row>
    <row r="5789" spans="6:6" x14ac:dyDescent="0.25">
      <c r="F5789"/>
    </row>
    <row r="5790" spans="6:6" x14ac:dyDescent="0.25">
      <c r="F5790"/>
    </row>
    <row r="5791" spans="6:6" x14ac:dyDescent="0.25">
      <c r="F5791"/>
    </row>
    <row r="5792" spans="6:6" x14ac:dyDescent="0.25">
      <c r="F5792"/>
    </row>
    <row r="5793" spans="6:6" x14ac:dyDescent="0.25">
      <c r="F5793"/>
    </row>
    <row r="5794" spans="6:6" x14ac:dyDescent="0.25">
      <c r="F5794"/>
    </row>
    <row r="5795" spans="6:6" x14ac:dyDescent="0.25">
      <c r="F5795"/>
    </row>
    <row r="5796" spans="6:6" x14ac:dyDescent="0.25">
      <c r="F5796"/>
    </row>
    <row r="5797" spans="6:6" x14ac:dyDescent="0.25">
      <c r="F5797"/>
    </row>
    <row r="5798" spans="6:6" x14ac:dyDescent="0.25">
      <c r="F5798"/>
    </row>
    <row r="5799" spans="6:6" x14ac:dyDescent="0.25">
      <c r="F5799"/>
    </row>
    <row r="5800" spans="6:6" x14ac:dyDescent="0.25">
      <c r="F5800"/>
    </row>
    <row r="5801" spans="6:6" x14ac:dyDescent="0.25">
      <c r="F5801"/>
    </row>
    <row r="5802" spans="6:6" x14ac:dyDescent="0.25">
      <c r="F5802"/>
    </row>
    <row r="5803" spans="6:6" x14ac:dyDescent="0.25">
      <c r="F5803"/>
    </row>
    <row r="5804" spans="6:6" x14ac:dyDescent="0.25">
      <c r="F5804"/>
    </row>
    <row r="5805" spans="6:6" x14ac:dyDescent="0.25">
      <c r="F5805"/>
    </row>
    <row r="5806" spans="6:6" x14ac:dyDescent="0.25">
      <c r="F5806"/>
    </row>
    <row r="5807" spans="6:6" x14ac:dyDescent="0.25">
      <c r="F5807"/>
    </row>
    <row r="5808" spans="6:6" x14ac:dyDescent="0.25">
      <c r="F5808"/>
    </row>
    <row r="5809" spans="6:6" x14ac:dyDescent="0.25">
      <c r="F5809"/>
    </row>
    <row r="5810" spans="6:6" x14ac:dyDescent="0.25">
      <c r="F5810"/>
    </row>
    <row r="5811" spans="6:6" x14ac:dyDescent="0.25">
      <c r="F5811"/>
    </row>
    <row r="5812" spans="6:6" x14ac:dyDescent="0.25">
      <c r="F5812"/>
    </row>
    <row r="5813" spans="6:6" x14ac:dyDescent="0.25">
      <c r="F5813"/>
    </row>
    <row r="5814" spans="6:6" x14ac:dyDescent="0.25">
      <c r="F5814"/>
    </row>
    <row r="5815" spans="6:6" x14ac:dyDescent="0.25">
      <c r="F5815"/>
    </row>
    <row r="5816" spans="6:6" x14ac:dyDescent="0.25">
      <c r="F5816"/>
    </row>
    <row r="5817" spans="6:6" x14ac:dyDescent="0.25">
      <c r="F5817"/>
    </row>
    <row r="5818" spans="6:6" x14ac:dyDescent="0.25">
      <c r="F5818"/>
    </row>
    <row r="5819" spans="6:6" x14ac:dyDescent="0.25">
      <c r="F5819"/>
    </row>
    <row r="5820" spans="6:6" x14ac:dyDescent="0.25">
      <c r="F5820"/>
    </row>
    <row r="5821" spans="6:6" x14ac:dyDescent="0.25">
      <c r="F5821"/>
    </row>
    <row r="5822" spans="6:6" x14ac:dyDescent="0.25">
      <c r="F5822"/>
    </row>
    <row r="5823" spans="6:6" x14ac:dyDescent="0.25">
      <c r="F5823"/>
    </row>
    <row r="5824" spans="6:6" x14ac:dyDescent="0.25">
      <c r="F5824"/>
    </row>
    <row r="5825" spans="6:6" x14ac:dyDescent="0.25">
      <c r="F5825"/>
    </row>
    <row r="5826" spans="6:6" x14ac:dyDescent="0.25">
      <c r="F5826"/>
    </row>
    <row r="5827" spans="6:6" x14ac:dyDescent="0.25">
      <c r="F5827"/>
    </row>
    <row r="5828" spans="6:6" x14ac:dyDescent="0.25">
      <c r="F5828"/>
    </row>
    <row r="5829" spans="6:6" x14ac:dyDescent="0.25">
      <c r="F5829"/>
    </row>
    <row r="5830" spans="6:6" x14ac:dyDescent="0.25">
      <c r="F5830"/>
    </row>
    <row r="5831" spans="6:6" x14ac:dyDescent="0.25">
      <c r="F5831"/>
    </row>
    <row r="5832" spans="6:6" x14ac:dyDescent="0.25">
      <c r="F5832"/>
    </row>
    <row r="5833" spans="6:6" x14ac:dyDescent="0.25">
      <c r="F5833"/>
    </row>
    <row r="5834" spans="6:6" x14ac:dyDescent="0.25">
      <c r="F5834"/>
    </row>
    <row r="5835" spans="6:6" x14ac:dyDescent="0.25">
      <c r="F5835"/>
    </row>
    <row r="5836" spans="6:6" x14ac:dyDescent="0.25">
      <c r="F5836"/>
    </row>
    <row r="5837" spans="6:6" x14ac:dyDescent="0.25">
      <c r="F5837"/>
    </row>
    <row r="5838" spans="6:6" x14ac:dyDescent="0.25">
      <c r="F5838"/>
    </row>
    <row r="5839" spans="6:6" x14ac:dyDescent="0.25">
      <c r="F5839"/>
    </row>
    <row r="5840" spans="6:6" x14ac:dyDescent="0.25">
      <c r="F5840"/>
    </row>
    <row r="5841" spans="6:6" x14ac:dyDescent="0.25">
      <c r="F5841"/>
    </row>
    <row r="5842" spans="6:6" x14ac:dyDescent="0.25">
      <c r="F5842"/>
    </row>
    <row r="5843" spans="6:6" x14ac:dyDescent="0.25">
      <c r="F5843"/>
    </row>
    <row r="5844" spans="6:6" x14ac:dyDescent="0.25">
      <c r="F5844"/>
    </row>
    <row r="5845" spans="6:6" x14ac:dyDescent="0.25">
      <c r="F5845"/>
    </row>
    <row r="5846" spans="6:6" x14ac:dyDescent="0.25">
      <c r="F5846"/>
    </row>
    <row r="5847" spans="6:6" x14ac:dyDescent="0.25">
      <c r="F5847"/>
    </row>
    <row r="5848" spans="6:6" x14ac:dyDescent="0.25">
      <c r="F5848"/>
    </row>
    <row r="5849" spans="6:6" x14ac:dyDescent="0.25">
      <c r="F5849"/>
    </row>
    <row r="5850" spans="6:6" x14ac:dyDescent="0.25">
      <c r="F5850"/>
    </row>
    <row r="5851" spans="6:6" x14ac:dyDescent="0.25">
      <c r="F5851"/>
    </row>
    <row r="5852" spans="6:6" x14ac:dyDescent="0.25">
      <c r="F5852"/>
    </row>
    <row r="5853" spans="6:6" x14ac:dyDescent="0.25">
      <c r="F5853"/>
    </row>
    <row r="5854" spans="6:6" x14ac:dyDescent="0.25">
      <c r="F5854"/>
    </row>
    <row r="5855" spans="6:6" x14ac:dyDescent="0.25">
      <c r="F5855"/>
    </row>
    <row r="5856" spans="6:6" x14ac:dyDescent="0.25">
      <c r="F5856"/>
    </row>
    <row r="5857" spans="6:6" x14ac:dyDescent="0.25">
      <c r="F5857"/>
    </row>
    <row r="5858" spans="6:6" x14ac:dyDescent="0.25">
      <c r="F5858"/>
    </row>
    <row r="5859" spans="6:6" x14ac:dyDescent="0.25">
      <c r="F5859"/>
    </row>
    <row r="5860" spans="6:6" x14ac:dyDescent="0.25">
      <c r="F5860"/>
    </row>
    <row r="5861" spans="6:6" x14ac:dyDescent="0.25">
      <c r="F5861"/>
    </row>
    <row r="5862" spans="6:6" x14ac:dyDescent="0.25">
      <c r="F5862"/>
    </row>
    <row r="5863" spans="6:6" x14ac:dyDescent="0.25">
      <c r="F5863"/>
    </row>
    <row r="5864" spans="6:6" x14ac:dyDescent="0.25">
      <c r="F5864"/>
    </row>
    <row r="5865" spans="6:6" x14ac:dyDescent="0.25">
      <c r="F5865"/>
    </row>
    <row r="5866" spans="6:6" x14ac:dyDescent="0.25">
      <c r="F5866"/>
    </row>
    <row r="5867" spans="6:6" x14ac:dyDescent="0.25">
      <c r="F5867"/>
    </row>
    <row r="5868" spans="6:6" x14ac:dyDescent="0.25">
      <c r="F5868"/>
    </row>
    <row r="5869" spans="6:6" x14ac:dyDescent="0.25">
      <c r="F5869"/>
    </row>
    <row r="5870" spans="6:6" x14ac:dyDescent="0.25">
      <c r="F5870"/>
    </row>
    <row r="5871" spans="6:6" x14ac:dyDescent="0.25">
      <c r="F5871"/>
    </row>
    <row r="5872" spans="6:6" x14ac:dyDescent="0.25">
      <c r="F5872"/>
    </row>
    <row r="5873" spans="6:6" x14ac:dyDescent="0.25">
      <c r="F5873"/>
    </row>
    <row r="5874" spans="6:6" x14ac:dyDescent="0.25">
      <c r="F5874"/>
    </row>
    <row r="5875" spans="6:6" x14ac:dyDescent="0.25">
      <c r="F5875"/>
    </row>
    <row r="5876" spans="6:6" x14ac:dyDescent="0.25">
      <c r="F5876"/>
    </row>
    <row r="5877" spans="6:6" x14ac:dyDescent="0.25">
      <c r="F5877"/>
    </row>
    <row r="5878" spans="6:6" x14ac:dyDescent="0.25">
      <c r="F5878"/>
    </row>
    <row r="5879" spans="6:6" x14ac:dyDescent="0.25">
      <c r="F5879"/>
    </row>
    <row r="5880" spans="6:6" x14ac:dyDescent="0.25">
      <c r="F5880"/>
    </row>
    <row r="5881" spans="6:6" x14ac:dyDescent="0.25">
      <c r="F5881"/>
    </row>
    <row r="5882" spans="6:6" x14ac:dyDescent="0.25">
      <c r="F5882"/>
    </row>
    <row r="5883" spans="6:6" x14ac:dyDescent="0.25">
      <c r="F5883"/>
    </row>
    <row r="5884" spans="6:6" x14ac:dyDescent="0.25">
      <c r="F5884"/>
    </row>
    <row r="5885" spans="6:6" x14ac:dyDescent="0.25">
      <c r="F5885"/>
    </row>
    <row r="5886" spans="6:6" x14ac:dyDescent="0.25">
      <c r="F5886"/>
    </row>
    <row r="5887" spans="6:6" x14ac:dyDescent="0.25">
      <c r="F5887"/>
    </row>
    <row r="5888" spans="6:6" x14ac:dyDescent="0.25">
      <c r="F5888"/>
    </row>
    <row r="5889" spans="6:6" x14ac:dyDescent="0.25">
      <c r="F5889"/>
    </row>
    <row r="5890" spans="6:6" x14ac:dyDescent="0.25">
      <c r="F5890"/>
    </row>
    <row r="5891" spans="6:6" x14ac:dyDescent="0.25">
      <c r="F5891"/>
    </row>
    <row r="5892" spans="6:6" x14ac:dyDescent="0.25">
      <c r="F5892"/>
    </row>
    <row r="5893" spans="6:6" x14ac:dyDescent="0.25">
      <c r="F5893"/>
    </row>
    <row r="5894" spans="6:6" x14ac:dyDescent="0.25">
      <c r="F5894"/>
    </row>
    <row r="5895" spans="6:6" x14ac:dyDescent="0.25">
      <c r="F5895"/>
    </row>
    <row r="5896" spans="6:6" x14ac:dyDescent="0.25">
      <c r="F5896"/>
    </row>
    <row r="5897" spans="6:6" x14ac:dyDescent="0.25">
      <c r="F5897"/>
    </row>
    <row r="5898" spans="6:6" x14ac:dyDescent="0.25">
      <c r="F5898"/>
    </row>
    <row r="5899" spans="6:6" x14ac:dyDescent="0.25">
      <c r="F5899"/>
    </row>
    <row r="5900" spans="6:6" x14ac:dyDescent="0.25">
      <c r="F5900"/>
    </row>
    <row r="5901" spans="6:6" x14ac:dyDescent="0.25">
      <c r="F5901"/>
    </row>
    <row r="5902" spans="6:6" x14ac:dyDescent="0.25">
      <c r="F5902"/>
    </row>
    <row r="5903" spans="6:6" x14ac:dyDescent="0.25">
      <c r="F5903"/>
    </row>
    <row r="5904" spans="6:6" x14ac:dyDescent="0.25">
      <c r="F5904"/>
    </row>
    <row r="5905" spans="6:6" x14ac:dyDescent="0.25">
      <c r="F5905"/>
    </row>
    <row r="5906" spans="6:6" x14ac:dyDescent="0.25">
      <c r="F5906"/>
    </row>
    <row r="5907" spans="6:6" x14ac:dyDescent="0.25">
      <c r="F5907"/>
    </row>
    <row r="5908" spans="6:6" x14ac:dyDescent="0.25">
      <c r="F5908"/>
    </row>
    <row r="5909" spans="6:6" x14ac:dyDescent="0.25">
      <c r="F5909"/>
    </row>
    <row r="5910" spans="6:6" x14ac:dyDescent="0.25">
      <c r="F5910"/>
    </row>
    <row r="5911" spans="6:6" x14ac:dyDescent="0.25">
      <c r="F5911"/>
    </row>
    <row r="5912" spans="6:6" x14ac:dyDescent="0.25">
      <c r="F5912"/>
    </row>
    <row r="5913" spans="6:6" x14ac:dyDescent="0.25">
      <c r="F5913"/>
    </row>
    <row r="5914" spans="6:6" x14ac:dyDescent="0.25">
      <c r="F5914"/>
    </row>
    <row r="5915" spans="6:6" x14ac:dyDescent="0.25">
      <c r="F5915"/>
    </row>
    <row r="5916" spans="6:6" x14ac:dyDescent="0.25">
      <c r="F5916"/>
    </row>
    <row r="5917" spans="6:6" x14ac:dyDescent="0.25">
      <c r="F5917"/>
    </row>
    <row r="5918" spans="6:6" x14ac:dyDescent="0.25">
      <c r="F5918"/>
    </row>
    <row r="5919" spans="6:6" x14ac:dyDescent="0.25">
      <c r="F5919"/>
    </row>
    <row r="5920" spans="6:6" x14ac:dyDescent="0.25">
      <c r="F5920"/>
    </row>
    <row r="5921" spans="6:6" x14ac:dyDescent="0.25">
      <c r="F5921"/>
    </row>
    <row r="5922" spans="6:6" x14ac:dyDescent="0.25">
      <c r="F5922"/>
    </row>
    <row r="5923" spans="6:6" x14ac:dyDescent="0.25">
      <c r="F5923"/>
    </row>
    <row r="5924" spans="6:6" x14ac:dyDescent="0.25">
      <c r="F5924"/>
    </row>
    <row r="5925" spans="6:6" x14ac:dyDescent="0.25">
      <c r="F5925"/>
    </row>
    <row r="5926" spans="6:6" x14ac:dyDescent="0.25">
      <c r="F5926"/>
    </row>
    <row r="5927" spans="6:6" x14ac:dyDescent="0.25">
      <c r="F5927"/>
    </row>
    <row r="5928" spans="6:6" x14ac:dyDescent="0.25">
      <c r="F5928"/>
    </row>
    <row r="5929" spans="6:6" x14ac:dyDescent="0.25">
      <c r="F5929"/>
    </row>
    <row r="5930" spans="6:6" x14ac:dyDescent="0.25">
      <c r="F5930"/>
    </row>
    <row r="5931" spans="6:6" x14ac:dyDescent="0.25">
      <c r="F5931"/>
    </row>
    <row r="5932" spans="6:6" x14ac:dyDescent="0.25">
      <c r="F5932"/>
    </row>
    <row r="5933" spans="6:6" x14ac:dyDescent="0.25">
      <c r="F5933"/>
    </row>
    <row r="5934" spans="6:6" x14ac:dyDescent="0.25">
      <c r="F5934"/>
    </row>
    <row r="5935" spans="6:6" x14ac:dyDescent="0.25">
      <c r="F5935"/>
    </row>
    <row r="5936" spans="6:6" x14ac:dyDescent="0.25">
      <c r="F5936"/>
    </row>
    <row r="5937" spans="6:6" x14ac:dyDescent="0.25">
      <c r="F5937"/>
    </row>
    <row r="5938" spans="6:6" x14ac:dyDescent="0.25">
      <c r="F5938"/>
    </row>
    <row r="5939" spans="6:6" x14ac:dyDescent="0.25">
      <c r="F5939"/>
    </row>
    <row r="5940" spans="6:6" x14ac:dyDescent="0.25">
      <c r="F5940"/>
    </row>
    <row r="5941" spans="6:6" x14ac:dyDescent="0.25">
      <c r="F5941"/>
    </row>
    <row r="5942" spans="6:6" x14ac:dyDescent="0.25">
      <c r="F5942"/>
    </row>
    <row r="5943" spans="6:6" x14ac:dyDescent="0.25">
      <c r="F5943"/>
    </row>
    <row r="5944" spans="6:6" x14ac:dyDescent="0.25">
      <c r="F5944"/>
    </row>
    <row r="5945" spans="6:6" x14ac:dyDescent="0.25">
      <c r="F5945"/>
    </row>
    <row r="5946" spans="6:6" x14ac:dyDescent="0.25">
      <c r="F5946"/>
    </row>
    <row r="5947" spans="6:6" x14ac:dyDescent="0.25">
      <c r="F5947"/>
    </row>
    <row r="5948" spans="6:6" x14ac:dyDescent="0.25">
      <c r="F5948"/>
    </row>
    <row r="5949" spans="6:6" x14ac:dyDescent="0.25">
      <c r="F5949"/>
    </row>
    <row r="5950" spans="6:6" x14ac:dyDescent="0.25">
      <c r="F5950"/>
    </row>
    <row r="5951" spans="6:6" x14ac:dyDescent="0.25">
      <c r="F5951"/>
    </row>
    <row r="5952" spans="6:6" x14ac:dyDescent="0.25">
      <c r="F5952"/>
    </row>
    <row r="5953" spans="6:6" x14ac:dyDescent="0.25">
      <c r="F5953"/>
    </row>
    <row r="5954" spans="6:6" x14ac:dyDescent="0.25">
      <c r="F5954"/>
    </row>
    <row r="5955" spans="6:6" x14ac:dyDescent="0.25">
      <c r="F5955"/>
    </row>
    <row r="5956" spans="6:6" x14ac:dyDescent="0.25">
      <c r="F5956"/>
    </row>
    <row r="5957" spans="6:6" x14ac:dyDescent="0.25">
      <c r="F5957"/>
    </row>
    <row r="5958" spans="6:6" x14ac:dyDescent="0.25">
      <c r="F5958"/>
    </row>
    <row r="5959" spans="6:6" x14ac:dyDescent="0.25">
      <c r="F5959"/>
    </row>
    <row r="5960" spans="6:6" x14ac:dyDescent="0.25">
      <c r="F5960"/>
    </row>
    <row r="5961" spans="6:6" x14ac:dyDescent="0.25">
      <c r="F5961"/>
    </row>
    <row r="5962" spans="6:6" x14ac:dyDescent="0.25">
      <c r="F5962"/>
    </row>
    <row r="5963" spans="6:6" x14ac:dyDescent="0.25">
      <c r="F5963"/>
    </row>
    <row r="5964" spans="6:6" x14ac:dyDescent="0.25">
      <c r="F5964"/>
    </row>
    <row r="5965" spans="6:6" x14ac:dyDescent="0.25">
      <c r="F5965"/>
    </row>
    <row r="5966" spans="6:6" x14ac:dyDescent="0.25">
      <c r="F5966"/>
    </row>
    <row r="5967" spans="6:6" x14ac:dyDescent="0.25">
      <c r="F5967"/>
    </row>
    <row r="5968" spans="6:6" x14ac:dyDescent="0.25">
      <c r="F5968"/>
    </row>
    <row r="5969" spans="6:6" x14ac:dyDescent="0.25">
      <c r="F5969"/>
    </row>
    <row r="5970" spans="6:6" x14ac:dyDescent="0.25">
      <c r="F5970"/>
    </row>
    <row r="5971" spans="6:6" x14ac:dyDescent="0.25">
      <c r="F5971"/>
    </row>
    <row r="5972" spans="6:6" x14ac:dyDescent="0.25">
      <c r="F5972"/>
    </row>
    <row r="5973" spans="6:6" x14ac:dyDescent="0.25">
      <c r="F5973"/>
    </row>
    <row r="5974" spans="6:6" x14ac:dyDescent="0.25">
      <c r="F5974"/>
    </row>
    <row r="5975" spans="6:6" x14ac:dyDescent="0.25">
      <c r="F5975"/>
    </row>
    <row r="5976" spans="6:6" x14ac:dyDescent="0.25">
      <c r="F5976"/>
    </row>
    <row r="5977" spans="6:6" x14ac:dyDescent="0.25">
      <c r="F5977"/>
    </row>
    <row r="5978" spans="6:6" x14ac:dyDescent="0.25">
      <c r="F5978"/>
    </row>
    <row r="5979" spans="6:6" x14ac:dyDescent="0.25">
      <c r="F5979"/>
    </row>
    <row r="5980" spans="6:6" x14ac:dyDescent="0.25">
      <c r="F5980"/>
    </row>
    <row r="5981" spans="6:6" x14ac:dyDescent="0.25">
      <c r="F5981"/>
    </row>
    <row r="5982" spans="6:6" x14ac:dyDescent="0.25">
      <c r="F5982"/>
    </row>
    <row r="5983" spans="6:6" x14ac:dyDescent="0.25">
      <c r="F5983"/>
    </row>
    <row r="5984" spans="6:6" x14ac:dyDescent="0.25">
      <c r="F5984"/>
    </row>
    <row r="5985" spans="6:6" x14ac:dyDescent="0.25">
      <c r="F5985"/>
    </row>
    <row r="5986" spans="6:6" x14ac:dyDescent="0.25">
      <c r="F5986"/>
    </row>
    <row r="5987" spans="6:6" x14ac:dyDescent="0.25">
      <c r="F5987"/>
    </row>
    <row r="5988" spans="6:6" x14ac:dyDescent="0.25">
      <c r="F5988"/>
    </row>
    <row r="5989" spans="6:6" x14ac:dyDescent="0.25">
      <c r="F5989"/>
    </row>
    <row r="5990" spans="6:6" x14ac:dyDescent="0.25">
      <c r="F5990"/>
    </row>
    <row r="5991" spans="6:6" x14ac:dyDescent="0.25">
      <c r="F5991"/>
    </row>
    <row r="5992" spans="6:6" x14ac:dyDescent="0.25">
      <c r="F5992"/>
    </row>
    <row r="5993" spans="6:6" x14ac:dyDescent="0.25">
      <c r="F5993"/>
    </row>
    <row r="5994" spans="6:6" x14ac:dyDescent="0.25">
      <c r="F5994"/>
    </row>
    <row r="5995" spans="6:6" x14ac:dyDescent="0.25">
      <c r="F5995"/>
    </row>
    <row r="5996" spans="6:6" x14ac:dyDescent="0.25">
      <c r="F5996"/>
    </row>
    <row r="5997" spans="6:6" x14ac:dyDescent="0.25">
      <c r="F5997"/>
    </row>
    <row r="5998" spans="6:6" x14ac:dyDescent="0.25">
      <c r="F5998"/>
    </row>
    <row r="5999" spans="6:6" x14ac:dyDescent="0.25">
      <c r="F5999"/>
    </row>
    <row r="6000" spans="6:6" x14ac:dyDescent="0.25">
      <c r="F6000"/>
    </row>
    <row r="6001" spans="6:6" x14ac:dyDescent="0.25">
      <c r="F6001"/>
    </row>
    <row r="6002" spans="6:6" x14ac:dyDescent="0.25">
      <c r="F6002"/>
    </row>
    <row r="6003" spans="6:6" x14ac:dyDescent="0.25">
      <c r="F6003"/>
    </row>
    <row r="6004" spans="6:6" x14ac:dyDescent="0.25">
      <c r="F6004"/>
    </row>
    <row r="6005" spans="6:6" x14ac:dyDescent="0.25">
      <c r="F6005"/>
    </row>
    <row r="6006" spans="6:6" x14ac:dyDescent="0.25">
      <c r="F6006"/>
    </row>
    <row r="6007" spans="6:6" x14ac:dyDescent="0.25">
      <c r="F6007"/>
    </row>
    <row r="6008" spans="6:6" x14ac:dyDescent="0.25">
      <c r="F6008"/>
    </row>
    <row r="6009" spans="6:6" x14ac:dyDescent="0.25">
      <c r="F6009"/>
    </row>
    <row r="6010" spans="6:6" x14ac:dyDescent="0.25">
      <c r="F6010"/>
    </row>
    <row r="6011" spans="6:6" x14ac:dyDescent="0.25">
      <c r="F6011"/>
    </row>
    <row r="6012" spans="6:6" x14ac:dyDescent="0.25">
      <c r="F6012"/>
    </row>
    <row r="6013" spans="6:6" x14ac:dyDescent="0.25">
      <c r="F6013"/>
    </row>
    <row r="6014" spans="6:6" x14ac:dyDescent="0.25">
      <c r="F6014"/>
    </row>
    <row r="6015" spans="6:6" x14ac:dyDescent="0.25">
      <c r="F6015"/>
    </row>
    <row r="6016" spans="6:6" x14ac:dyDescent="0.25">
      <c r="F6016"/>
    </row>
    <row r="6017" spans="6:6" x14ac:dyDescent="0.25">
      <c r="F6017"/>
    </row>
    <row r="6018" spans="6:6" x14ac:dyDescent="0.25">
      <c r="F6018"/>
    </row>
    <row r="6019" spans="6:6" x14ac:dyDescent="0.25">
      <c r="F6019"/>
    </row>
    <row r="6020" spans="6:6" x14ac:dyDescent="0.25">
      <c r="F6020"/>
    </row>
    <row r="6021" spans="6:6" x14ac:dyDescent="0.25">
      <c r="F6021"/>
    </row>
    <row r="6022" spans="6:6" x14ac:dyDescent="0.25">
      <c r="F6022"/>
    </row>
    <row r="6023" spans="6:6" x14ac:dyDescent="0.25">
      <c r="F6023"/>
    </row>
    <row r="6024" spans="6:6" x14ac:dyDescent="0.25">
      <c r="F6024"/>
    </row>
    <row r="6025" spans="6:6" x14ac:dyDescent="0.25">
      <c r="F6025"/>
    </row>
    <row r="6026" spans="6:6" x14ac:dyDescent="0.25">
      <c r="F6026"/>
    </row>
    <row r="6027" spans="6:6" x14ac:dyDescent="0.25">
      <c r="F6027"/>
    </row>
    <row r="6028" spans="6:6" x14ac:dyDescent="0.25">
      <c r="F6028"/>
    </row>
    <row r="6029" spans="6:6" x14ac:dyDescent="0.25">
      <c r="F6029"/>
    </row>
    <row r="6030" spans="6:6" x14ac:dyDescent="0.25">
      <c r="F6030"/>
    </row>
    <row r="6031" spans="6:6" x14ac:dyDescent="0.25">
      <c r="F6031"/>
    </row>
    <row r="6032" spans="6:6" x14ac:dyDescent="0.25">
      <c r="F6032"/>
    </row>
    <row r="6033" spans="6:6" x14ac:dyDescent="0.25">
      <c r="F6033"/>
    </row>
    <row r="6034" spans="6:6" x14ac:dyDescent="0.25">
      <c r="F6034"/>
    </row>
    <row r="6035" spans="6:6" x14ac:dyDescent="0.25">
      <c r="F6035"/>
    </row>
    <row r="6036" spans="6:6" x14ac:dyDescent="0.25">
      <c r="F6036"/>
    </row>
    <row r="6037" spans="6:6" x14ac:dyDescent="0.25">
      <c r="F6037"/>
    </row>
    <row r="6038" spans="6:6" x14ac:dyDescent="0.25">
      <c r="F6038"/>
    </row>
    <row r="6039" spans="6:6" x14ac:dyDescent="0.25">
      <c r="F6039"/>
    </row>
    <row r="6040" spans="6:6" x14ac:dyDescent="0.25">
      <c r="F6040"/>
    </row>
    <row r="6041" spans="6:6" x14ac:dyDescent="0.25">
      <c r="F6041"/>
    </row>
    <row r="6042" spans="6:6" x14ac:dyDescent="0.25">
      <c r="F6042"/>
    </row>
    <row r="6043" spans="6:6" x14ac:dyDescent="0.25">
      <c r="F6043"/>
    </row>
    <row r="6044" spans="6:6" x14ac:dyDescent="0.25">
      <c r="F6044"/>
    </row>
    <row r="6045" spans="6:6" x14ac:dyDescent="0.25">
      <c r="F6045"/>
    </row>
    <row r="6046" spans="6:6" x14ac:dyDescent="0.25">
      <c r="F6046"/>
    </row>
    <row r="6047" spans="6:6" x14ac:dyDescent="0.25">
      <c r="F6047"/>
    </row>
    <row r="6048" spans="6:6" x14ac:dyDescent="0.25">
      <c r="F6048"/>
    </row>
    <row r="6049" spans="6:6" x14ac:dyDescent="0.25">
      <c r="F6049"/>
    </row>
    <row r="6050" spans="6:6" x14ac:dyDescent="0.25">
      <c r="F6050"/>
    </row>
    <row r="6051" spans="6:6" x14ac:dyDescent="0.25">
      <c r="F6051"/>
    </row>
    <row r="6052" spans="6:6" x14ac:dyDescent="0.25">
      <c r="F6052"/>
    </row>
    <row r="6053" spans="6:6" x14ac:dyDescent="0.25">
      <c r="F6053"/>
    </row>
    <row r="6054" spans="6:6" x14ac:dyDescent="0.25">
      <c r="F6054"/>
    </row>
    <row r="6055" spans="6:6" x14ac:dyDescent="0.25">
      <c r="F6055"/>
    </row>
    <row r="6056" spans="6:6" x14ac:dyDescent="0.25">
      <c r="F6056"/>
    </row>
    <row r="6057" spans="6:6" x14ac:dyDescent="0.25">
      <c r="F6057"/>
    </row>
    <row r="6058" spans="6:6" x14ac:dyDescent="0.25">
      <c r="F6058"/>
    </row>
    <row r="6059" spans="6:6" x14ac:dyDescent="0.25">
      <c r="F6059"/>
    </row>
    <row r="6060" spans="6:6" x14ac:dyDescent="0.25">
      <c r="F6060"/>
    </row>
    <row r="6061" spans="6:6" x14ac:dyDescent="0.25">
      <c r="F6061"/>
    </row>
    <row r="6062" spans="6:6" x14ac:dyDescent="0.25">
      <c r="F6062"/>
    </row>
    <row r="6063" spans="6:6" x14ac:dyDescent="0.25">
      <c r="F6063"/>
    </row>
    <row r="6064" spans="6:6" x14ac:dyDescent="0.25">
      <c r="F6064"/>
    </row>
    <row r="6065" spans="6:6" x14ac:dyDescent="0.25">
      <c r="F6065"/>
    </row>
    <row r="6066" spans="6:6" x14ac:dyDescent="0.25">
      <c r="F6066"/>
    </row>
    <row r="6067" spans="6:6" x14ac:dyDescent="0.25">
      <c r="F6067"/>
    </row>
    <row r="6068" spans="6:6" x14ac:dyDescent="0.25">
      <c r="F6068"/>
    </row>
    <row r="6069" spans="6:6" x14ac:dyDescent="0.25">
      <c r="F6069"/>
    </row>
    <row r="6070" spans="6:6" x14ac:dyDescent="0.25">
      <c r="F6070"/>
    </row>
    <row r="6071" spans="6:6" x14ac:dyDescent="0.25">
      <c r="F6071"/>
    </row>
    <row r="6072" spans="6:6" x14ac:dyDescent="0.25">
      <c r="F6072"/>
    </row>
    <row r="6073" spans="6:6" x14ac:dyDescent="0.25">
      <c r="F6073"/>
    </row>
    <row r="6074" spans="6:6" x14ac:dyDescent="0.25">
      <c r="F6074"/>
    </row>
    <row r="6075" spans="6:6" x14ac:dyDescent="0.25">
      <c r="F6075"/>
    </row>
    <row r="6076" spans="6:6" x14ac:dyDescent="0.25">
      <c r="F6076"/>
    </row>
    <row r="6077" spans="6:6" x14ac:dyDescent="0.25">
      <c r="F6077"/>
    </row>
    <row r="6078" spans="6:6" x14ac:dyDescent="0.25">
      <c r="F6078"/>
    </row>
    <row r="6079" spans="6:6" x14ac:dyDescent="0.25">
      <c r="F6079"/>
    </row>
    <row r="6080" spans="6:6" x14ac:dyDescent="0.25">
      <c r="F6080"/>
    </row>
    <row r="6081" spans="6:6" x14ac:dyDescent="0.25">
      <c r="F6081"/>
    </row>
    <row r="6082" spans="6:6" x14ac:dyDescent="0.25">
      <c r="F6082"/>
    </row>
    <row r="6083" spans="6:6" x14ac:dyDescent="0.25">
      <c r="F6083"/>
    </row>
    <row r="6084" spans="6:6" x14ac:dyDescent="0.25">
      <c r="F6084"/>
    </row>
    <row r="6085" spans="6:6" x14ac:dyDescent="0.25">
      <c r="F6085"/>
    </row>
    <row r="6086" spans="6:6" x14ac:dyDescent="0.25">
      <c r="F6086"/>
    </row>
    <row r="6087" spans="6:6" x14ac:dyDescent="0.25">
      <c r="F6087"/>
    </row>
    <row r="6088" spans="6:6" x14ac:dyDescent="0.25">
      <c r="F6088"/>
    </row>
    <row r="6089" spans="6:6" x14ac:dyDescent="0.25">
      <c r="F6089"/>
    </row>
    <row r="6090" spans="6:6" x14ac:dyDescent="0.25">
      <c r="F6090"/>
    </row>
    <row r="6091" spans="6:6" x14ac:dyDescent="0.25">
      <c r="F6091"/>
    </row>
    <row r="6092" spans="6:6" x14ac:dyDescent="0.25">
      <c r="F6092"/>
    </row>
    <row r="6093" spans="6:6" x14ac:dyDescent="0.25">
      <c r="F6093"/>
    </row>
    <row r="6094" spans="6:6" x14ac:dyDescent="0.25">
      <c r="F6094"/>
    </row>
    <row r="6095" spans="6:6" x14ac:dyDescent="0.25">
      <c r="F6095"/>
    </row>
    <row r="6096" spans="6:6" x14ac:dyDescent="0.25">
      <c r="F6096"/>
    </row>
    <row r="6097" spans="6:6" x14ac:dyDescent="0.25">
      <c r="F6097"/>
    </row>
    <row r="6098" spans="6:6" x14ac:dyDescent="0.25">
      <c r="F6098"/>
    </row>
    <row r="6099" spans="6:6" x14ac:dyDescent="0.25">
      <c r="F6099"/>
    </row>
    <row r="6100" spans="6:6" x14ac:dyDescent="0.25">
      <c r="F6100"/>
    </row>
    <row r="6101" spans="6:6" x14ac:dyDescent="0.25">
      <c r="F6101"/>
    </row>
    <row r="6102" spans="6:6" x14ac:dyDescent="0.25">
      <c r="F6102"/>
    </row>
    <row r="6103" spans="6:6" x14ac:dyDescent="0.25">
      <c r="F6103"/>
    </row>
    <row r="6104" spans="6:6" x14ac:dyDescent="0.25">
      <c r="F6104"/>
    </row>
    <row r="6105" spans="6:6" x14ac:dyDescent="0.25">
      <c r="F6105"/>
    </row>
    <row r="6106" spans="6:6" x14ac:dyDescent="0.25">
      <c r="F6106"/>
    </row>
    <row r="6107" spans="6:6" x14ac:dyDescent="0.25">
      <c r="F6107"/>
    </row>
    <row r="6108" spans="6:6" x14ac:dyDescent="0.25">
      <c r="F6108"/>
    </row>
    <row r="6109" spans="6:6" x14ac:dyDescent="0.25">
      <c r="F6109"/>
    </row>
    <row r="6110" spans="6:6" x14ac:dyDescent="0.25">
      <c r="F6110"/>
    </row>
    <row r="6111" spans="6:6" x14ac:dyDescent="0.25">
      <c r="F6111"/>
    </row>
    <row r="6112" spans="6:6" x14ac:dyDescent="0.25">
      <c r="F6112"/>
    </row>
    <row r="6113" spans="6:6" x14ac:dyDescent="0.25">
      <c r="F6113"/>
    </row>
    <row r="6114" spans="6:6" x14ac:dyDescent="0.25">
      <c r="F6114"/>
    </row>
    <row r="6115" spans="6:6" x14ac:dyDescent="0.25">
      <c r="F6115"/>
    </row>
    <row r="6116" spans="6:6" x14ac:dyDescent="0.25">
      <c r="F6116"/>
    </row>
    <row r="6117" spans="6:6" x14ac:dyDescent="0.25">
      <c r="F6117"/>
    </row>
    <row r="6118" spans="6:6" x14ac:dyDescent="0.25">
      <c r="F6118"/>
    </row>
    <row r="6119" spans="6:6" x14ac:dyDescent="0.25">
      <c r="F6119"/>
    </row>
    <row r="6120" spans="6:6" x14ac:dyDescent="0.25">
      <c r="F6120"/>
    </row>
    <row r="6121" spans="6:6" x14ac:dyDescent="0.25">
      <c r="F6121"/>
    </row>
    <row r="6122" spans="6:6" x14ac:dyDescent="0.25">
      <c r="F6122"/>
    </row>
    <row r="6123" spans="6:6" x14ac:dyDescent="0.25">
      <c r="F6123"/>
    </row>
    <row r="6124" spans="6:6" x14ac:dyDescent="0.25">
      <c r="F6124"/>
    </row>
    <row r="6125" spans="6:6" x14ac:dyDescent="0.25">
      <c r="F6125"/>
    </row>
    <row r="6126" spans="6:6" x14ac:dyDescent="0.25">
      <c r="F6126"/>
    </row>
    <row r="6127" spans="6:6" x14ac:dyDescent="0.25">
      <c r="F6127"/>
    </row>
    <row r="6128" spans="6:6" x14ac:dyDescent="0.25">
      <c r="F6128"/>
    </row>
    <row r="6129" spans="6:6" x14ac:dyDescent="0.25">
      <c r="F6129"/>
    </row>
    <row r="6130" spans="6:6" x14ac:dyDescent="0.25">
      <c r="F6130"/>
    </row>
    <row r="6131" spans="6:6" x14ac:dyDescent="0.25">
      <c r="F6131"/>
    </row>
    <row r="6132" spans="6:6" x14ac:dyDescent="0.25">
      <c r="F6132"/>
    </row>
    <row r="6133" spans="6:6" x14ac:dyDescent="0.25">
      <c r="F6133"/>
    </row>
    <row r="6134" spans="6:6" x14ac:dyDescent="0.25">
      <c r="F6134"/>
    </row>
    <row r="6135" spans="6:6" x14ac:dyDescent="0.25">
      <c r="F6135"/>
    </row>
    <row r="6136" spans="6:6" x14ac:dyDescent="0.25">
      <c r="F6136"/>
    </row>
    <row r="6137" spans="6:6" x14ac:dyDescent="0.25">
      <c r="F6137"/>
    </row>
    <row r="6138" spans="6:6" x14ac:dyDescent="0.25">
      <c r="F6138"/>
    </row>
    <row r="6139" spans="6:6" x14ac:dyDescent="0.25">
      <c r="F6139"/>
    </row>
    <row r="6140" spans="6:6" x14ac:dyDescent="0.25">
      <c r="F6140"/>
    </row>
    <row r="6141" spans="6:6" x14ac:dyDescent="0.25">
      <c r="F6141"/>
    </row>
    <row r="6142" spans="6:6" x14ac:dyDescent="0.25">
      <c r="F6142"/>
    </row>
    <row r="6143" spans="6:6" x14ac:dyDescent="0.25">
      <c r="F6143"/>
    </row>
    <row r="6144" spans="6:6" x14ac:dyDescent="0.25">
      <c r="F6144"/>
    </row>
    <row r="6145" spans="6:6" x14ac:dyDescent="0.25">
      <c r="F6145"/>
    </row>
    <row r="6146" spans="6:6" x14ac:dyDescent="0.25">
      <c r="F6146"/>
    </row>
    <row r="6147" spans="6:6" x14ac:dyDescent="0.25">
      <c r="F6147"/>
    </row>
    <row r="6148" spans="6:6" x14ac:dyDescent="0.25">
      <c r="F6148"/>
    </row>
    <row r="6149" spans="6:6" x14ac:dyDescent="0.25">
      <c r="F6149"/>
    </row>
    <row r="6150" spans="6:6" x14ac:dyDescent="0.25">
      <c r="F6150"/>
    </row>
    <row r="6151" spans="6:6" x14ac:dyDescent="0.25">
      <c r="F6151"/>
    </row>
    <row r="6152" spans="6:6" x14ac:dyDescent="0.25">
      <c r="F6152"/>
    </row>
    <row r="6153" spans="6:6" x14ac:dyDescent="0.25">
      <c r="F6153"/>
    </row>
    <row r="6154" spans="6:6" x14ac:dyDescent="0.25">
      <c r="F6154"/>
    </row>
    <row r="6155" spans="6:6" x14ac:dyDescent="0.25">
      <c r="F6155"/>
    </row>
    <row r="6156" spans="6:6" x14ac:dyDescent="0.25">
      <c r="F6156"/>
    </row>
    <row r="6157" spans="6:6" x14ac:dyDescent="0.25">
      <c r="F6157"/>
    </row>
    <row r="6158" spans="6:6" x14ac:dyDescent="0.25">
      <c r="F6158"/>
    </row>
    <row r="6159" spans="6:6" x14ac:dyDescent="0.25">
      <c r="F6159"/>
    </row>
    <row r="6160" spans="6:6" x14ac:dyDescent="0.25">
      <c r="F6160"/>
    </row>
    <row r="6161" spans="6:6" x14ac:dyDescent="0.25">
      <c r="F6161"/>
    </row>
    <row r="6162" spans="6:6" x14ac:dyDescent="0.25">
      <c r="F6162"/>
    </row>
    <row r="6163" spans="6:6" x14ac:dyDescent="0.25">
      <c r="F6163"/>
    </row>
    <row r="6164" spans="6:6" x14ac:dyDescent="0.25">
      <c r="F6164"/>
    </row>
    <row r="6165" spans="6:6" x14ac:dyDescent="0.25">
      <c r="F6165"/>
    </row>
    <row r="6166" spans="6:6" x14ac:dyDescent="0.25">
      <c r="F6166"/>
    </row>
    <row r="6167" spans="6:6" x14ac:dyDescent="0.25">
      <c r="F6167"/>
    </row>
    <row r="6168" spans="6:6" x14ac:dyDescent="0.25">
      <c r="F6168"/>
    </row>
    <row r="6169" spans="6:6" x14ac:dyDescent="0.25">
      <c r="F6169"/>
    </row>
    <row r="6170" spans="6:6" x14ac:dyDescent="0.25">
      <c r="F6170"/>
    </row>
    <row r="6171" spans="6:6" x14ac:dyDescent="0.25">
      <c r="F6171"/>
    </row>
    <row r="6172" spans="6:6" x14ac:dyDescent="0.25">
      <c r="F6172"/>
    </row>
    <row r="6173" spans="6:6" x14ac:dyDescent="0.25">
      <c r="F6173"/>
    </row>
    <row r="6174" spans="6:6" x14ac:dyDescent="0.25">
      <c r="F6174"/>
    </row>
    <row r="6175" spans="6:6" x14ac:dyDescent="0.25">
      <c r="F6175"/>
    </row>
    <row r="6176" spans="6:6" x14ac:dyDescent="0.25">
      <c r="F6176"/>
    </row>
    <row r="6177" spans="6:6" x14ac:dyDescent="0.25">
      <c r="F6177"/>
    </row>
    <row r="6178" spans="6:6" x14ac:dyDescent="0.25">
      <c r="F6178"/>
    </row>
    <row r="6179" spans="6:6" x14ac:dyDescent="0.25">
      <c r="F6179"/>
    </row>
    <row r="6180" spans="6:6" x14ac:dyDescent="0.25">
      <c r="F6180"/>
    </row>
    <row r="6181" spans="6:6" x14ac:dyDescent="0.25">
      <c r="F6181"/>
    </row>
    <row r="6182" spans="6:6" x14ac:dyDescent="0.25">
      <c r="F6182"/>
    </row>
    <row r="6183" spans="6:6" x14ac:dyDescent="0.25">
      <c r="F6183"/>
    </row>
    <row r="6184" spans="6:6" x14ac:dyDescent="0.25">
      <c r="F6184"/>
    </row>
    <row r="6185" spans="6:6" x14ac:dyDescent="0.25">
      <c r="F6185"/>
    </row>
    <row r="6186" spans="6:6" x14ac:dyDescent="0.25">
      <c r="F6186"/>
    </row>
    <row r="6187" spans="6:6" x14ac:dyDescent="0.25">
      <c r="F6187"/>
    </row>
    <row r="6188" spans="6:6" x14ac:dyDescent="0.25">
      <c r="F6188"/>
    </row>
    <row r="6189" spans="6:6" x14ac:dyDescent="0.25">
      <c r="F6189"/>
    </row>
    <row r="6190" spans="6:6" x14ac:dyDescent="0.25">
      <c r="F6190"/>
    </row>
    <row r="6191" spans="6:6" x14ac:dyDescent="0.25">
      <c r="F6191"/>
    </row>
    <row r="6192" spans="6:6" x14ac:dyDescent="0.25">
      <c r="F6192"/>
    </row>
    <row r="6193" spans="6:6" x14ac:dyDescent="0.25">
      <c r="F6193"/>
    </row>
    <row r="6194" spans="6:6" x14ac:dyDescent="0.25">
      <c r="F6194"/>
    </row>
    <row r="6195" spans="6:6" x14ac:dyDescent="0.25">
      <c r="F6195"/>
    </row>
    <row r="6196" spans="6:6" x14ac:dyDescent="0.25">
      <c r="F6196"/>
    </row>
    <row r="6197" spans="6:6" x14ac:dyDescent="0.25">
      <c r="F6197"/>
    </row>
    <row r="6198" spans="6:6" x14ac:dyDescent="0.25">
      <c r="F6198"/>
    </row>
    <row r="6199" spans="6:6" x14ac:dyDescent="0.25">
      <c r="F6199"/>
    </row>
    <row r="6200" spans="6:6" x14ac:dyDescent="0.25">
      <c r="F6200"/>
    </row>
    <row r="6201" spans="6:6" x14ac:dyDescent="0.25">
      <c r="F6201"/>
    </row>
    <row r="6202" spans="6:6" x14ac:dyDescent="0.25">
      <c r="F6202"/>
    </row>
    <row r="6203" spans="6:6" x14ac:dyDescent="0.25">
      <c r="F6203"/>
    </row>
    <row r="6204" spans="6:6" x14ac:dyDescent="0.25">
      <c r="F6204"/>
    </row>
    <row r="6205" spans="6:6" x14ac:dyDescent="0.25">
      <c r="F6205"/>
    </row>
    <row r="6206" spans="6:6" x14ac:dyDescent="0.25">
      <c r="F6206"/>
    </row>
    <row r="6207" spans="6:6" x14ac:dyDescent="0.25">
      <c r="F6207"/>
    </row>
    <row r="6208" spans="6:6" x14ac:dyDescent="0.25">
      <c r="F6208"/>
    </row>
    <row r="6209" spans="6:6" x14ac:dyDescent="0.25">
      <c r="F6209"/>
    </row>
    <row r="6210" spans="6:6" x14ac:dyDescent="0.25">
      <c r="F6210"/>
    </row>
    <row r="6211" spans="6:6" x14ac:dyDescent="0.25">
      <c r="F6211"/>
    </row>
    <row r="6212" spans="6:6" x14ac:dyDescent="0.25">
      <c r="F6212"/>
    </row>
    <row r="6213" spans="6:6" x14ac:dyDescent="0.25">
      <c r="F6213"/>
    </row>
    <row r="6214" spans="6:6" x14ac:dyDescent="0.25">
      <c r="F6214"/>
    </row>
    <row r="6215" spans="6:6" x14ac:dyDescent="0.25">
      <c r="F6215"/>
    </row>
    <row r="6216" spans="6:6" x14ac:dyDescent="0.25">
      <c r="F6216"/>
    </row>
    <row r="6217" spans="6:6" x14ac:dyDescent="0.25">
      <c r="F6217"/>
    </row>
    <row r="6218" spans="6:6" x14ac:dyDescent="0.25">
      <c r="F6218"/>
    </row>
    <row r="6219" spans="6:6" x14ac:dyDescent="0.25">
      <c r="F6219"/>
    </row>
    <row r="6220" spans="6:6" x14ac:dyDescent="0.25">
      <c r="F6220"/>
    </row>
    <row r="6221" spans="6:6" x14ac:dyDescent="0.25">
      <c r="F6221"/>
    </row>
    <row r="6222" spans="6:6" x14ac:dyDescent="0.25">
      <c r="F6222"/>
    </row>
    <row r="6223" spans="6:6" x14ac:dyDescent="0.25">
      <c r="F6223"/>
    </row>
    <row r="6224" spans="6:6" x14ac:dyDescent="0.25">
      <c r="F6224"/>
    </row>
    <row r="6225" spans="6:6" x14ac:dyDescent="0.25">
      <c r="F6225"/>
    </row>
    <row r="6226" spans="6:6" x14ac:dyDescent="0.25">
      <c r="F6226"/>
    </row>
    <row r="6227" spans="6:6" x14ac:dyDescent="0.25">
      <c r="F6227"/>
    </row>
    <row r="6228" spans="6:6" x14ac:dyDescent="0.25">
      <c r="F6228"/>
    </row>
    <row r="6229" spans="6:6" x14ac:dyDescent="0.25">
      <c r="F6229"/>
    </row>
    <row r="6230" spans="6:6" x14ac:dyDescent="0.25">
      <c r="F6230"/>
    </row>
    <row r="6231" spans="6:6" x14ac:dyDescent="0.25">
      <c r="F6231"/>
    </row>
    <row r="6232" spans="6:6" x14ac:dyDescent="0.25">
      <c r="F6232"/>
    </row>
    <row r="6233" spans="6:6" x14ac:dyDescent="0.25">
      <c r="F6233"/>
    </row>
    <row r="6234" spans="6:6" x14ac:dyDescent="0.25">
      <c r="F6234"/>
    </row>
    <row r="6235" spans="6:6" x14ac:dyDescent="0.25">
      <c r="F6235"/>
    </row>
    <row r="6236" spans="6:6" x14ac:dyDescent="0.25">
      <c r="F6236"/>
    </row>
    <row r="6237" spans="6:6" x14ac:dyDescent="0.25">
      <c r="F6237"/>
    </row>
    <row r="6238" spans="6:6" x14ac:dyDescent="0.25">
      <c r="F6238"/>
    </row>
    <row r="6239" spans="6:6" x14ac:dyDescent="0.25">
      <c r="F6239"/>
    </row>
    <row r="6240" spans="6:6" x14ac:dyDescent="0.25">
      <c r="F6240"/>
    </row>
    <row r="6241" spans="6:6" x14ac:dyDescent="0.25">
      <c r="F6241"/>
    </row>
    <row r="6242" spans="6:6" x14ac:dyDescent="0.25">
      <c r="F6242"/>
    </row>
    <row r="6243" spans="6:6" x14ac:dyDescent="0.25">
      <c r="F6243"/>
    </row>
    <row r="6244" spans="6:6" x14ac:dyDescent="0.25">
      <c r="F6244"/>
    </row>
    <row r="6245" spans="6:6" x14ac:dyDescent="0.25">
      <c r="F6245"/>
    </row>
    <row r="6246" spans="6:6" x14ac:dyDescent="0.25">
      <c r="F6246"/>
    </row>
    <row r="6247" spans="6:6" x14ac:dyDescent="0.25">
      <c r="F6247"/>
    </row>
    <row r="6248" spans="6:6" x14ac:dyDescent="0.25">
      <c r="F6248"/>
    </row>
    <row r="6249" spans="6:6" x14ac:dyDescent="0.25">
      <c r="F6249"/>
    </row>
    <row r="6250" spans="6:6" x14ac:dyDescent="0.25">
      <c r="F6250"/>
    </row>
    <row r="6251" spans="6:6" x14ac:dyDescent="0.25">
      <c r="F6251"/>
    </row>
    <row r="6252" spans="6:6" x14ac:dyDescent="0.25">
      <c r="F6252"/>
    </row>
    <row r="6253" spans="6:6" x14ac:dyDescent="0.25">
      <c r="F6253"/>
    </row>
    <row r="6254" spans="6:6" x14ac:dyDescent="0.25">
      <c r="F6254"/>
    </row>
    <row r="6255" spans="6:6" x14ac:dyDescent="0.25">
      <c r="F6255"/>
    </row>
    <row r="6256" spans="6:6" x14ac:dyDescent="0.25">
      <c r="F6256"/>
    </row>
    <row r="6257" spans="6:6" x14ac:dyDescent="0.25">
      <c r="F6257"/>
    </row>
    <row r="6258" spans="6:6" x14ac:dyDescent="0.25">
      <c r="F6258"/>
    </row>
    <row r="6259" spans="6:6" x14ac:dyDescent="0.25">
      <c r="F6259"/>
    </row>
    <row r="6260" spans="6:6" x14ac:dyDescent="0.25">
      <c r="F6260"/>
    </row>
    <row r="6261" spans="6:6" x14ac:dyDescent="0.25">
      <c r="F6261"/>
    </row>
    <row r="6262" spans="6:6" x14ac:dyDescent="0.25">
      <c r="F6262"/>
    </row>
    <row r="6263" spans="6:6" x14ac:dyDescent="0.25">
      <c r="F6263"/>
    </row>
    <row r="6264" spans="6:6" x14ac:dyDescent="0.25">
      <c r="F6264"/>
    </row>
    <row r="6265" spans="6:6" x14ac:dyDescent="0.25">
      <c r="F6265"/>
    </row>
    <row r="6266" spans="6:6" x14ac:dyDescent="0.25">
      <c r="F6266"/>
    </row>
    <row r="6267" spans="6:6" x14ac:dyDescent="0.25">
      <c r="F6267"/>
    </row>
    <row r="6268" spans="6:6" x14ac:dyDescent="0.25">
      <c r="F6268"/>
    </row>
    <row r="6269" spans="6:6" x14ac:dyDescent="0.25">
      <c r="F6269"/>
    </row>
    <row r="6270" spans="6:6" x14ac:dyDescent="0.25">
      <c r="F6270"/>
    </row>
    <row r="6271" spans="6:6" x14ac:dyDescent="0.25">
      <c r="F6271"/>
    </row>
    <row r="6272" spans="6:6" x14ac:dyDescent="0.25">
      <c r="F6272"/>
    </row>
    <row r="6273" spans="6:6" x14ac:dyDescent="0.25">
      <c r="F6273"/>
    </row>
    <row r="6274" spans="6:6" x14ac:dyDescent="0.25">
      <c r="F6274"/>
    </row>
    <row r="6275" spans="6:6" x14ac:dyDescent="0.25">
      <c r="F6275"/>
    </row>
    <row r="6276" spans="6:6" x14ac:dyDescent="0.25">
      <c r="F6276"/>
    </row>
    <row r="6277" spans="6:6" x14ac:dyDescent="0.25">
      <c r="F6277"/>
    </row>
    <row r="6278" spans="6:6" x14ac:dyDescent="0.25">
      <c r="F6278"/>
    </row>
    <row r="6279" spans="6:6" x14ac:dyDescent="0.25">
      <c r="F6279"/>
    </row>
    <row r="6280" spans="6:6" x14ac:dyDescent="0.25">
      <c r="F6280"/>
    </row>
    <row r="6281" spans="6:6" x14ac:dyDescent="0.25">
      <c r="F6281"/>
    </row>
    <row r="6282" spans="6:6" x14ac:dyDescent="0.25">
      <c r="F6282"/>
    </row>
    <row r="6283" spans="6:6" x14ac:dyDescent="0.25">
      <c r="F6283"/>
    </row>
    <row r="6284" spans="6:6" x14ac:dyDescent="0.25">
      <c r="F6284"/>
    </row>
    <row r="6285" spans="6:6" x14ac:dyDescent="0.25">
      <c r="F6285"/>
    </row>
    <row r="6286" spans="6:6" x14ac:dyDescent="0.25">
      <c r="F6286"/>
    </row>
    <row r="6287" spans="6:6" x14ac:dyDescent="0.25">
      <c r="F6287"/>
    </row>
    <row r="6288" spans="6:6" x14ac:dyDescent="0.25">
      <c r="F6288"/>
    </row>
    <row r="6289" spans="6:6" x14ac:dyDescent="0.25">
      <c r="F6289"/>
    </row>
    <row r="6290" spans="6:6" x14ac:dyDescent="0.25">
      <c r="F6290"/>
    </row>
    <row r="6291" spans="6:6" x14ac:dyDescent="0.25">
      <c r="F6291"/>
    </row>
    <row r="6292" spans="6:6" x14ac:dyDescent="0.25">
      <c r="F6292"/>
    </row>
    <row r="6293" spans="6:6" x14ac:dyDescent="0.25">
      <c r="F6293"/>
    </row>
    <row r="6294" spans="6:6" x14ac:dyDescent="0.25">
      <c r="F6294"/>
    </row>
    <row r="6295" spans="6:6" x14ac:dyDescent="0.25">
      <c r="F6295"/>
    </row>
    <row r="6296" spans="6:6" x14ac:dyDescent="0.25">
      <c r="F6296"/>
    </row>
    <row r="6297" spans="6:6" x14ac:dyDescent="0.25">
      <c r="F6297"/>
    </row>
    <row r="6298" spans="6:6" x14ac:dyDescent="0.25">
      <c r="F6298"/>
    </row>
    <row r="6299" spans="6:6" x14ac:dyDescent="0.25">
      <c r="F6299"/>
    </row>
    <row r="6300" spans="6:6" x14ac:dyDescent="0.25">
      <c r="F6300"/>
    </row>
    <row r="6301" spans="6:6" x14ac:dyDescent="0.25">
      <c r="F6301"/>
    </row>
    <row r="6302" spans="6:6" x14ac:dyDescent="0.25">
      <c r="F6302"/>
    </row>
    <row r="6303" spans="6:6" x14ac:dyDescent="0.25">
      <c r="F6303"/>
    </row>
    <row r="6304" spans="6:6" x14ac:dyDescent="0.25">
      <c r="F6304"/>
    </row>
    <row r="6305" spans="6:6" x14ac:dyDescent="0.25">
      <c r="F6305"/>
    </row>
    <row r="6306" spans="6:6" x14ac:dyDescent="0.25">
      <c r="F6306"/>
    </row>
    <row r="6307" spans="6:6" x14ac:dyDescent="0.25">
      <c r="F6307"/>
    </row>
    <row r="6308" spans="6:6" x14ac:dyDescent="0.25">
      <c r="F6308"/>
    </row>
    <row r="6309" spans="6:6" x14ac:dyDescent="0.25">
      <c r="F6309"/>
    </row>
    <row r="6310" spans="6:6" x14ac:dyDescent="0.25">
      <c r="F6310"/>
    </row>
    <row r="6311" spans="6:6" x14ac:dyDescent="0.25">
      <c r="F6311"/>
    </row>
    <row r="6312" spans="6:6" x14ac:dyDescent="0.25">
      <c r="F6312"/>
    </row>
    <row r="6313" spans="6:6" x14ac:dyDescent="0.25">
      <c r="F6313"/>
    </row>
    <row r="6314" spans="6:6" x14ac:dyDescent="0.25">
      <c r="F6314"/>
    </row>
    <row r="6315" spans="6:6" x14ac:dyDescent="0.25">
      <c r="F6315"/>
    </row>
    <row r="6316" spans="6:6" x14ac:dyDescent="0.25">
      <c r="F6316"/>
    </row>
    <row r="6317" spans="6:6" x14ac:dyDescent="0.25">
      <c r="F6317"/>
    </row>
    <row r="6318" spans="6:6" x14ac:dyDescent="0.25">
      <c r="F6318"/>
    </row>
    <row r="6319" spans="6:6" x14ac:dyDescent="0.25">
      <c r="F6319"/>
    </row>
    <row r="6320" spans="6:6" x14ac:dyDescent="0.25">
      <c r="F6320"/>
    </row>
    <row r="6321" spans="6:6" x14ac:dyDescent="0.25">
      <c r="F6321"/>
    </row>
    <row r="6322" spans="6:6" x14ac:dyDescent="0.25">
      <c r="F6322"/>
    </row>
    <row r="6323" spans="6:6" x14ac:dyDescent="0.25">
      <c r="F6323"/>
    </row>
    <row r="6324" spans="6:6" x14ac:dyDescent="0.25">
      <c r="F6324"/>
    </row>
    <row r="6325" spans="6:6" x14ac:dyDescent="0.25">
      <c r="F6325"/>
    </row>
    <row r="6326" spans="6:6" x14ac:dyDescent="0.25">
      <c r="F6326"/>
    </row>
    <row r="6327" spans="6:6" x14ac:dyDescent="0.25">
      <c r="F6327"/>
    </row>
    <row r="6328" spans="6:6" x14ac:dyDescent="0.25">
      <c r="F6328"/>
    </row>
    <row r="6329" spans="6:6" x14ac:dyDescent="0.25">
      <c r="F6329"/>
    </row>
    <row r="6330" spans="6:6" x14ac:dyDescent="0.25">
      <c r="F6330"/>
    </row>
    <row r="6331" spans="6:6" x14ac:dyDescent="0.25">
      <c r="F6331"/>
    </row>
    <row r="6332" spans="6:6" x14ac:dyDescent="0.25">
      <c r="F6332"/>
    </row>
    <row r="6333" spans="6:6" x14ac:dyDescent="0.25">
      <c r="F6333"/>
    </row>
    <row r="6334" spans="6:6" x14ac:dyDescent="0.25">
      <c r="F6334"/>
    </row>
    <row r="6335" spans="6:6" x14ac:dyDescent="0.25">
      <c r="F6335"/>
    </row>
    <row r="6336" spans="6:6" x14ac:dyDescent="0.25">
      <c r="F6336"/>
    </row>
    <row r="6337" spans="6:6" x14ac:dyDescent="0.25">
      <c r="F6337"/>
    </row>
    <row r="6338" spans="6:6" x14ac:dyDescent="0.25">
      <c r="F6338"/>
    </row>
    <row r="6339" spans="6:6" x14ac:dyDescent="0.25">
      <c r="F6339"/>
    </row>
    <row r="6340" spans="6:6" x14ac:dyDescent="0.25">
      <c r="F6340"/>
    </row>
    <row r="6341" spans="6:6" x14ac:dyDescent="0.25">
      <c r="F6341"/>
    </row>
    <row r="6342" spans="6:6" x14ac:dyDescent="0.25">
      <c r="F6342"/>
    </row>
    <row r="6343" spans="6:6" x14ac:dyDescent="0.25">
      <c r="F6343"/>
    </row>
    <row r="6344" spans="6:6" x14ac:dyDescent="0.25">
      <c r="F6344"/>
    </row>
    <row r="6345" spans="6:6" x14ac:dyDescent="0.25">
      <c r="F6345"/>
    </row>
    <row r="6346" spans="6:6" x14ac:dyDescent="0.25">
      <c r="F6346"/>
    </row>
    <row r="6347" spans="6:6" x14ac:dyDescent="0.25">
      <c r="F6347"/>
    </row>
    <row r="6348" spans="6:6" x14ac:dyDescent="0.25">
      <c r="F6348"/>
    </row>
    <row r="6349" spans="6:6" x14ac:dyDescent="0.25">
      <c r="F6349"/>
    </row>
    <row r="6350" spans="6:6" x14ac:dyDescent="0.25">
      <c r="F6350"/>
    </row>
    <row r="6351" spans="6:6" x14ac:dyDescent="0.25">
      <c r="F6351"/>
    </row>
    <row r="6352" spans="6:6" x14ac:dyDescent="0.25">
      <c r="F6352"/>
    </row>
    <row r="6353" spans="6:6" x14ac:dyDescent="0.25">
      <c r="F6353"/>
    </row>
    <row r="6354" spans="6:6" x14ac:dyDescent="0.25">
      <c r="F6354"/>
    </row>
    <row r="6355" spans="6:6" x14ac:dyDescent="0.25">
      <c r="F6355"/>
    </row>
    <row r="6356" spans="6:6" x14ac:dyDescent="0.25">
      <c r="F6356"/>
    </row>
    <row r="6357" spans="6:6" x14ac:dyDescent="0.25">
      <c r="F6357"/>
    </row>
    <row r="6358" spans="6:6" x14ac:dyDescent="0.25">
      <c r="F6358"/>
    </row>
    <row r="6359" spans="6:6" x14ac:dyDescent="0.25">
      <c r="F6359"/>
    </row>
    <row r="6360" spans="6:6" x14ac:dyDescent="0.25">
      <c r="F6360"/>
    </row>
    <row r="6361" spans="6:6" x14ac:dyDescent="0.25">
      <c r="F6361"/>
    </row>
    <row r="6362" spans="6:6" x14ac:dyDescent="0.25">
      <c r="F6362"/>
    </row>
    <row r="6363" spans="6:6" x14ac:dyDescent="0.25">
      <c r="F6363"/>
    </row>
    <row r="6364" spans="6:6" x14ac:dyDescent="0.25">
      <c r="F6364"/>
    </row>
    <row r="6365" spans="6:6" x14ac:dyDescent="0.25">
      <c r="F6365"/>
    </row>
    <row r="6366" spans="6:6" x14ac:dyDescent="0.25">
      <c r="F6366"/>
    </row>
    <row r="6367" spans="6:6" x14ac:dyDescent="0.25">
      <c r="F6367"/>
    </row>
    <row r="6368" spans="6:6" x14ac:dyDescent="0.25">
      <c r="F6368"/>
    </row>
    <row r="6369" spans="6:6" x14ac:dyDescent="0.25">
      <c r="F6369"/>
    </row>
    <row r="6370" spans="6:6" x14ac:dyDescent="0.25">
      <c r="F6370"/>
    </row>
    <row r="6371" spans="6:6" x14ac:dyDescent="0.25">
      <c r="F6371"/>
    </row>
    <row r="6372" spans="6:6" x14ac:dyDescent="0.25">
      <c r="F6372"/>
    </row>
    <row r="6373" spans="6:6" x14ac:dyDescent="0.25">
      <c r="F6373"/>
    </row>
    <row r="6374" spans="6:6" x14ac:dyDescent="0.25">
      <c r="F6374"/>
    </row>
    <row r="6375" spans="6:6" x14ac:dyDescent="0.25">
      <c r="F6375"/>
    </row>
    <row r="6376" spans="6:6" x14ac:dyDescent="0.25">
      <c r="F6376"/>
    </row>
    <row r="6377" spans="6:6" x14ac:dyDescent="0.25">
      <c r="F6377"/>
    </row>
    <row r="6378" spans="6:6" x14ac:dyDescent="0.25">
      <c r="F6378"/>
    </row>
    <row r="6379" spans="6:6" x14ac:dyDescent="0.25">
      <c r="F6379"/>
    </row>
    <row r="6380" spans="6:6" x14ac:dyDescent="0.25">
      <c r="F6380"/>
    </row>
    <row r="6381" spans="6:6" x14ac:dyDescent="0.25">
      <c r="F6381"/>
    </row>
    <row r="6382" spans="6:6" x14ac:dyDescent="0.25">
      <c r="F6382"/>
    </row>
    <row r="6383" spans="6:6" x14ac:dyDescent="0.25">
      <c r="F6383"/>
    </row>
    <row r="6384" spans="6:6" x14ac:dyDescent="0.25">
      <c r="F6384"/>
    </row>
    <row r="6385" spans="6:6" x14ac:dyDescent="0.25">
      <c r="F6385"/>
    </row>
    <row r="6386" spans="6:6" x14ac:dyDescent="0.25">
      <c r="F6386"/>
    </row>
    <row r="6387" spans="6:6" x14ac:dyDescent="0.25">
      <c r="F6387"/>
    </row>
    <row r="6388" spans="6:6" x14ac:dyDescent="0.25">
      <c r="F6388"/>
    </row>
    <row r="6389" spans="6:6" x14ac:dyDescent="0.25">
      <c r="F6389"/>
    </row>
    <row r="6390" spans="6:6" x14ac:dyDescent="0.25">
      <c r="F6390"/>
    </row>
    <row r="6391" spans="6:6" x14ac:dyDescent="0.25">
      <c r="F6391"/>
    </row>
    <row r="6392" spans="6:6" x14ac:dyDescent="0.25">
      <c r="F6392"/>
    </row>
    <row r="6393" spans="6:6" x14ac:dyDescent="0.25">
      <c r="F6393"/>
    </row>
    <row r="6394" spans="6:6" x14ac:dyDescent="0.25">
      <c r="F6394"/>
    </row>
    <row r="6395" spans="6:6" x14ac:dyDescent="0.25">
      <c r="F6395"/>
    </row>
    <row r="6396" spans="6:6" x14ac:dyDescent="0.25">
      <c r="F6396"/>
    </row>
    <row r="6397" spans="6:6" x14ac:dyDescent="0.25">
      <c r="F6397"/>
    </row>
    <row r="6398" spans="6:6" x14ac:dyDescent="0.25">
      <c r="F6398"/>
    </row>
    <row r="6399" spans="6:6" x14ac:dyDescent="0.25">
      <c r="F6399"/>
    </row>
    <row r="6400" spans="6:6" x14ac:dyDescent="0.25">
      <c r="F6400"/>
    </row>
    <row r="6401" spans="6:6" x14ac:dyDescent="0.25">
      <c r="F6401"/>
    </row>
    <row r="6402" spans="6:6" x14ac:dyDescent="0.25">
      <c r="F6402"/>
    </row>
    <row r="6403" spans="6:6" x14ac:dyDescent="0.25">
      <c r="F6403"/>
    </row>
    <row r="6404" spans="6:6" x14ac:dyDescent="0.25">
      <c r="F6404"/>
    </row>
    <row r="6405" spans="6:6" x14ac:dyDescent="0.25">
      <c r="F6405"/>
    </row>
    <row r="6406" spans="6:6" x14ac:dyDescent="0.25">
      <c r="F6406"/>
    </row>
    <row r="6407" spans="6:6" x14ac:dyDescent="0.25">
      <c r="F6407"/>
    </row>
    <row r="6408" spans="6:6" x14ac:dyDescent="0.25">
      <c r="F6408"/>
    </row>
    <row r="6409" spans="6:6" x14ac:dyDescent="0.25">
      <c r="F6409"/>
    </row>
    <row r="6410" spans="6:6" x14ac:dyDescent="0.25">
      <c r="F6410"/>
    </row>
    <row r="6411" spans="6:6" x14ac:dyDescent="0.25">
      <c r="F6411"/>
    </row>
    <row r="6412" spans="6:6" x14ac:dyDescent="0.25">
      <c r="F6412"/>
    </row>
    <row r="6413" spans="6:6" x14ac:dyDescent="0.25">
      <c r="F6413"/>
    </row>
    <row r="6414" spans="6:6" x14ac:dyDescent="0.25">
      <c r="F6414"/>
    </row>
    <row r="6415" spans="6:6" x14ac:dyDescent="0.25">
      <c r="F6415"/>
    </row>
    <row r="6416" spans="6:6" x14ac:dyDescent="0.25">
      <c r="F6416"/>
    </row>
    <row r="6417" spans="6:6" x14ac:dyDescent="0.25">
      <c r="F6417"/>
    </row>
    <row r="6418" spans="6:6" x14ac:dyDescent="0.25">
      <c r="F6418"/>
    </row>
    <row r="6419" spans="6:6" x14ac:dyDescent="0.25">
      <c r="F6419"/>
    </row>
    <row r="6420" spans="6:6" x14ac:dyDescent="0.25">
      <c r="F6420"/>
    </row>
    <row r="6421" spans="6:6" x14ac:dyDescent="0.25">
      <c r="F6421"/>
    </row>
    <row r="6422" spans="6:6" x14ac:dyDescent="0.25">
      <c r="F6422"/>
    </row>
    <row r="6423" spans="6:6" x14ac:dyDescent="0.25">
      <c r="F6423"/>
    </row>
    <row r="6424" spans="6:6" x14ac:dyDescent="0.25">
      <c r="F6424"/>
    </row>
    <row r="6425" spans="6:6" x14ac:dyDescent="0.25">
      <c r="F6425"/>
    </row>
    <row r="6426" spans="6:6" x14ac:dyDescent="0.25">
      <c r="F6426"/>
    </row>
    <row r="6427" spans="6:6" x14ac:dyDescent="0.25">
      <c r="F6427"/>
    </row>
    <row r="6428" spans="6:6" x14ac:dyDescent="0.25">
      <c r="F6428"/>
    </row>
    <row r="6429" spans="6:6" x14ac:dyDescent="0.25">
      <c r="F6429"/>
    </row>
    <row r="6430" spans="6:6" x14ac:dyDescent="0.25">
      <c r="F6430"/>
    </row>
    <row r="6431" spans="6:6" x14ac:dyDescent="0.25">
      <c r="F6431"/>
    </row>
    <row r="6432" spans="6:6" x14ac:dyDescent="0.25">
      <c r="F6432"/>
    </row>
    <row r="6433" spans="6:6" x14ac:dyDescent="0.25">
      <c r="F6433"/>
    </row>
    <row r="6434" spans="6:6" x14ac:dyDescent="0.25">
      <c r="F6434"/>
    </row>
    <row r="6435" spans="6:6" x14ac:dyDescent="0.25">
      <c r="F6435"/>
    </row>
    <row r="6436" spans="6:6" x14ac:dyDescent="0.25">
      <c r="F6436"/>
    </row>
    <row r="6437" spans="6:6" x14ac:dyDescent="0.25">
      <c r="F6437"/>
    </row>
    <row r="6438" spans="6:6" x14ac:dyDescent="0.25">
      <c r="F6438"/>
    </row>
    <row r="6439" spans="6:6" x14ac:dyDescent="0.25">
      <c r="F6439"/>
    </row>
    <row r="6440" spans="6:6" x14ac:dyDescent="0.25">
      <c r="F6440"/>
    </row>
    <row r="6441" spans="6:6" x14ac:dyDescent="0.25">
      <c r="F6441"/>
    </row>
    <row r="6442" spans="6:6" x14ac:dyDescent="0.25">
      <c r="F6442"/>
    </row>
    <row r="6443" spans="6:6" x14ac:dyDescent="0.25">
      <c r="F6443"/>
    </row>
    <row r="6444" spans="6:6" x14ac:dyDescent="0.25">
      <c r="F6444"/>
    </row>
    <row r="6445" spans="6:6" x14ac:dyDescent="0.25">
      <c r="F6445"/>
    </row>
    <row r="6446" spans="6:6" x14ac:dyDescent="0.25">
      <c r="F6446"/>
    </row>
    <row r="6447" spans="6:6" x14ac:dyDescent="0.25">
      <c r="F6447"/>
    </row>
    <row r="6448" spans="6:6" x14ac:dyDescent="0.25">
      <c r="F6448"/>
    </row>
    <row r="6449" spans="6:6" x14ac:dyDescent="0.25">
      <c r="F6449"/>
    </row>
    <row r="6450" spans="6:6" x14ac:dyDescent="0.25">
      <c r="F6450"/>
    </row>
    <row r="6451" spans="6:6" x14ac:dyDescent="0.25">
      <c r="F6451"/>
    </row>
    <row r="6452" spans="6:6" x14ac:dyDescent="0.25">
      <c r="F6452"/>
    </row>
    <row r="6453" spans="6:6" x14ac:dyDescent="0.25">
      <c r="F6453"/>
    </row>
    <row r="6454" spans="6:6" x14ac:dyDescent="0.25">
      <c r="F6454"/>
    </row>
    <row r="6455" spans="6:6" x14ac:dyDescent="0.25">
      <c r="F6455"/>
    </row>
    <row r="6456" spans="6:6" x14ac:dyDescent="0.25">
      <c r="F6456"/>
    </row>
    <row r="6457" spans="6:6" x14ac:dyDescent="0.25">
      <c r="F6457"/>
    </row>
    <row r="6458" spans="6:6" x14ac:dyDescent="0.25">
      <c r="F6458"/>
    </row>
    <row r="6459" spans="6:6" x14ac:dyDescent="0.25">
      <c r="F6459"/>
    </row>
    <row r="6460" spans="6:6" x14ac:dyDescent="0.25">
      <c r="F6460"/>
    </row>
    <row r="6461" spans="6:6" x14ac:dyDescent="0.25">
      <c r="F6461"/>
    </row>
    <row r="6462" spans="6:6" x14ac:dyDescent="0.25">
      <c r="F6462"/>
    </row>
    <row r="6463" spans="6:6" x14ac:dyDescent="0.25">
      <c r="F6463"/>
    </row>
    <row r="6464" spans="6:6" x14ac:dyDescent="0.25">
      <c r="F6464"/>
    </row>
    <row r="6465" spans="6:6" x14ac:dyDescent="0.25">
      <c r="F6465"/>
    </row>
    <row r="6466" spans="6:6" x14ac:dyDescent="0.25">
      <c r="F6466"/>
    </row>
    <row r="6467" spans="6:6" x14ac:dyDescent="0.25">
      <c r="F6467"/>
    </row>
    <row r="6468" spans="6:6" x14ac:dyDescent="0.25">
      <c r="F6468"/>
    </row>
    <row r="6469" spans="6:6" x14ac:dyDescent="0.25">
      <c r="F6469"/>
    </row>
    <row r="6470" spans="6:6" x14ac:dyDescent="0.25">
      <c r="F6470"/>
    </row>
    <row r="6471" spans="6:6" x14ac:dyDescent="0.25">
      <c r="F6471"/>
    </row>
    <row r="6472" spans="6:6" x14ac:dyDescent="0.25">
      <c r="F6472"/>
    </row>
    <row r="6473" spans="6:6" x14ac:dyDescent="0.25">
      <c r="F6473"/>
    </row>
    <row r="6474" spans="6:6" x14ac:dyDescent="0.25">
      <c r="F6474"/>
    </row>
    <row r="6475" spans="6:6" x14ac:dyDescent="0.25">
      <c r="F6475"/>
    </row>
    <row r="6476" spans="6:6" x14ac:dyDescent="0.25">
      <c r="F6476"/>
    </row>
    <row r="6477" spans="6:6" x14ac:dyDescent="0.25">
      <c r="F6477"/>
    </row>
    <row r="6478" spans="6:6" x14ac:dyDescent="0.25">
      <c r="F6478"/>
    </row>
    <row r="6479" spans="6:6" x14ac:dyDescent="0.25">
      <c r="F6479"/>
    </row>
    <row r="6480" spans="6:6" x14ac:dyDescent="0.25">
      <c r="F6480"/>
    </row>
    <row r="6481" spans="6:6" x14ac:dyDescent="0.25">
      <c r="F6481"/>
    </row>
    <row r="6482" spans="6:6" x14ac:dyDescent="0.25">
      <c r="F6482"/>
    </row>
    <row r="6483" spans="6:6" x14ac:dyDescent="0.25">
      <c r="F6483"/>
    </row>
    <row r="6484" spans="6:6" x14ac:dyDescent="0.25">
      <c r="F6484"/>
    </row>
    <row r="6485" spans="6:6" x14ac:dyDescent="0.25">
      <c r="F6485"/>
    </row>
    <row r="6486" spans="6:6" x14ac:dyDescent="0.25">
      <c r="F6486"/>
    </row>
    <row r="6487" spans="6:6" x14ac:dyDescent="0.25">
      <c r="F6487"/>
    </row>
    <row r="6488" spans="6:6" x14ac:dyDescent="0.25">
      <c r="F6488"/>
    </row>
    <row r="6489" spans="6:6" x14ac:dyDescent="0.25">
      <c r="F6489"/>
    </row>
    <row r="6490" spans="6:6" x14ac:dyDescent="0.25">
      <c r="F6490"/>
    </row>
    <row r="6491" spans="6:6" x14ac:dyDescent="0.25">
      <c r="F6491"/>
    </row>
    <row r="6492" spans="6:6" x14ac:dyDescent="0.25">
      <c r="F6492"/>
    </row>
    <row r="6493" spans="6:6" x14ac:dyDescent="0.25">
      <c r="F6493"/>
    </row>
    <row r="6494" spans="6:6" x14ac:dyDescent="0.25">
      <c r="F6494"/>
    </row>
    <row r="6495" spans="6:6" x14ac:dyDescent="0.25">
      <c r="F6495"/>
    </row>
    <row r="6496" spans="6:6" x14ac:dyDescent="0.25">
      <c r="F6496"/>
    </row>
    <row r="6497" spans="6:6" x14ac:dyDescent="0.25">
      <c r="F6497"/>
    </row>
    <row r="6498" spans="6:6" x14ac:dyDescent="0.25">
      <c r="F6498"/>
    </row>
    <row r="6499" spans="6:6" x14ac:dyDescent="0.25">
      <c r="F6499"/>
    </row>
    <row r="6500" spans="6:6" x14ac:dyDescent="0.25">
      <c r="F6500"/>
    </row>
    <row r="6501" spans="6:6" x14ac:dyDescent="0.25">
      <c r="F6501"/>
    </row>
    <row r="6502" spans="6:6" x14ac:dyDescent="0.25">
      <c r="F6502"/>
    </row>
    <row r="6503" spans="6:6" x14ac:dyDescent="0.25">
      <c r="F6503"/>
    </row>
    <row r="6504" spans="6:6" x14ac:dyDescent="0.25">
      <c r="F6504"/>
    </row>
    <row r="6505" spans="6:6" x14ac:dyDescent="0.25">
      <c r="F6505"/>
    </row>
    <row r="6506" spans="6:6" x14ac:dyDescent="0.25">
      <c r="F6506"/>
    </row>
    <row r="6507" spans="6:6" x14ac:dyDescent="0.25">
      <c r="F6507"/>
    </row>
    <row r="6508" spans="6:6" x14ac:dyDescent="0.25">
      <c r="F6508"/>
    </row>
    <row r="6509" spans="6:6" x14ac:dyDescent="0.25">
      <c r="F6509"/>
    </row>
    <row r="6510" spans="6:6" x14ac:dyDescent="0.25">
      <c r="F6510"/>
    </row>
    <row r="6511" spans="6:6" x14ac:dyDescent="0.25">
      <c r="F6511"/>
    </row>
    <row r="6512" spans="6:6" x14ac:dyDescent="0.25">
      <c r="F6512"/>
    </row>
    <row r="6513" spans="6:6" x14ac:dyDescent="0.25">
      <c r="F6513"/>
    </row>
    <row r="6514" spans="6:6" x14ac:dyDescent="0.25">
      <c r="F6514"/>
    </row>
    <row r="6515" spans="6:6" x14ac:dyDescent="0.25">
      <c r="F6515"/>
    </row>
    <row r="6516" spans="6:6" x14ac:dyDescent="0.25">
      <c r="F6516"/>
    </row>
    <row r="6517" spans="6:6" x14ac:dyDescent="0.25">
      <c r="F6517"/>
    </row>
    <row r="6518" spans="6:6" x14ac:dyDescent="0.25">
      <c r="F6518"/>
    </row>
    <row r="6519" spans="6:6" x14ac:dyDescent="0.25">
      <c r="F6519"/>
    </row>
    <row r="6520" spans="6:6" x14ac:dyDescent="0.25">
      <c r="F6520"/>
    </row>
    <row r="6521" spans="6:6" x14ac:dyDescent="0.25">
      <c r="F6521"/>
    </row>
    <row r="6522" spans="6:6" x14ac:dyDescent="0.25">
      <c r="F6522"/>
    </row>
    <row r="6523" spans="6:6" x14ac:dyDescent="0.25">
      <c r="F6523"/>
    </row>
    <row r="6524" spans="6:6" x14ac:dyDescent="0.25">
      <c r="F6524"/>
    </row>
    <row r="6525" spans="6:6" x14ac:dyDescent="0.25">
      <c r="F6525"/>
    </row>
    <row r="6526" spans="6:6" x14ac:dyDescent="0.25">
      <c r="F6526"/>
    </row>
    <row r="6527" spans="6:6" x14ac:dyDescent="0.25">
      <c r="F6527"/>
    </row>
    <row r="6528" spans="6:6" x14ac:dyDescent="0.25">
      <c r="F6528"/>
    </row>
    <row r="6529" spans="6:6" x14ac:dyDescent="0.25">
      <c r="F6529"/>
    </row>
    <row r="6530" spans="6:6" x14ac:dyDescent="0.25">
      <c r="F6530"/>
    </row>
    <row r="6531" spans="6:6" x14ac:dyDescent="0.25">
      <c r="F6531"/>
    </row>
    <row r="6532" spans="6:6" x14ac:dyDescent="0.25">
      <c r="F6532"/>
    </row>
    <row r="6533" spans="6:6" x14ac:dyDescent="0.25">
      <c r="F6533"/>
    </row>
    <row r="6534" spans="6:6" x14ac:dyDescent="0.25">
      <c r="F6534"/>
    </row>
    <row r="6535" spans="6:6" x14ac:dyDescent="0.25">
      <c r="F6535"/>
    </row>
    <row r="6536" spans="6:6" x14ac:dyDescent="0.25">
      <c r="F6536"/>
    </row>
    <row r="6537" spans="6:6" x14ac:dyDescent="0.25">
      <c r="F6537"/>
    </row>
    <row r="6538" spans="6:6" x14ac:dyDescent="0.25">
      <c r="F6538"/>
    </row>
    <row r="6539" spans="6:6" x14ac:dyDescent="0.25">
      <c r="F6539"/>
    </row>
    <row r="6540" spans="6:6" x14ac:dyDescent="0.25">
      <c r="F6540"/>
    </row>
    <row r="6541" spans="6:6" x14ac:dyDescent="0.25">
      <c r="F6541"/>
    </row>
    <row r="6542" spans="6:6" x14ac:dyDescent="0.25">
      <c r="F6542"/>
    </row>
    <row r="6543" spans="6:6" x14ac:dyDescent="0.25">
      <c r="F6543"/>
    </row>
    <row r="6544" spans="6:6" x14ac:dyDescent="0.25">
      <c r="F6544"/>
    </row>
    <row r="6545" spans="6:6" x14ac:dyDescent="0.25">
      <c r="F6545"/>
    </row>
    <row r="6546" spans="6:6" x14ac:dyDescent="0.25">
      <c r="F6546"/>
    </row>
    <row r="6547" spans="6:6" x14ac:dyDescent="0.25">
      <c r="F6547"/>
    </row>
    <row r="6548" spans="6:6" x14ac:dyDescent="0.25">
      <c r="F6548"/>
    </row>
    <row r="6549" spans="6:6" x14ac:dyDescent="0.25">
      <c r="F6549"/>
    </row>
    <row r="6550" spans="6:6" x14ac:dyDescent="0.25">
      <c r="F6550"/>
    </row>
    <row r="6551" spans="6:6" x14ac:dyDescent="0.25">
      <c r="F6551"/>
    </row>
    <row r="6552" spans="6:6" x14ac:dyDescent="0.25">
      <c r="F6552"/>
    </row>
    <row r="6553" spans="6:6" x14ac:dyDescent="0.25">
      <c r="F6553"/>
    </row>
    <row r="6554" spans="6:6" x14ac:dyDescent="0.25">
      <c r="F6554"/>
    </row>
    <row r="6555" spans="6:6" x14ac:dyDescent="0.25">
      <c r="F6555"/>
    </row>
    <row r="6556" spans="6:6" x14ac:dyDescent="0.25">
      <c r="F6556"/>
    </row>
    <row r="6557" spans="6:6" x14ac:dyDescent="0.25">
      <c r="F6557"/>
    </row>
    <row r="6558" spans="6:6" x14ac:dyDescent="0.25">
      <c r="F6558"/>
    </row>
    <row r="6559" spans="6:6" x14ac:dyDescent="0.25">
      <c r="F6559"/>
    </row>
    <row r="6560" spans="6:6" x14ac:dyDescent="0.25">
      <c r="F6560"/>
    </row>
    <row r="6561" spans="6:6" x14ac:dyDescent="0.25">
      <c r="F6561"/>
    </row>
    <row r="6562" spans="6:6" x14ac:dyDescent="0.25">
      <c r="F6562"/>
    </row>
    <row r="6563" spans="6:6" x14ac:dyDescent="0.25">
      <c r="F6563"/>
    </row>
    <row r="6564" spans="6:6" x14ac:dyDescent="0.25">
      <c r="F6564"/>
    </row>
    <row r="6565" spans="6:6" x14ac:dyDescent="0.25">
      <c r="F6565"/>
    </row>
    <row r="6566" spans="6:6" x14ac:dyDescent="0.25">
      <c r="F6566"/>
    </row>
    <row r="6567" spans="6:6" x14ac:dyDescent="0.25">
      <c r="F6567"/>
    </row>
    <row r="6568" spans="6:6" x14ac:dyDescent="0.25">
      <c r="F6568"/>
    </row>
    <row r="6569" spans="6:6" x14ac:dyDescent="0.25">
      <c r="F6569"/>
    </row>
    <row r="6570" spans="6:6" x14ac:dyDescent="0.25">
      <c r="F6570"/>
    </row>
    <row r="6571" spans="6:6" x14ac:dyDescent="0.25">
      <c r="F6571"/>
    </row>
    <row r="6572" spans="6:6" x14ac:dyDescent="0.25">
      <c r="F6572"/>
    </row>
    <row r="6573" spans="6:6" x14ac:dyDescent="0.25">
      <c r="F6573"/>
    </row>
    <row r="6574" spans="6:6" x14ac:dyDescent="0.25">
      <c r="F6574"/>
    </row>
    <row r="6575" spans="6:6" x14ac:dyDescent="0.25">
      <c r="F6575"/>
    </row>
    <row r="6576" spans="6:6" x14ac:dyDescent="0.25">
      <c r="F6576"/>
    </row>
    <row r="6577" spans="6:6" x14ac:dyDescent="0.25">
      <c r="F6577"/>
    </row>
    <row r="6578" spans="6:6" x14ac:dyDescent="0.25">
      <c r="F6578"/>
    </row>
    <row r="6579" spans="6:6" x14ac:dyDescent="0.25">
      <c r="F6579"/>
    </row>
    <row r="6580" spans="6:6" x14ac:dyDescent="0.25">
      <c r="F6580"/>
    </row>
    <row r="6581" spans="6:6" x14ac:dyDescent="0.25">
      <c r="F6581"/>
    </row>
    <row r="6582" spans="6:6" x14ac:dyDescent="0.25">
      <c r="F6582"/>
    </row>
    <row r="6583" spans="6:6" x14ac:dyDescent="0.25">
      <c r="F6583"/>
    </row>
    <row r="6584" spans="6:6" x14ac:dyDescent="0.25">
      <c r="F6584"/>
    </row>
    <row r="6585" spans="6:6" x14ac:dyDescent="0.25">
      <c r="F6585"/>
    </row>
    <row r="6586" spans="6:6" x14ac:dyDescent="0.25">
      <c r="F6586"/>
    </row>
    <row r="6587" spans="6:6" x14ac:dyDescent="0.25">
      <c r="F6587"/>
    </row>
    <row r="6588" spans="6:6" x14ac:dyDescent="0.25">
      <c r="F6588"/>
    </row>
    <row r="6589" spans="6:6" x14ac:dyDescent="0.25">
      <c r="F6589"/>
    </row>
    <row r="6590" spans="6:6" x14ac:dyDescent="0.25">
      <c r="F6590"/>
    </row>
    <row r="6591" spans="6:6" x14ac:dyDescent="0.25">
      <c r="F6591"/>
    </row>
    <row r="6592" spans="6:6" x14ac:dyDescent="0.25">
      <c r="F6592"/>
    </row>
    <row r="6593" spans="6:6" x14ac:dyDescent="0.25">
      <c r="F6593"/>
    </row>
    <row r="6594" spans="6:6" x14ac:dyDescent="0.25">
      <c r="F6594"/>
    </row>
    <row r="6595" spans="6:6" x14ac:dyDescent="0.25">
      <c r="F6595"/>
    </row>
    <row r="6596" spans="6:6" x14ac:dyDescent="0.25">
      <c r="F6596"/>
    </row>
    <row r="6597" spans="6:6" x14ac:dyDescent="0.25">
      <c r="F6597"/>
    </row>
    <row r="6598" spans="6:6" x14ac:dyDescent="0.25">
      <c r="F6598"/>
    </row>
    <row r="6599" spans="6:6" x14ac:dyDescent="0.25">
      <c r="F6599"/>
    </row>
    <row r="6600" spans="6:6" x14ac:dyDescent="0.25">
      <c r="F6600"/>
    </row>
    <row r="6601" spans="6:6" x14ac:dyDescent="0.25">
      <c r="F6601"/>
    </row>
    <row r="6602" spans="6:6" x14ac:dyDescent="0.25">
      <c r="F6602"/>
    </row>
    <row r="6603" spans="6:6" x14ac:dyDescent="0.25">
      <c r="F6603"/>
    </row>
    <row r="6604" spans="6:6" x14ac:dyDescent="0.25">
      <c r="F6604"/>
    </row>
    <row r="6605" spans="6:6" x14ac:dyDescent="0.25">
      <c r="F6605"/>
    </row>
    <row r="6606" spans="6:6" x14ac:dyDescent="0.25">
      <c r="F6606"/>
    </row>
    <row r="6607" spans="6:6" x14ac:dyDescent="0.25">
      <c r="F6607"/>
    </row>
    <row r="6608" spans="6:6" x14ac:dyDescent="0.25">
      <c r="F6608"/>
    </row>
    <row r="6609" spans="6:6" x14ac:dyDescent="0.25">
      <c r="F6609"/>
    </row>
    <row r="6610" spans="6:6" x14ac:dyDescent="0.25">
      <c r="F6610"/>
    </row>
    <row r="6611" spans="6:6" x14ac:dyDescent="0.25">
      <c r="F6611"/>
    </row>
    <row r="6612" spans="6:6" x14ac:dyDescent="0.25">
      <c r="F6612"/>
    </row>
    <row r="6613" spans="6:6" x14ac:dyDescent="0.25">
      <c r="F6613"/>
    </row>
    <row r="6614" spans="6:6" x14ac:dyDescent="0.25">
      <c r="F6614"/>
    </row>
    <row r="6615" spans="6:6" x14ac:dyDescent="0.25">
      <c r="F6615"/>
    </row>
    <row r="6616" spans="6:6" x14ac:dyDescent="0.25">
      <c r="F6616"/>
    </row>
    <row r="6617" spans="6:6" x14ac:dyDescent="0.25">
      <c r="F6617"/>
    </row>
    <row r="6618" spans="6:6" x14ac:dyDescent="0.25">
      <c r="F6618"/>
    </row>
    <row r="6619" spans="6:6" x14ac:dyDescent="0.25">
      <c r="F6619"/>
    </row>
    <row r="6620" spans="6:6" x14ac:dyDescent="0.25">
      <c r="F6620"/>
    </row>
    <row r="6621" spans="6:6" x14ac:dyDescent="0.25">
      <c r="F6621"/>
    </row>
    <row r="6622" spans="6:6" x14ac:dyDescent="0.25">
      <c r="F6622"/>
    </row>
    <row r="6623" spans="6:6" x14ac:dyDescent="0.25">
      <c r="F6623"/>
    </row>
    <row r="6624" spans="6:6" x14ac:dyDescent="0.25">
      <c r="F6624"/>
    </row>
    <row r="6625" spans="6:6" x14ac:dyDescent="0.25">
      <c r="F6625"/>
    </row>
    <row r="6626" spans="6:6" x14ac:dyDescent="0.25">
      <c r="F6626"/>
    </row>
    <row r="6627" spans="6:6" x14ac:dyDescent="0.25">
      <c r="F6627"/>
    </row>
    <row r="6628" spans="6:6" x14ac:dyDescent="0.25">
      <c r="F6628"/>
    </row>
    <row r="6629" spans="6:6" x14ac:dyDescent="0.25">
      <c r="F6629"/>
    </row>
    <row r="6630" spans="6:6" x14ac:dyDescent="0.25">
      <c r="F6630"/>
    </row>
    <row r="6631" spans="6:6" x14ac:dyDescent="0.25">
      <c r="F6631"/>
    </row>
    <row r="6632" spans="6:6" x14ac:dyDescent="0.25">
      <c r="F6632"/>
    </row>
    <row r="6633" spans="6:6" x14ac:dyDescent="0.25">
      <c r="F6633"/>
    </row>
    <row r="6634" spans="6:6" x14ac:dyDescent="0.25">
      <c r="F6634"/>
    </row>
    <row r="6635" spans="6:6" x14ac:dyDescent="0.25">
      <c r="F6635"/>
    </row>
    <row r="6636" spans="6:6" x14ac:dyDescent="0.25">
      <c r="F6636"/>
    </row>
    <row r="6637" spans="6:6" x14ac:dyDescent="0.25">
      <c r="F6637"/>
    </row>
    <row r="6638" spans="6:6" x14ac:dyDescent="0.25">
      <c r="F6638"/>
    </row>
    <row r="6639" spans="6:6" x14ac:dyDescent="0.25">
      <c r="F6639"/>
    </row>
    <row r="6640" spans="6:6" x14ac:dyDescent="0.25">
      <c r="F6640"/>
    </row>
    <row r="6641" spans="6:6" x14ac:dyDescent="0.25">
      <c r="F6641"/>
    </row>
    <row r="6642" spans="6:6" x14ac:dyDescent="0.25">
      <c r="F6642"/>
    </row>
    <row r="6643" spans="6:6" x14ac:dyDescent="0.25">
      <c r="F6643"/>
    </row>
    <row r="6644" spans="6:6" x14ac:dyDescent="0.25">
      <c r="F6644"/>
    </row>
    <row r="6645" spans="6:6" x14ac:dyDescent="0.25">
      <c r="F6645"/>
    </row>
    <row r="6646" spans="6:6" x14ac:dyDescent="0.25">
      <c r="F6646"/>
    </row>
    <row r="6647" spans="6:6" x14ac:dyDescent="0.25">
      <c r="F6647"/>
    </row>
    <row r="6648" spans="6:6" x14ac:dyDescent="0.25">
      <c r="F6648"/>
    </row>
    <row r="6649" spans="6:6" x14ac:dyDescent="0.25">
      <c r="F6649"/>
    </row>
    <row r="6650" spans="6:6" x14ac:dyDescent="0.25">
      <c r="F6650"/>
    </row>
    <row r="6651" spans="6:6" x14ac:dyDescent="0.25">
      <c r="F6651"/>
    </row>
    <row r="6652" spans="6:6" x14ac:dyDescent="0.25">
      <c r="F6652"/>
    </row>
    <row r="6653" spans="6:6" x14ac:dyDescent="0.25">
      <c r="F6653"/>
    </row>
    <row r="6654" spans="6:6" x14ac:dyDescent="0.25">
      <c r="F6654"/>
    </row>
    <row r="6655" spans="6:6" x14ac:dyDescent="0.25">
      <c r="F6655"/>
    </row>
    <row r="6656" spans="6:6" x14ac:dyDescent="0.25">
      <c r="F6656"/>
    </row>
    <row r="6657" spans="6:6" x14ac:dyDescent="0.25">
      <c r="F6657"/>
    </row>
    <row r="6658" spans="6:6" x14ac:dyDescent="0.25">
      <c r="F6658"/>
    </row>
    <row r="6659" spans="6:6" x14ac:dyDescent="0.25">
      <c r="F6659"/>
    </row>
    <row r="6660" spans="6:6" x14ac:dyDescent="0.25">
      <c r="F6660"/>
    </row>
    <row r="6661" spans="6:6" x14ac:dyDescent="0.25">
      <c r="F6661"/>
    </row>
    <row r="6662" spans="6:6" x14ac:dyDescent="0.25">
      <c r="F6662"/>
    </row>
    <row r="6663" spans="6:6" x14ac:dyDescent="0.25">
      <c r="F6663"/>
    </row>
    <row r="6664" spans="6:6" x14ac:dyDescent="0.25">
      <c r="F6664"/>
    </row>
    <row r="6665" spans="6:6" x14ac:dyDescent="0.25">
      <c r="F6665"/>
    </row>
    <row r="6666" spans="6:6" x14ac:dyDescent="0.25">
      <c r="F6666"/>
    </row>
    <row r="6667" spans="6:6" x14ac:dyDescent="0.25">
      <c r="F6667"/>
    </row>
    <row r="6668" spans="6:6" x14ac:dyDescent="0.25">
      <c r="F6668"/>
    </row>
    <row r="6669" spans="6:6" x14ac:dyDescent="0.25">
      <c r="F6669"/>
    </row>
    <row r="6670" spans="6:6" x14ac:dyDescent="0.25">
      <c r="F6670"/>
    </row>
    <row r="6671" spans="6:6" x14ac:dyDescent="0.25">
      <c r="F6671"/>
    </row>
    <row r="6672" spans="6:6" x14ac:dyDescent="0.25">
      <c r="F6672"/>
    </row>
    <row r="6673" spans="6:6" x14ac:dyDescent="0.25">
      <c r="F6673"/>
    </row>
    <row r="6674" spans="6:6" x14ac:dyDescent="0.25">
      <c r="F6674"/>
    </row>
    <row r="6675" spans="6:6" x14ac:dyDescent="0.25">
      <c r="F6675"/>
    </row>
    <row r="6676" spans="6:6" x14ac:dyDescent="0.25">
      <c r="F6676"/>
    </row>
    <row r="6677" spans="6:6" x14ac:dyDescent="0.25">
      <c r="F6677"/>
    </row>
    <row r="6678" spans="6:6" x14ac:dyDescent="0.25">
      <c r="F6678"/>
    </row>
    <row r="6679" spans="6:6" x14ac:dyDescent="0.25">
      <c r="F6679"/>
    </row>
    <row r="6680" spans="6:6" x14ac:dyDescent="0.25">
      <c r="F6680"/>
    </row>
    <row r="6681" spans="6:6" x14ac:dyDescent="0.25">
      <c r="F6681"/>
    </row>
    <row r="6682" spans="6:6" x14ac:dyDescent="0.25">
      <c r="F6682"/>
    </row>
    <row r="6683" spans="6:6" x14ac:dyDescent="0.25">
      <c r="F6683"/>
    </row>
    <row r="6684" spans="6:6" x14ac:dyDescent="0.25">
      <c r="F6684"/>
    </row>
    <row r="6685" spans="6:6" x14ac:dyDescent="0.25">
      <c r="F6685"/>
    </row>
    <row r="6686" spans="6:6" x14ac:dyDescent="0.25">
      <c r="F6686"/>
    </row>
    <row r="6687" spans="6:6" x14ac:dyDescent="0.25">
      <c r="F6687"/>
    </row>
    <row r="6688" spans="6:6" x14ac:dyDescent="0.25">
      <c r="F6688"/>
    </row>
    <row r="6689" spans="6:6" x14ac:dyDescent="0.25">
      <c r="F6689"/>
    </row>
    <row r="6690" spans="6:6" x14ac:dyDescent="0.25">
      <c r="F6690"/>
    </row>
    <row r="6691" spans="6:6" x14ac:dyDescent="0.25">
      <c r="F6691"/>
    </row>
    <row r="6692" spans="6:6" x14ac:dyDescent="0.25">
      <c r="F6692"/>
    </row>
    <row r="6693" spans="6:6" x14ac:dyDescent="0.25">
      <c r="F6693"/>
    </row>
    <row r="6694" spans="6:6" x14ac:dyDescent="0.25">
      <c r="F6694"/>
    </row>
    <row r="6695" spans="6:6" x14ac:dyDescent="0.25">
      <c r="F6695"/>
    </row>
    <row r="6696" spans="6:6" x14ac:dyDescent="0.25">
      <c r="F6696"/>
    </row>
    <row r="6697" spans="6:6" x14ac:dyDescent="0.25">
      <c r="F6697"/>
    </row>
    <row r="6698" spans="6:6" x14ac:dyDescent="0.25">
      <c r="F6698"/>
    </row>
    <row r="6699" spans="6:6" x14ac:dyDescent="0.25">
      <c r="F6699"/>
    </row>
    <row r="6700" spans="6:6" x14ac:dyDescent="0.25">
      <c r="F6700"/>
    </row>
    <row r="6701" spans="6:6" x14ac:dyDescent="0.25">
      <c r="F6701"/>
    </row>
    <row r="6702" spans="6:6" x14ac:dyDescent="0.25">
      <c r="F6702"/>
    </row>
    <row r="6703" spans="6:6" x14ac:dyDescent="0.25">
      <c r="F6703"/>
    </row>
    <row r="6704" spans="6:6" x14ac:dyDescent="0.25">
      <c r="F6704"/>
    </row>
    <row r="6705" spans="6:6" x14ac:dyDescent="0.25">
      <c r="F6705"/>
    </row>
    <row r="6706" spans="6:6" x14ac:dyDescent="0.25">
      <c r="F6706"/>
    </row>
    <row r="6707" spans="6:6" x14ac:dyDescent="0.25">
      <c r="F6707"/>
    </row>
    <row r="6708" spans="6:6" x14ac:dyDescent="0.25">
      <c r="F6708"/>
    </row>
    <row r="6709" spans="6:6" x14ac:dyDescent="0.25">
      <c r="F6709"/>
    </row>
    <row r="6710" spans="6:6" x14ac:dyDescent="0.25">
      <c r="F6710"/>
    </row>
    <row r="6711" spans="6:6" x14ac:dyDescent="0.25">
      <c r="F6711"/>
    </row>
    <row r="6712" spans="6:6" x14ac:dyDescent="0.25">
      <c r="F6712"/>
    </row>
    <row r="6713" spans="6:6" x14ac:dyDescent="0.25">
      <c r="F6713"/>
    </row>
    <row r="6714" spans="6:6" x14ac:dyDescent="0.25">
      <c r="F6714"/>
    </row>
    <row r="6715" spans="6:6" x14ac:dyDescent="0.25">
      <c r="F6715"/>
    </row>
    <row r="6716" spans="6:6" x14ac:dyDescent="0.25">
      <c r="F6716"/>
    </row>
    <row r="6717" spans="6:6" x14ac:dyDescent="0.25">
      <c r="F6717"/>
    </row>
    <row r="6718" spans="6:6" x14ac:dyDescent="0.25">
      <c r="F6718"/>
    </row>
    <row r="6719" spans="6:6" x14ac:dyDescent="0.25">
      <c r="F6719"/>
    </row>
    <row r="6720" spans="6:6" x14ac:dyDescent="0.25">
      <c r="F6720"/>
    </row>
    <row r="6721" spans="6:6" x14ac:dyDescent="0.25">
      <c r="F6721"/>
    </row>
    <row r="6722" spans="6:6" x14ac:dyDescent="0.25">
      <c r="F6722"/>
    </row>
    <row r="6723" spans="6:6" x14ac:dyDescent="0.25">
      <c r="F6723"/>
    </row>
    <row r="6724" spans="6:6" x14ac:dyDescent="0.25">
      <c r="F6724"/>
    </row>
    <row r="6725" spans="6:6" x14ac:dyDescent="0.25">
      <c r="F6725"/>
    </row>
    <row r="6726" spans="6:6" x14ac:dyDescent="0.25">
      <c r="F6726"/>
    </row>
    <row r="6727" spans="6:6" x14ac:dyDescent="0.25">
      <c r="F6727"/>
    </row>
    <row r="6728" spans="6:6" x14ac:dyDescent="0.25">
      <c r="F6728"/>
    </row>
    <row r="6729" spans="6:6" x14ac:dyDescent="0.25">
      <c r="F6729"/>
    </row>
    <row r="6730" spans="6:6" x14ac:dyDescent="0.25">
      <c r="F6730"/>
    </row>
    <row r="6731" spans="6:6" x14ac:dyDescent="0.25">
      <c r="F6731"/>
    </row>
    <row r="6732" spans="6:6" x14ac:dyDescent="0.25">
      <c r="F6732"/>
    </row>
    <row r="6733" spans="6:6" x14ac:dyDescent="0.25">
      <c r="F6733"/>
    </row>
    <row r="6734" spans="6:6" x14ac:dyDescent="0.25">
      <c r="F6734"/>
    </row>
    <row r="6735" spans="6:6" x14ac:dyDescent="0.25">
      <c r="F6735"/>
    </row>
    <row r="6736" spans="6:6" x14ac:dyDescent="0.25">
      <c r="F6736"/>
    </row>
    <row r="6737" spans="6:6" x14ac:dyDescent="0.25">
      <c r="F6737"/>
    </row>
    <row r="6738" spans="6:6" x14ac:dyDescent="0.25">
      <c r="F6738"/>
    </row>
    <row r="6739" spans="6:6" x14ac:dyDescent="0.25">
      <c r="F6739"/>
    </row>
    <row r="6740" spans="6:6" x14ac:dyDescent="0.25">
      <c r="F6740"/>
    </row>
    <row r="6741" spans="6:6" x14ac:dyDescent="0.25">
      <c r="F6741"/>
    </row>
    <row r="6742" spans="6:6" x14ac:dyDescent="0.25">
      <c r="F6742"/>
    </row>
    <row r="6743" spans="6:6" x14ac:dyDescent="0.25">
      <c r="F6743"/>
    </row>
    <row r="6744" spans="6:6" x14ac:dyDescent="0.25">
      <c r="F6744"/>
    </row>
    <row r="6745" spans="6:6" x14ac:dyDescent="0.25">
      <c r="F6745"/>
    </row>
    <row r="6746" spans="6:6" x14ac:dyDescent="0.25">
      <c r="F6746"/>
    </row>
    <row r="6747" spans="6:6" x14ac:dyDescent="0.25">
      <c r="F6747"/>
    </row>
    <row r="6748" spans="6:6" x14ac:dyDescent="0.25">
      <c r="F6748"/>
    </row>
    <row r="6749" spans="6:6" x14ac:dyDescent="0.25">
      <c r="F6749"/>
    </row>
    <row r="6750" spans="6:6" x14ac:dyDescent="0.25">
      <c r="F6750"/>
    </row>
    <row r="6751" spans="6:6" x14ac:dyDescent="0.25">
      <c r="F6751"/>
    </row>
    <row r="6752" spans="6:6" x14ac:dyDescent="0.25">
      <c r="F6752"/>
    </row>
    <row r="6753" spans="6:6" x14ac:dyDescent="0.25">
      <c r="F6753"/>
    </row>
    <row r="6754" spans="6:6" x14ac:dyDescent="0.25">
      <c r="F6754"/>
    </row>
    <row r="6755" spans="6:6" x14ac:dyDescent="0.25">
      <c r="F6755"/>
    </row>
    <row r="6756" spans="6:6" x14ac:dyDescent="0.25">
      <c r="F6756"/>
    </row>
    <row r="6757" spans="6:6" x14ac:dyDescent="0.25">
      <c r="F6757"/>
    </row>
    <row r="6758" spans="6:6" x14ac:dyDescent="0.25">
      <c r="F6758"/>
    </row>
    <row r="6759" spans="6:6" x14ac:dyDescent="0.25">
      <c r="F6759"/>
    </row>
    <row r="6760" spans="6:6" x14ac:dyDescent="0.25">
      <c r="F6760"/>
    </row>
    <row r="6761" spans="6:6" x14ac:dyDescent="0.25">
      <c r="F6761"/>
    </row>
    <row r="6762" spans="6:6" x14ac:dyDescent="0.25">
      <c r="F6762"/>
    </row>
    <row r="6763" spans="6:6" x14ac:dyDescent="0.25">
      <c r="F6763"/>
    </row>
    <row r="6764" spans="6:6" x14ac:dyDescent="0.25">
      <c r="F6764"/>
    </row>
    <row r="6765" spans="6:6" x14ac:dyDescent="0.25">
      <c r="F6765"/>
    </row>
    <row r="6766" spans="6:6" x14ac:dyDescent="0.25">
      <c r="F6766"/>
    </row>
    <row r="6767" spans="6:6" x14ac:dyDescent="0.25">
      <c r="F6767"/>
    </row>
    <row r="6768" spans="6:6" x14ac:dyDescent="0.25">
      <c r="F6768"/>
    </row>
    <row r="6769" spans="6:6" x14ac:dyDescent="0.25">
      <c r="F6769"/>
    </row>
    <row r="6770" spans="6:6" x14ac:dyDescent="0.25">
      <c r="F6770"/>
    </row>
    <row r="6771" spans="6:6" x14ac:dyDescent="0.25">
      <c r="F6771"/>
    </row>
    <row r="6772" spans="6:6" x14ac:dyDescent="0.25">
      <c r="F6772"/>
    </row>
    <row r="6773" spans="6:6" x14ac:dyDescent="0.25">
      <c r="F6773"/>
    </row>
    <row r="6774" spans="6:6" x14ac:dyDescent="0.25">
      <c r="F6774"/>
    </row>
    <row r="6775" spans="6:6" x14ac:dyDescent="0.25">
      <c r="F6775"/>
    </row>
    <row r="6776" spans="6:6" x14ac:dyDescent="0.25">
      <c r="F6776"/>
    </row>
    <row r="6777" spans="6:6" x14ac:dyDescent="0.25">
      <c r="F6777"/>
    </row>
    <row r="6778" spans="6:6" x14ac:dyDescent="0.25">
      <c r="F6778"/>
    </row>
    <row r="6779" spans="6:6" x14ac:dyDescent="0.25">
      <c r="F6779"/>
    </row>
    <row r="6780" spans="6:6" x14ac:dyDescent="0.25">
      <c r="F6780"/>
    </row>
    <row r="6781" spans="6:6" x14ac:dyDescent="0.25">
      <c r="F6781"/>
    </row>
    <row r="6782" spans="6:6" x14ac:dyDescent="0.25">
      <c r="F6782"/>
    </row>
    <row r="6783" spans="6:6" x14ac:dyDescent="0.25">
      <c r="F6783"/>
    </row>
    <row r="6784" spans="6:6" x14ac:dyDescent="0.25">
      <c r="F6784"/>
    </row>
    <row r="6785" spans="6:6" x14ac:dyDescent="0.25">
      <c r="F6785"/>
    </row>
    <row r="6786" spans="6:6" x14ac:dyDescent="0.25">
      <c r="F6786"/>
    </row>
    <row r="6787" spans="6:6" x14ac:dyDescent="0.25">
      <c r="F6787"/>
    </row>
    <row r="6788" spans="6:6" x14ac:dyDescent="0.25">
      <c r="F6788"/>
    </row>
    <row r="6789" spans="6:6" x14ac:dyDescent="0.25">
      <c r="F6789"/>
    </row>
    <row r="6790" spans="6:6" x14ac:dyDescent="0.25">
      <c r="F6790"/>
    </row>
    <row r="6791" spans="6:6" x14ac:dyDescent="0.25">
      <c r="F6791"/>
    </row>
    <row r="6792" spans="6:6" x14ac:dyDescent="0.25">
      <c r="F6792"/>
    </row>
    <row r="6793" spans="6:6" x14ac:dyDescent="0.25">
      <c r="F6793"/>
    </row>
    <row r="6794" spans="6:6" x14ac:dyDescent="0.25">
      <c r="F6794"/>
    </row>
    <row r="6795" spans="6:6" x14ac:dyDescent="0.25">
      <c r="F6795"/>
    </row>
    <row r="6796" spans="6:6" x14ac:dyDescent="0.25">
      <c r="F6796"/>
    </row>
    <row r="6797" spans="6:6" x14ac:dyDescent="0.25">
      <c r="F6797"/>
    </row>
    <row r="6798" spans="6:6" x14ac:dyDescent="0.25">
      <c r="F6798"/>
    </row>
    <row r="6799" spans="6:6" x14ac:dyDescent="0.25">
      <c r="F6799"/>
    </row>
    <row r="6800" spans="6:6" x14ac:dyDescent="0.25">
      <c r="F6800"/>
    </row>
    <row r="6801" spans="6:6" x14ac:dyDescent="0.25">
      <c r="F6801"/>
    </row>
    <row r="6802" spans="6:6" x14ac:dyDescent="0.25">
      <c r="F6802"/>
    </row>
    <row r="6803" spans="6:6" x14ac:dyDescent="0.25">
      <c r="F6803"/>
    </row>
    <row r="6804" spans="6:6" x14ac:dyDescent="0.25">
      <c r="F6804"/>
    </row>
    <row r="6805" spans="6:6" x14ac:dyDescent="0.25">
      <c r="F6805"/>
    </row>
    <row r="6806" spans="6:6" x14ac:dyDescent="0.25">
      <c r="F6806"/>
    </row>
    <row r="6807" spans="6:6" x14ac:dyDescent="0.25">
      <c r="F6807"/>
    </row>
    <row r="6808" spans="6:6" x14ac:dyDescent="0.25">
      <c r="F6808"/>
    </row>
    <row r="6809" spans="6:6" x14ac:dyDescent="0.25">
      <c r="F6809"/>
    </row>
    <row r="6810" spans="6:6" x14ac:dyDescent="0.25">
      <c r="F6810"/>
    </row>
    <row r="6811" spans="6:6" x14ac:dyDescent="0.25">
      <c r="F6811"/>
    </row>
    <row r="6812" spans="6:6" x14ac:dyDescent="0.25">
      <c r="F6812"/>
    </row>
    <row r="6813" spans="6:6" x14ac:dyDescent="0.25">
      <c r="F6813"/>
    </row>
    <row r="6814" spans="6:6" x14ac:dyDescent="0.25">
      <c r="F6814"/>
    </row>
    <row r="6815" spans="6:6" x14ac:dyDescent="0.25">
      <c r="F6815"/>
    </row>
    <row r="6816" spans="6:6" x14ac:dyDescent="0.25">
      <c r="F6816"/>
    </row>
    <row r="6817" spans="6:6" x14ac:dyDescent="0.25">
      <c r="F6817"/>
    </row>
    <row r="6818" spans="6:6" x14ac:dyDescent="0.25">
      <c r="F6818"/>
    </row>
    <row r="6819" spans="6:6" x14ac:dyDescent="0.25">
      <c r="F6819"/>
    </row>
    <row r="6820" spans="6:6" x14ac:dyDescent="0.25">
      <c r="F6820"/>
    </row>
    <row r="6821" spans="6:6" x14ac:dyDescent="0.25">
      <c r="F6821"/>
    </row>
    <row r="6822" spans="6:6" x14ac:dyDescent="0.25">
      <c r="F6822"/>
    </row>
    <row r="6823" spans="6:6" x14ac:dyDescent="0.25">
      <c r="F6823"/>
    </row>
    <row r="6824" spans="6:6" x14ac:dyDescent="0.25">
      <c r="F6824"/>
    </row>
    <row r="6825" spans="6:6" x14ac:dyDescent="0.25">
      <c r="F6825"/>
    </row>
    <row r="6826" spans="6:6" x14ac:dyDescent="0.25">
      <c r="F6826"/>
    </row>
    <row r="6827" spans="6:6" x14ac:dyDescent="0.25">
      <c r="F6827"/>
    </row>
    <row r="6828" spans="6:6" x14ac:dyDescent="0.25">
      <c r="F6828"/>
    </row>
    <row r="6829" spans="6:6" x14ac:dyDescent="0.25">
      <c r="F6829"/>
    </row>
    <row r="6830" spans="6:6" x14ac:dyDescent="0.25">
      <c r="F6830"/>
    </row>
    <row r="6831" spans="6:6" x14ac:dyDescent="0.25">
      <c r="F6831"/>
    </row>
    <row r="6832" spans="6:6" x14ac:dyDescent="0.25">
      <c r="F6832"/>
    </row>
    <row r="6833" spans="6:6" x14ac:dyDescent="0.25">
      <c r="F6833"/>
    </row>
    <row r="6834" spans="6:6" x14ac:dyDescent="0.25">
      <c r="F6834"/>
    </row>
    <row r="6835" spans="6:6" x14ac:dyDescent="0.25">
      <c r="F6835"/>
    </row>
    <row r="6836" spans="6:6" x14ac:dyDescent="0.25">
      <c r="F6836"/>
    </row>
    <row r="6837" spans="6:6" x14ac:dyDescent="0.25">
      <c r="F6837"/>
    </row>
    <row r="6838" spans="6:6" x14ac:dyDescent="0.25">
      <c r="F6838"/>
    </row>
    <row r="6839" spans="6:6" x14ac:dyDescent="0.25">
      <c r="F6839"/>
    </row>
    <row r="6840" spans="6:6" x14ac:dyDescent="0.25">
      <c r="F6840"/>
    </row>
    <row r="6841" spans="6:6" x14ac:dyDescent="0.25">
      <c r="F6841"/>
    </row>
    <row r="6842" spans="6:6" x14ac:dyDescent="0.25">
      <c r="F6842"/>
    </row>
    <row r="6843" spans="6:6" x14ac:dyDescent="0.25">
      <c r="F6843"/>
    </row>
    <row r="6844" spans="6:6" x14ac:dyDescent="0.25">
      <c r="F6844"/>
    </row>
    <row r="6845" spans="6:6" x14ac:dyDescent="0.25">
      <c r="F6845"/>
    </row>
    <row r="6846" spans="6:6" x14ac:dyDescent="0.25">
      <c r="F6846"/>
    </row>
    <row r="6847" spans="6:6" x14ac:dyDescent="0.25">
      <c r="F6847"/>
    </row>
    <row r="6848" spans="6:6" x14ac:dyDescent="0.25">
      <c r="F6848"/>
    </row>
    <row r="6849" spans="6:6" x14ac:dyDescent="0.25">
      <c r="F6849"/>
    </row>
    <row r="6850" spans="6:6" x14ac:dyDescent="0.25">
      <c r="F6850"/>
    </row>
    <row r="6851" spans="6:6" x14ac:dyDescent="0.25">
      <c r="F6851"/>
    </row>
    <row r="6852" spans="6:6" x14ac:dyDescent="0.25">
      <c r="F6852"/>
    </row>
    <row r="6853" spans="6:6" x14ac:dyDescent="0.25">
      <c r="F6853"/>
    </row>
    <row r="6854" spans="6:6" x14ac:dyDescent="0.25">
      <c r="F6854"/>
    </row>
    <row r="6855" spans="6:6" x14ac:dyDescent="0.25">
      <c r="F6855"/>
    </row>
    <row r="6856" spans="6:6" x14ac:dyDescent="0.25">
      <c r="F6856"/>
    </row>
    <row r="6857" spans="6:6" x14ac:dyDescent="0.25">
      <c r="F6857"/>
    </row>
    <row r="6858" spans="6:6" x14ac:dyDescent="0.25">
      <c r="F6858"/>
    </row>
    <row r="6859" spans="6:6" x14ac:dyDescent="0.25">
      <c r="F6859"/>
    </row>
    <row r="6860" spans="6:6" x14ac:dyDescent="0.25">
      <c r="F6860"/>
    </row>
    <row r="6861" spans="6:6" x14ac:dyDescent="0.25">
      <c r="F6861"/>
    </row>
    <row r="6862" spans="6:6" x14ac:dyDescent="0.25">
      <c r="F6862"/>
    </row>
    <row r="6863" spans="6:6" x14ac:dyDescent="0.25">
      <c r="F6863"/>
    </row>
    <row r="6864" spans="6:6" x14ac:dyDescent="0.25">
      <c r="F6864"/>
    </row>
    <row r="6865" spans="6:6" x14ac:dyDescent="0.25">
      <c r="F6865"/>
    </row>
    <row r="6866" spans="6:6" x14ac:dyDescent="0.25">
      <c r="F6866"/>
    </row>
    <row r="6867" spans="6:6" x14ac:dyDescent="0.25">
      <c r="F6867"/>
    </row>
    <row r="6868" spans="6:6" x14ac:dyDescent="0.25">
      <c r="F6868"/>
    </row>
    <row r="6869" spans="6:6" x14ac:dyDescent="0.25">
      <c r="F6869"/>
    </row>
    <row r="6870" spans="6:6" x14ac:dyDescent="0.25">
      <c r="F6870"/>
    </row>
    <row r="6871" spans="6:6" x14ac:dyDescent="0.25">
      <c r="F6871"/>
    </row>
    <row r="6872" spans="6:6" x14ac:dyDescent="0.25">
      <c r="F6872"/>
    </row>
    <row r="6873" spans="6:6" x14ac:dyDescent="0.25">
      <c r="F6873"/>
    </row>
    <row r="6874" spans="6:6" x14ac:dyDescent="0.25">
      <c r="F6874"/>
    </row>
    <row r="6875" spans="6:6" x14ac:dyDescent="0.25">
      <c r="F6875"/>
    </row>
    <row r="6876" spans="6:6" x14ac:dyDescent="0.25">
      <c r="F6876"/>
    </row>
    <row r="6877" spans="6:6" x14ac:dyDescent="0.25">
      <c r="F6877"/>
    </row>
    <row r="6878" spans="6:6" x14ac:dyDescent="0.25">
      <c r="F6878"/>
    </row>
    <row r="6879" spans="6:6" x14ac:dyDescent="0.25">
      <c r="F6879"/>
    </row>
    <row r="6880" spans="6:6" x14ac:dyDescent="0.25">
      <c r="F6880"/>
    </row>
    <row r="6881" spans="6:6" x14ac:dyDescent="0.25">
      <c r="F6881"/>
    </row>
    <row r="6882" spans="6:6" x14ac:dyDescent="0.25">
      <c r="F6882"/>
    </row>
    <row r="6883" spans="6:6" x14ac:dyDescent="0.25">
      <c r="F6883"/>
    </row>
    <row r="6884" spans="6:6" x14ac:dyDescent="0.25">
      <c r="F6884"/>
    </row>
    <row r="6885" spans="6:6" x14ac:dyDescent="0.25">
      <c r="F6885"/>
    </row>
    <row r="6886" spans="6:6" x14ac:dyDescent="0.25">
      <c r="F6886"/>
    </row>
    <row r="6887" spans="6:6" x14ac:dyDescent="0.25">
      <c r="F6887"/>
    </row>
    <row r="6888" spans="6:6" x14ac:dyDescent="0.25">
      <c r="F6888"/>
    </row>
    <row r="6889" spans="6:6" x14ac:dyDescent="0.25">
      <c r="F6889"/>
    </row>
    <row r="6890" spans="6:6" x14ac:dyDescent="0.25">
      <c r="F6890"/>
    </row>
    <row r="6891" spans="6:6" x14ac:dyDescent="0.25">
      <c r="F6891"/>
    </row>
    <row r="6892" spans="6:6" x14ac:dyDescent="0.25">
      <c r="F6892"/>
    </row>
    <row r="6893" spans="6:6" x14ac:dyDescent="0.25">
      <c r="F6893"/>
    </row>
    <row r="6894" spans="6:6" x14ac:dyDescent="0.25">
      <c r="F6894"/>
    </row>
    <row r="6895" spans="6:6" x14ac:dyDescent="0.25">
      <c r="F6895"/>
    </row>
    <row r="6896" spans="6:6" x14ac:dyDescent="0.25">
      <c r="F6896"/>
    </row>
    <row r="6897" spans="6:6" x14ac:dyDescent="0.25">
      <c r="F6897"/>
    </row>
    <row r="6898" spans="6:6" x14ac:dyDescent="0.25">
      <c r="F6898"/>
    </row>
    <row r="6899" spans="6:6" x14ac:dyDescent="0.25">
      <c r="F6899"/>
    </row>
    <row r="6900" spans="6:6" x14ac:dyDescent="0.25">
      <c r="F6900"/>
    </row>
    <row r="6901" spans="6:6" x14ac:dyDescent="0.25">
      <c r="F6901"/>
    </row>
    <row r="6902" spans="6:6" x14ac:dyDescent="0.25">
      <c r="F6902"/>
    </row>
    <row r="6903" spans="6:6" x14ac:dyDescent="0.25">
      <c r="F6903"/>
    </row>
    <row r="6904" spans="6:6" x14ac:dyDescent="0.25">
      <c r="F6904"/>
    </row>
    <row r="6905" spans="6:6" x14ac:dyDescent="0.25">
      <c r="F6905"/>
    </row>
    <row r="6906" spans="6:6" x14ac:dyDescent="0.25">
      <c r="F6906"/>
    </row>
    <row r="6907" spans="6:6" x14ac:dyDescent="0.25">
      <c r="F6907"/>
    </row>
    <row r="6908" spans="6:6" x14ac:dyDescent="0.25">
      <c r="F6908"/>
    </row>
    <row r="6909" spans="6:6" x14ac:dyDescent="0.25">
      <c r="F6909"/>
    </row>
    <row r="6910" spans="6:6" x14ac:dyDescent="0.25">
      <c r="F6910"/>
    </row>
    <row r="6911" spans="6:6" x14ac:dyDescent="0.25">
      <c r="F6911"/>
    </row>
    <row r="6912" spans="6:6" x14ac:dyDescent="0.25">
      <c r="F6912"/>
    </row>
    <row r="6913" spans="6:6" x14ac:dyDescent="0.25">
      <c r="F6913"/>
    </row>
    <row r="6914" spans="6:6" x14ac:dyDescent="0.25">
      <c r="F6914"/>
    </row>
    <row r="6915" spans="6:6" x14ac:dyDescent="0.25">
      <c r="F6915"/>
    </row>
    <row r="6916" spans="6:6" x14ac:dyDescent="0.25">
      <c r="F6916"/>
    </row>
    <row r="6917" spans="6:6" x14ac:dyDescent="0.25">
      <c r="F6917"/>
    </row>
    <row r="6918" spans="6:6" x14ac:dyDescent="0.25">
      <c r="F6918"/>
    </row>
    <row r="6919" spans="6:6" x14ac:dyDescent="0.25">
      <c r="F6919"/>
    </row>
    <row r="6920" spans="6:6" x14ac:dyDescent="0.25">
      <c r="F6920"/>
    </row>
    <row r="6921" spans="6:6" x14ac:dyDescent="0.25">
      <c r="F6921"/>
    </row>
    <row r="6922" spans="6:6" x14ac:dyDescent="0.25">
      <c r="F6922"/>
    </row>
    <row r="6923" spans="6:6" x14ac:dyDescent="0.25">
      <c r="F6923"/>
    </row>
    <row r="6924" spans="6:6" x14ac:dyDescent="0.25">
      <c r="F6924"/>
    </row>
    <row r="6925" spans="6:6" x14ac:dyDescent="0.25">
      <c r="F6925"/>
    </row>
    <row r="6926" spans="6:6" x14ac:dyDescent="0.25">
      <c r="F6926"/>
    </row>
    <row r="6927" spans="6:6" x14ac:dyDescent="0.25">
      <c r="F6927"/>
    </row>
    <row r="6928" spans="6:6" x14ac:dyDescent="0.25">
      <c r="F6928"/>
    </row>
    <row r="6929" spans="6:6" x14ac:dyDescent="0.25">
      <c r="F6929"/>
    </row>
    <row r="6930" spans="6:6" x14ac:dyDescent="0.25">
      <c r="F6930"/>
    </row>
    <row r="6931" spans="6:6" x14ac:dyDescent="0.25">
      <c r="F6931"/>
    </row>
    <row r="6932" spans="6:6" x14ac:dyDescent="0.25">
      <c r="F6932"/>
    </row>
    <row r="6933" spans="6:6" x14ac:dyDescent="0.25">
      <c r="F6933"/>
    </row>
    <row r="6934" spans="6:6" x14ac:dyDescent="0.25">
      <c r="F6934"/>
    </row>
    <row r="6935" spans="6:6" x14ac:dyDescent="0.25">
      <c r="F6935"/>
    </row>
    <row r="6936" spans="6:6" x14ac:dyDescent="0.25">
      <c r="F6936"/>
    </row>
    <row r="6937" spans="6:6" x14ac:dyDescent="0.25">
      <c r="F6937"/>
    </row>
    <row r="6938" spans="6:6" x14ac:dyDescent="0.25">
      <c r="F6938"/>
    </row>
    <row r="6939" spans="6:6" x14ac:dyDescent="0.25">
      <c r="F6939"/>
    </row>
    <row r="6940" spans="6:6" x14ac:dyDescent="0.25">
      <c r="F6940"/>
    </row>
    <row r="6941" spans="6:6" x14ac:dyDescent="0.25">
      <c r="F6941"/>
    </row>
    <row r="6942" spans="6:6" x14ac:dyDescent="0.25">
      <c r="F6942"/>
    </row>
    <row r="6943" spans="6:6" x14ac:dyDescent="0.25">
      <c r="F6943"/>
    </row>
    <row r="6944" spans="6:6" x14ac:dyDescent="0.25">
      <c r="F6944"/>
    </row>
    <row r="6945" spans="6:6" x14ac:dyDescent="0.25">
      <c r="F6945"/>
    </row>
    <row r="6946" spans="6:6" x14ac:dyDescent="0.25">
      <c r="F6946"/>
    </row>
    <row r="6947" spans="6:6" x14ac:dyDescent="0.25">
      <c r="F6947"/>
    </row>
    <row r="6948" spans="6:6" x14ac:dyDescent="0.25">
      <c r="F6948"/>
    </row>
    <row r="6949" spans="6:6" x14ac:dyDescent="0.25">
      <c r="F6949"/>
    </row>
    <row r="6950" spans="6:6" x14ac:dyDescent="0.25">
      <c r="F6950"/>
    </row>
    <row r="6951" spans="6:6" x14ac:dyDescent="0.25">
      <c r="F6951"/>
    </row>
    <row r="6952" spans="6:6" x14ac:dyDescent="0.25">
      <c r="F6952"/>
    </row>
    <row r="6953" spans="6:6" x14ac:dyDescent="0.25">
      <c r="F6953"/>
    </row>
    <row r="6954" spans="6:6" x14ac:dyDescent="0.25">
      <c r="F6954"/>
    </row>
    <row r="6955" spans="6:6" x14ac:dyDescent="0.25">
      <c r="F6955"/>
    </row>
    <row r="6956" spans="6:6" x14ac:dyDescent="0.25">
      <c r="F6956"/>
    </row>
    <row r="6957" spans="6:6" x14ac:dyDescent="0.25">
      <c r="F6957"/>
    </row>
    <row r="6958" spans="6:6" x14ac:dyDescent="0.25">
      <c r="F6958"/>
    </row>
    <row r="6959" spans="6:6" x14ac:dyDescent="0.25">
      <c r="F6959"/>
    </row>
    <row r="6960" spans="6:6" x14ac:dyDescent="0.25">
      <c r="F6960"/>
    </row>
    <row r="6961" spans="6:6" x14ac:dyDescent="0.25">
      <c r="F6961"/>
    </row>
    <row r="6962" spans="6:6" x14ac:dyDescent="0.25">
      <c r="F6962"/>
    </row>
    <row r="6963" spans="6:6" x14ac:dyDescent="0.25">
      <c r="F6963"/>
    </row>
    <row r="6964" spans="6:6" x14ac:dyDescent="0.25">
      <c r="F6964"/>
    </row>
    <row r="6965" spans="6:6" x14ac:dyDescent="0.25">
      <c r="F6965"/>
    </row>
    <row r="6966" spans="6:6" x14ac:dyDescent="0.25">
      <c r="F6966"/>
    </row>
    <row r="6967" spans="6:6" x14ac:dyDescent="0.25">
      <c r="F6967"/>
    </row>
    <row r="6968" spans="6:6" x14ac:dyDescent="0.25">
      <c r="F6968"/>
    </row>
    <row r="6969" spans="6:6" x14ac:dyDescent="0.25">
      <c r="F6969"/>
    </row>
    <row r="6970" spans="6:6" x14ac:dyDescent="0.25">
      <c r="F6970"/>
    </row>
    <row r="6971" spans="6:6" x14ac:dyDescent="0.25">
      <c r="F6971"/>
    </row>
    <row r="6972" spans="6:6" x14ac:dyDescent="0.25">
      <c r="F6972"/>
    </row>
    <row r="6973" spans="6:6" x14ac:dyDescent="0.25">
      <c r="F6973"/>
    </row>
    <row r="6974" spans="6:6" x14ac:dyDescent="0.25">
      <c r="F6974"/>
    </row>
    <row r="6975" spans="6:6" x14ac:dyDescent="0.25">
      <c r="F6975"/>
    </row>
    <row r="6976" spans="6:6" x14ac:dyDescent="0.25">
      <c r="F6976"/>
    </row>
    <row r="6977" spans="6:6" x14ac:dyDescent="0.25">
      <c r="F6977"/>
    </row>
    <row r="6978" spans="6:6" x14ac:dyDescent="0.25">
      <c r="F6978"/>
    </row>
    <row r="6979" spans="6:6" x14ac:dyDescent="0.25">
      <c r="F6979"/>
    </row>
    <row r="6980" spans="6:6" x14ac:dyDescent="0.25">
      <c r="F6980"/>
    </row>
    <row r="6981" spans="6:6" x14ac:dyDescent="0.25">
      <c r="F6981"/>
    </row>
    <row r="6982" spans="6:6" x14ac:dyDescent="0.25">
      <c r="F6982"/>
    </row>
    <row r="6983" spans="6:6" x14ac:dyDescent="0.25">
      <c r="F6983"/>
    </row>
    <row r="6984" spans="6:6" x14ac:dyDescent="0.25">
      <c r="F6984"/>
    </row>
    <row r="6985" spans="6:6" x14ac:dyDescent="0.25">
      <c r="F6985"/>
    </row>
    <row r="6986" spans="6:6" x14ac:dyDescent="0.25">
      <c r="F6986"/>
    </row>
    <row r="6987" spans="6:6" x14ac:dyDescent="0.25">
      <c r="F6987"/>
    </row>
    <row r="6988" spans="6:6" x14ac:dyDescent="0.25">
      <c r="F6988"/>
    </row>
    <row r="6989" spans="6:6" x14ac:dyDescent="0.25">
      <c r="F6989"/>
    </row>
    <row r="6990" spans="6:6" x14ac:dyDescent="0.25">
      <c r="F6990"/>
    </row>
    <row r="6991" spans="6:6" x14ac:dyDescent="0.25">
      <c r="F6991"/>
    </row>
    <row r="6992" spans="6:6" x14ac:dyDescent="0.25">
      <c r="F6992"/>
    </row>
    <row r="6993" spans="6:6" x14ac:dyDescent="0.25">
      <c r="F6993"/>
    </row>
    <row r="6994" spans="6:6" x14ac:dyDescent="0.25">
      <c r="F6994"/>
    </row>
    <row r="6995" spans="6:6" x14ac:dyDescent="0.25">
      <c r="F6995"/>
    </row>
    <row r="6996" spans="6:6" x14ac:dyDescent="0.25">
      <c r="F6996"/>
    </row>
    <row r="6997" spans="6:6" x14ac:dyDescent="0.25">
      <c r="F6997"/>
    </row>
    <row r="6998" spans="6:6" x14ac:dyDescent="0.25">
      <c r="F6998"/>
    </row>
    <row r="6999" spans="6:6" x14ac:dyDescent="0.25">
      <c r="F6999"/>
    </row>
    <row r="7000" spans="6:6" x14ac:dyDescent="0.25">
      <c r="F7000"/>
    </row>
    <row r="7001" spans="6:6" x14ac:dyDescent="0.25">
      <c r="F7001"/>
    </row>
    <row r="7002" spans="6:6" x14ac:dyDescent="0.25">
      <c r="F7002"/>
    </row>
    <row r="7003" spans="6:6" x14ac:dyDescent="0.25">
      <c r="F7003"/>
    </row>
    <row r="7004" spans="6:6" x14ac:dyDescent="0.25">
      <c r="F7004"/>
    </row>
    <row r="7005" spans="6:6" x14ac:dyDescent="0.25">
      <c r="F7005"/>
    </row>
    <row r="7006" spans="6:6" x14ac:dyDescent="0.25">
      <c r="F7006"/>
    </row>
    <row r="7007" spans="6:6" x14ac:dyDescent="0.25">
      <c r="F7007"/>
    </row>
    <row r="7008" spans="6:6" x14ac:dyDescent="0.25">
      <c r="F7008"/>
    </row>
    <row r="7009" spans="6:6" x14ac:dyDescent="0.25">
      <c r="F7009"/>
    </row>
    <row r="7010" spans="6:6" x14ac:dyDescent="0.25">
      <c r="F7010"/>
    </row>
    <row r="7011" spans="6:6" x14ac:dyDescent="0.25">
      <c r="F7011"/>
    </row>
    <row r="7012" spans="6:6" x14ac:dyDescent="0.25">
      <c r="F7012"/>
    </row>
    <row r="7013" spans="6:6" x14ac:dyDescent="0.25">
      <c r="F7013"/>
    </row>
    <row r="7014" spans="6:6" x14ac:dyDescent="0.25">
      <c r="F7014"/>
    </row>
    <row r="7015" spans="6:6" x14ac:dyDescent="0.25">
      <c r="F7015"/>
    </row>
    <row r="7016" spans="6:6" x14ac:dyDescent="0.25">
      <c r="F7016"/>
    </row>
    <row r="7017" spans="6:6" x14ac:dyDescent="0.25">
      <c r="F7017"/>
    </row>
    <row r="7018" spans="6:6" x14ac:dyDescent="0.25">
      <c r="F7018"/>
    </row>
    <row r="7019" spans="6:6" x14ac:dyDescent="0.25">
      <c r="F7019"/>
    </row>
    <row r="7020" spans="6:6" x14ac:dyDescent="0.25">
      <c r="F7020"/>
    </row>
    <row r="7021" spans="6:6" x14ac:dyDescent="0.25">
      <c r="F7021"/>
    </row>
    <row r="7022" spans="6:6" x14ac:dyDescent="0.25">
      <c r="F7022"/>
    </row>
    <row r="7023" spans="6:6" x14ac:dyDescent="0.25">
      <c r="F7023"/>
    </row>
    <row r="7024" spans="6:6" x14ac:dyDescent="0.25">
      <c r="F7024"/>
    </row>
    <row r="7025" spans="6:6" x14ac:dyDescent="0.25">
      <c r="F7025"/>
    </row>
    <row r="7026" spans="6:6" x14ac:dyDescent="0.25">
      <c r="F7026"/>
    </row>
    <row r="7027" spans="6:6" x14ac:dyDescent="0.25">
      <c r="F7027"/>
    </row>
    <row r="7028" spans="6:6" x14ac:dyDescent="0.25">
      <c r="F7028"/>
    </row>
    <row r="7029" spans="6:6" x14ac:dyDescent="0.25">
      <c r="F7029"/>
    </row>
    <row r="7030" spans="6:6" x14ac:dyDescent="0.25">
      <c r="F7030"/>
    </row>
    <row r="7031" spans="6:6" x14ac:dyDescent="0.25">
      <c r="F7031"/>
    </row>
    <row r="7032" spans="6:6" x14ac:dyDescent="0.25">
      <c r="F7032"/>
    </row>
    <row r="7033" spans="6:6" x14ac:dyDescent="0.25">
      <c r="F7033"/>
    </row>
    <row r="7034" spans="6:6" x14ac:dyDescent="0.25">
      <c r="F7034"/>
    </row>
    <row r="7035" spans="6:6" x14ac:dyDescent="0.25">
      <c r="F7035"/>
    </row>
    <row r="7036" spans="6:6" x14ac:dyDescent="0.25">
      <c r="F7036"/>
    </row>
    <row r="7037" spans="6:6" x14ac:dyDescent="0.25">
      <c r="F7037"/>
    </row>
    <row r="7038" spans="6:6" x14ac:dyDescent="0.25">
      <c r="F7038"/>
    </row>
    <row r="7039" spans="6:6" x14ac:dyDescent="0.25">
      <c r="F7039"/>
    </row>
    <row r="7040" spans="6:6" x14ac:dyDescent="0.25">
      <c r="F7040"/>
    </row>
    <row r="7041" spans="6:6" x14ac:dyDescent="0.25">
      <c r="F7041"/>
    </row>
    <row r="7042" spans="6:6" x14ac:dyDescent="0.25">
      <c r="F7042"/>
    </row>
    <row r="7043" spans="6:6" x14ac:dyDescent="0.25">
      <c r="F7043"/>
    </row>
    <row r="7044" spans="6:6" x14ac:dyDescent="0.25">
      <c r="F7044"/>
    </row>
    <row r="7045" spans="6:6" x14ac:dyDescent="0.25">
      <c r="F7045"/>
    </row>
    <row r="7046" spans="6:6" x14ac:dyDescent="0.25">
      <c r="F7046"/>
    </row>
    <row r="7047" spans="6:6" x14ac:dyDescent="0.25">
      <c r="F7047"/>
    </row>
    <row r="7048" spans="6:6" x14ac:dyDescent="0.25">
      <c r="F7048"/>
    </row>
    <row r="7049" spans="6:6" x14ac:dyDescent="0.25">
      <c r="F7049"/>
    </row>
    <row r="7050" spans="6:6" x14ac:dyDescent="0.25">
      <c r="F7050"/>
    </row>
    <row r="7051" spans="6:6" x14ac:dyDescent="0.25">
      <c r="F7051"/>
    </row>
    <row r="7052" spans="6:6" x14ac:dyDescent="0.25">
      <c r="F7052"/>
    </row>
    <row r="7053" spans="6:6" x14ac:dyDescent="0.25">
      <c r="F7053"/>
    </row>
    <row r="7054" spans="6:6" x14ac:dyDescent="0.25">
      <c r="F7054"/>
    </row>
    <row r="7055" spans="6:6" x14ac:dyDescent="0.25">
      <c r="F7055"/>
    </row>
    <row r="7056" spans="6:6" x14ac:dyDescent="0.25">
      <c r="F7056"/>
    </row>
    <row r="7057" spans="6:6" x14ac:dyDescent="0.25">
      <c r="F7057"/>
    </row>
    <row r="7058" spans="6:6" x14ac:dyDescent="0.25">
      <c r="F7058"/>
    </row>
    <row r="7059" spans="6:6" x14ac:dyDescent="0.25">
      <c r="F7059"/>
    </row>
    <row r="7060" spans="6:6" x14ac:dyDescent="0.25">
      <c r="F7060"/>
    </row>
    <row r="7061" spans="6:6" x14ac:dyDescent="0.25">
      <c r="F7061"/>
    </row>
    <row r="7062" spans="6:6" x14ac:dyDescent="0.25">
      <c r="F7062"/>
    </row>
    <row r="7063" spans="6:6" x14ac:dyDescent="0.25">
      <c r="F7063"/>
    </row>
    <row r="7064" spans="6:6" x14ac:dyDescent="0.25">
      <c r="F7064"/>
    </row>
    <row r="7065" spans="6:6" x14ac:dyDescent="0.25">
      <c r="F7065"/>
    </row>
    <row r="7066" spans="6:6" x14ac:dyDescent="0.25">
      <c r="F7066"/>
    </row>
    <row r="7067" spans="6:6" x14ac:dyDescent="0.25">
      <c r="F7067"/>
    </row>
    <row r="7068" spans="6:6" x14ac:dyDescent="0.25">
      <c r="F7068"/>
    </row>
    <row r="7069" spans="6:6" x14ac:dyDescent="0.25">
      <c r="F7069"/>
    </row>
    <row r="7070" spans="6:6" x14ac:dyDescent="0.25">
      <c r="F7070"/>
    </row>
    <row r="7071" spans="6:6" x14ac:dyDescent="0.25">
      <c r="F7071"/>
    </row>
    <row r="7072" spans="6:6" x14ac:dyDescent="0.25">
      <c r="F7072"/>
    </row>
    <row r="7073" spans="6:6" x14ac:dyDescent="0.25">
      <c r="F7073"/>
    </row>
    <row r="7074" spans="6:6" x14ac:dyDescent="0.25">
      <c r="F7074"/>
    </row>
    <row r="7075" spans="6:6" x14ac:dyDescent="0.25">
      <c r="F7075"/>
    </row>
    <row r="7076" spans="6:6" x14ac:dyDescent="0.25">
      <c r="F7076"/>
    </row>
    <row r="7077" spans="6:6" x14ac:dyDescent="0.25">
      <c r="F7077"/>
    </row>
    <row r="7078" spans="6:6" x14ac:dyDescent="0.25">
      <c r="F7078"/>
    </row>
    <row r="7079" spans="6:6" x14ac:dyDescent="0.25">
      <c r="F7079"/>
    </row>
    <row r="7080" spans="6:6" x14ac:dyDescent="0.25">
      <c r="F7080"/>
    </row>
    <row r="7081" spans="6:6" x14ac:dyDescent="0.25">
      <c r="F7081"/>
    </row>
    <row r="7082" spans="6:6" x14ac:dyDescent="0.25">
      <c r="F7082"/>
    </row>
    <row r="7083" spans="6:6" x14ac:dyDescent="0.25">
      <c r="F7083"/>
    </row>
    <row r="7084" spans="6:6" x14ac:dyDescent="0.25">
      <c r="F7084"/>
    </row>
    <row r="7085" spans="6:6" x14ac:dyDescent="0.25">
      <c r="F7085"/>
    </row>
    <row r="7086" spans="6:6" x14ac:dyDescent="0.25">
      <c r="F7086"/>
    </row>
    <row r="7087" spans="6:6" x14ac:dyDescent="0.25">
      <c r="F7087"/>
    </row>
    <row r="7088" spans="6:6" x14ac:dyDescent="0.25">
      <c r="F7088"/>
    </row>
    <row r="7089" spans="6:6" x14ac:dyDescent="0.25">
      <c r="F7089"/>
    </row>
    <row r="7090" spans="6:6" x14ac:dyDescent="0.25">
      <c r="F7090"/>
    </row>
    <row r="7091" spans="6:6" x14ac:dyDescent="0.25">
      <c r="F7091"/>
    </row>
    <row r="7092" spans="6:6" x14ac:dyDescent="0.25">
      <c r="F7092"/>
    </row>
    <row r="7093" spans="6:6" x14ac:dyDescent="0.25">
      <c r="F7093"/>
    </row>
    <row r="7094" spans="6:6" x14ac:dyDescent="0.25">
      <c r="F7094"/>
    </row>
    <row r="7095" spans="6:6" x14ac:dyDescent="0.25">
      <c r="F7095"/>
    </row>
    <row r="7096" spans="6:6" x14ac:dyDescent="0.25">
      <c r="F7096"/>
    </row>
    <row r="7097" spans="6:6" x14ac:dyDescent="0.25">
      <c r="F7097"/>
    </row>
    <row r="7098" spans="6:6" x14ac:dyDescent="0.25">
      <c r="F7098"/>
    </row>
    <row r="7099" spans="6:6" x14ac:dyDescent="0.25">
      <c r="F7099"/>
    </row>
    <row r="7100" spans="6:6" x14ac:dyDescent="0.25">
      <c r="F7100"/>
    </row>
    <row r="7101" spans="6:6" x14ac:dyDescent="0.25">
      <c r="F7101"/>
    </row>
    <row r="7102" spans="6:6" x14ac:dyDescent="0.25">
      <c r="F7102"/>
    </row>
    <row r="7103" spans="6:6" x14ac:dyDescent="0.25">
      <c r="F7103"/>
    </row>
    <row r="7104" spans="6:6" x14ac:dyDescent="0.25">
      <c r="F7104"/>
    </row>
    <row r="7105" spans="6:6" x14ac:dyDescent="0.25">
      <c r="F7105"/>
    </row>
    <row r="7106" spans="6:6" x14ac:dyDescent="0.25">
      <c r="F7106"/>
    </row>
    <row r="7107" spans="6:6" x14ac:dyDescent="0.25">
      <c r="F7107"/>
    </row>
    <row r="7108" spans="6:6" x14ac:dyDescent="0.25">
      <c r="F7108"/>
    </row>
    <row r="7109" spans="6:6" x14ac:dyDescent="0.25">
      <c r="F7109"/>
    </row>
    <row r="7110" spans="6:6" x14ac:dyDescent="0.25">
      <c r="F7110"/>
    </row>
    <row r="7111" spans="6:6" x14ac:dyDescent="0.25">
      <c r="F7111"/>
    </row>
    <row r="7112" spans="6:6" x14ac:dyDescent="0.25">
      <c r="F7112"/>
    </row>
    <row r="7113" spans="6:6" x14ac:dyDescent="0.25">
      <c r="F7113"/>
    </row>
    <row r="7114" spans="6:6" x14ac:dyDescent="0.25">
      <c r="F7114"/>
    </row>
    <row r="7115" spans="6:6" x14ac:dyDescent="0.25">
      <c r="F7115"/>
    </row>
    <row r="7116" spans="6:6" x14ac:dyDescent="0.25">
      <c r="F7116"/>
    </row>
    <row r="7117" spans="6:6" x14ac:dyDescent="0.25">
      <c r="F7117"/>
    </row>
    <row r="7118" spans="6:6" x14ac:dyDescent="0.25">
      <c r="F7118"/>
    </row>
    <row r="7119" spans="6:6" x14ac:dyDescent="0.25">
      <c r="F7119"/>
    </row>
    <row r="7120" spans="6:6" x14ac:dyDescent="0.25">
      <c r="F7120"/>
    </row>
    <row r="7121" spans="6:6" x14ac:dyDescent="0.25">
      <c r="F7121"/>
    </row>
    <row r="7122" spans="6:6" x14ac:dyDescent="0.25">
      <c r="F7122"/>
    </row>
    <row r="7123" spans="6:6" x14ac:dyDescent="0.25">
      <c r="F7123"/>
    </row>
    <row r="7124" spans="6:6" x14ac:dyDescent="0.25">
      <c r="F7124"/>
    </row>
    <row r="7125" spans="6:6" x14ac:dyDescent="0.25">
      <c r="F7125"/>
    </row>
    <row r="7126" spans="6:6" x14ac:dyDescent="0.25">
      <c r="F7126"/>
    </row>
    <row r="7127" spans="6:6" x14ac:dyDescent="0.25">
      <c r="F7127"/>
    </row>
    <row r="7128" spans="6:6" x14ac:dyDescent="0.25">
      <c r="F7128"/>
    </row>
    <row r="7129" spans="6:6" x14ac:dyDescent="0.25">
      <c r="F7129"/>
    </row>
    <row r="7130" spans="6:6" x14ac:dyDescent="0.25">
      <c r="F7130"/>
    </row>
    <row r="7131" spans="6:6" x14ac:dyDescent="0.25">
      <c r="F7131"/>
    </row>
    <row r="7132" spans="6:6" x14ac:dyDescent="0.25">
      <c r="F7132"/>
    </row>
    <row r="7133" spans="6:6" x14ac:dyDescent="0.25">
      <c r="F7133"/>
    </row>
    <row r="7134" spans="6:6" x14ac:dyDescent="0.25">
      <c r="F7134"/>
    </row>
    <row r="7135" spans="6:6" x14ac:dyDescent="0.25">
      <c r="F7135"/>
    </row>
    <row r="7136" spans="6:6" x14ac:dyDescent="0.25">
      <c r="F7136"/>
    </row>
    <row r="7137" spans="6:6" x14ac:dyDescent="0.25">
      <c r="F7137"/>
    </row>
    <row r="7138" spans="6:6" x14ac:dyDescent="0.25">
      <c r="F7138"/>
    </row>
    <row r="7139" spans="6:6" x14ac:dyDescent="0.25">
      <c r="F7139"/>
    </row>
    <row r="7140" spans="6:6" x14ac:dyDescent="0.25">
      <c r="F7140"/>
    </row>
    <row r="7141" spans="6:6" x14ac:dyDescent="0.25">
      <c r="F7141"/>
    </row>
    <row r="7142" spans="6:6" x14ac:dyDescent="0.25">
      <c r="F7142"/>
    </row>
    <row r="7143" spans="6:6" x14ac:dyDescent="0.25">
      <c r="F7143"/>
    </row>
    <row r="7144" spans="6:6" x14ac:dyDescent="0.25">
      <c r="F7144"/>
    </row>
    <row r="7145" spans="6:6" x14ac:dyDescent="0.25">
      <c r="F7145"/>
    </row>
    <row r="7146" spans="6:6" x14ac:dyDescent="0.25">
      <c r="F7146"/>
    </row>
    <row r="7147" spans="6:6" x14ac:dyDescent="0.25">
      <c r="F7147"/>
    </row>
    <row r="7148" spans="6:6" x14ac:dyDescent="0.25">
      <c r="F7148"/>
    </row>
    <row r="7149" spans="6:6" x14ac:dyDescent="0.25">
      <c r="F7149"/>
    </row>
    <row r="7150" spans="6:6" x14ac:dyDescent="0.25">
      <c r="F7150"/>
    </row>
    <row r="7151" spans="6:6" x14ac:dyDescent="0.25">
      <c r="F7151"/>
    </row>
    <row r="7152" spans="6:6" x14ac:dyDescent="0.25">
      <c r="F7152"/>
    </row>
    <row r="7153" spans="6:6" x14ac:dyDescent="0.25">
      <c r="F7153"/>
    </row>
    <row r="7154" spans="6:6" x14ac:dyDescent="0.25">
      <c r="F7154"/>
    </row>
    <row r="7155" spans="6:6" x14ac:dyDescent="0.25">
      <c r="F7155"/>
    </row>
    <row r="7156" spans="6:6" x14ac:dyDescent="0.25">
      <c r="F7156"/>
    </row>
    <row r="7157" spans="6:6" x14ac:dyDescent="0.25">
      <c r="F7157"/>
    </row>
    <row r="7158" spans="6:6" x14ac:dyDescent="0.25">
      <c r="F7158"/>
    </row>
    <row r="7159" spans="6:6" x14ac:dyDescent="0.25">
      <c r="F7159"/>
    </row>
    <row r="7160" spans="6:6" x14ac:dyDescent="0.25">
      <c r="F7160"/>
    </row>
    <row r="7161" spans="6:6" x14ac:dyDescent="0.25">
      <c r="F7161"/>
    </row>
    <row r="7162" spans="6:6" x14ac:dyDescent="0.25">
      <c r="F7162"/>
    </row>
    <row r="7163" spans="6:6" x14ac:dyDescent="0.25">
      <c r="F7163"/>
    </row>
    <row r="7164" spans="6:6" x14ac:dyDescent="0.25">
      <c r="F7164"/>
    </row>
    <row r="7165" spans="6:6" x14ac:dyDescent="0.25">
      <c r="F7165"/>
    </row>
    <row r="7166" spans="6:6" x14ac:dyDescent="0.25">
      <c r="F7166"/>
    </row>
    <row r="7167" spans="6:6" x14ac:dyDescent="0.25">
      <c r="F7167"/>
    </row>
    <row r="7168" spans="6:6" x14ac:dyDescent="0.25">
      <c r="F7168"/>
    </row>
    <row r="7169" spans="6:6" x14ac:dyDescent="0.25">
      <c r="F7169"/>
    </row>
    <row r="7170" spans="6:6" x14ac:dyDescent="0.25">
      <c r="F7170"/>
    </row>
    <row r="7171" spans="6:6" x14ac:dyDescent="0.25">
      <c r="F7171"/>
    </row>
    <row r="7172" spans="6:6" x14ac:dyDescent="0.25">
      <c r="F7172"/>
    </row>
    <row r="7173" spans="6:6" x14ac:dyDescent="0.25">
      <c r="F7173"/>
    </row>
    <row r="7174" spans="6:6" x14ac:dyDescent="0.25">
      <c r="F7174"/>
    </row>
    <row r="7175" spans="6:6" x14ac:dyDescent="0.25">
      <c r="F7175"/>
    </row>
    <row r="7176" spans="6:6" x14ac:dyDescent="0.25">
      <c r="F7176"/>
    </row>
    <row r="7177" spans="6:6" x14ac:dyDescent="0.25">
      <c r="F7177"/>
    </row>
    <row r="7178" spans="6:6" x14ac:dyDescent="0.25">
      <c r="F7178"/>
    </row>
    <row r="7179" spans="6:6" x14ac:dyDescent="0.25">
      <c r="F7179"/>
    </row>
    <row r="7180" spans="6:6" x14ac:dyDescent="0.25">
      <c r="F7180"/>
    </row>
    <row r="7181" spans="6:6" x14ac:dyDescent="0.25">
      <c r="F7181"/>
    </row>
    <row r="7182" spans="6:6" x14ac:dyDescent="0.25">
      <c r="F7182"/>
    </row>
    <row r="7183" spans="6:6" x14ac:dyDescent="0.25">
      <c r="F7183"/>
    </row>
    <row r="7184" spans="6:6" x14ac:dyDescent="0.25">
      <c r="F7184"/>
    </row>
    <row r="7185" spans="6:6" x14ac:dyDescent="0.25">
      <c r="F7185"/>
    </row>
    <row r="7186" spans="6:6" x14ac:dyDescent="0.25">
      <c r="F7186"/>
    </row>
    <row r="7187" spans="6:6" x14ac:dyDescent="0.25">
      <c r="F7187"/>
    </row>
    <row r="7188" spans="6:6" x14ac:dyDescent="0.25">
      <c r="F7188"/>
    </row>
    <row r="7189" spans="6:6" x14ac:dyDescent="0.25">
      <c r="F7189"/>
    </row>
    <row r="7190" spans="6:6" x14ac:dyDescent="0.25">
      <c r="F7190"/>
    </row>
    <row r="7191" spans="6:6" x14ac:dyDescent="0.25">
      <c r="F7191"/>
    </row>
    <row r="7192" spans="6:6" x14ac:dyDescent="0.25">
      <c r="F7192"/>
    </row>
    <row r="7193" spans="6:6" x14ac:dyDescent="0.25">
      <c r="F7193"/>
    </row>
    <row r="7194" spans="6:6" x14ac:dyDescent="0.25">
      <c r="F7194"/>
    </row>
    <row r="7195" spans="6:6" x14ac:dyDescent="0.25">
      <c r="F7195"/>
    </row>
    <row r="7196" spans="6:6" x14ac:dyDescent="0.25">
      <c r="F7196"/>
    </row>
    <row r="7197" spans="6:6" x14ac:dyDescent="0.25">
      <c r="F7197"/>
    </row>
    <row r="7198" spans="6:6" x14ac:dyDescent="0.25">
      <c r="F7198"/>
    </row>
    <row r="7199" spans="6:6" x14ac:dyDescent="0.25">
      <c r="F7199"/>
    </row>
    <row r="7200" spans="6:6" x14ac:dyDescent="0.25">
      <c r="F7200"/>
    </row>
    <row r="7201" spans="6:6" x14ac:dyDescent="0.25">
      <c r="F7201"/>
    </row>
    <row r="7202" spans="6:6" x14ac:dyDescent="0.25">
      <c r="F7202"/>
    </row>
    <row r="7203" spans="6:6" x14ac:dyDescent="0.25">
      <c r="F7203"/>
    </row>
    <row r="7204" spans="6:6" x14ac:dyDescent="0.25">
      <c r="F7204"/>
    </row>
    <row r="7205" spans="6:6" x14ac:dyDescent="0.25">
      <c r="F7205"/>
    </row>
    <row r="7206" spans="6:6" x14ac:dyDescent="0.25">
      <c r="F7206"/>
    </row>
    <row r="7207" spans="6:6" x14ac:dyDescent="0.25">
      <c r="F7207"/>
    </row>
    <row r="7208" spans="6:6" x14ac:dyDescent="0.25">
      <c r="F7208"/>
    </row>
    <row r="7209" spans="6:6" x14ac:dyDescent="0.25">
      <c r="F7209"/>
    </row>
    <row r="7210" spans="6:6" x14ac:dyDescent="0.25">
      <c r="F7210"/>
    </row>
    <row r="7211" spans="6:6" x14ac:dyDescent="0.25">
      <c r="F7211"/>
    </row>
    <row r="7212" spans="6:6" x14ac:dyDescent="0.25">
      <c r="F7212"/>
    </row>
    <row r="7213" spans="6:6" x14ac:dyDescent="0.25">
      <c r="F7213"/>
    </row>
    <row r="7214" spans="6:6" x14ac:dyDescent="0.25">
      <c r="F7214"/>
    </row>
    <row r="7215" spans="6:6" x14ac:dyDescent="0.25">
      <c r="F7215"/>
    </row>
    <row r="7216" spans="6:6" x14ac:dyDescent="0.25">
      <c r="F7216"/>
    </row>
    <row r="7217" spans="6:6" x14ac:dyDescent="0.25">
      <c r="F7217"/>
    </row>
    <row r="7218" spans="6:6" x14ac:dyDescent="0.25">
      <c r="F7218"/>
    </row>
    <row r="7219" spans="6:6" x14ac:dyDescent="0.25">
      <c r="F7219"/>
    </row>
    <row r="7220" spans="6:6" x14ac:dyDescent="0.25">
      <c r="F7220"/>
    </row>
    <row r="7221" spans="6:6" x14ac:dyDescent="0.25">
      <c r="F7221"/>
    </row>
    <row r="7222" spans="6:6" x14ac:dyDescent="0.25">
      <c r="F7222"/>
    </row>
    <row r="7223" spans="6:6" x14ac:dyDescent="0.25">
      <c r="F7223"/>
    </row>
    <row r="7224" spans="6:6" x14ac:dyDescent="0.25">
      <c r="F7224"/>
    </row>
    <row r="7225" spans="6:6" x14ac:dyDescent="0.25">
      <c r="F7225"/>
    </row>
    <row r="7226" spans="6:6" x14ac:dyDescent="0.25">
      <c r="F7226"/>
    </row>
    <row r="7227" spans="6:6" x14ac:dyDescent="0.25">
      <c r="F7227"/>
    </row>
    <row r="7228" spans="6:6" x14ac:dyDescent="0.25">
      <c r="F7228"/>
    </row>
    <row r="7229" spans="6:6" x14ac:dyDescent="0.25">
      <c r="F7229"/>
    </row>
    <row r="7230" spans="6:6" x14ac:dyDescent="0.25">
      <c r="F7230"/>
    </row>
    <row r="7231" spans="6:6" x14ac:dyDescent="0.25">
      <c r="F7231"/>
    </row>
    <row r="7232" spans="6:6" x14ac:dyDescent="0.25">
      <c r="F7232"/>
    </row>
    <row r="7233" spans="6:6" x14ac:dyDescent="0.25">
      <c r="F7233"/>
    </row>
    <row r="7234" spans="6:6" x14ac:dyDescent="0.25">
      <c r="F7234"/>
    </row>
    <row r="7235" spans="6:6" x14ac:dyDescent="0.25">
      <c r="F7235"/>
    </row>
    <row r="7236" spans="6:6" x14ac:dyDescent="0.25">
      <c r="F7236"/>
    </row>
    <row r="7237" spans="6:6" x14ac:dyDescent="0.25">
      <c r="F7237"/>
    </row>
    <row r="7238" spans="6:6" x14ac:dyDescent="0.25">
      <c r="F7238"/>
    </row>
    <row r="7239" spans="6:6" x14ac:dyDescent="0.25">
      <c r="F7239"/>
    </row>
    <row r="7240" spans="6:6" x14ac:dyDescent="0.25">
      <c r="F7240"/>
    </row>
    <row r="7241" spans="6:6" x14ac:dyDescent="0.25">
      <c r="F7241"/>
    </row>
    <row r="7242" spans="6:6" x14ac:dyDescent="0.25">
      <c r="F7242"/>
    </row>
    <row r="7243" spans="6:6" x14ac:dyDescent="0.25">
      <c r="F7243"/>
    </row>
    <row r="7244" spans="6:6" x14ac:dyDescent="0.25">
      <c r="F7244"/>
    </row>
    <row r="7245" spans="6:6" x14ac:dyDescent="0.25">
      <c r="F7245"/>
    </row>
    <row r="7246" spans="6:6" x14ac:dyDescent="0.25">
      <c r="F7246"/>
    </row>
    <row r="7247" spans="6:6" x14ac:dyDescent="0.25">
      <c r="F7247"/>
    </row>
    <row r="7248" spans="6:6" x14ac:dyDescent="0.25">
      <c r="F7248"/>
    </row>
    <row r="7249" spans="6:6" x14ac:dyDescent="0.25">
      <c r="F7249"/>
    </row>
    <row r="7250" spans="6:6" x14ac:dyDescent="0.25">
      <c r="F7250"/>
    </row>
    <row r="7251" spans="6:6" x14ac:dyDescent="0.25">
      <c r="F7251"/>
    </row>
    <row r="7252" spans="6:6" x14ac:dyDescent="0.25">
      <c r="F7252"/>
    </row>
    <row r="7253" spans="6:6" x14ac:dyDescent="0.25">
      <c r="F7253"/>
    </row>
    <row r="7254" spans="6:6" x14ac:dyDescent="0.25">
      <c r="F7254"/>
    </row>
    <row r="7255" spans="6:6" x14ac:dyDescent="0.25">
      <c r="F7255"/>
    </row>
    <row r="7256" spans="6:6" x14ac:dyDescent="0.25">
      <c r="F7256"/>
    </row>
    <row r="7257" spans="6:6" x14ac:dyDescent="0.25">
      <c r="F7257"/>
    </row>
    <row r="7258" spans="6:6" x14ac:dyDescent="0.25">
      <c r="F7258"/>
    </row>
    <row r="7259" spans="6:6" x14ac:dyDescent="0.25">
      <c r="F7259"/>
    </row>
    <row r="7260" spans="6:6" x14ac:dyDescent="0.25">
      <c r="F7260"/>
    </row>
    <row r="7261" spans="6:6" x14ac:dyDescent="0.25">
      <c r="F7261"/>
    </row>
    <row r="7262" spans="6:6" x14ac:dyDescent="0.25">
      <c r="F7262"/>
    </row>
    <row r="7263" spans="6:6" x14ac:dyDescent="0.25">
      <c r="F7263"/>
    </row>
    <row r="7264" spans="6:6" x14ac:dyDescent="0.25">
      <c r="F7264"/>
    </row>
    <row r="7265" spans="6:6" x14ac:dyDescent="0.25">
      <c r="F7265"/>
    </row>
    <row r="7266" spans="6:6" x14ac:dyDescent="0.25">
      <c r="F7266"/>
    </row>
    <row r="7267" spans="6:6" x14ac:dyDescent="0.25">
      <c r="F7267"/>
    </row>
    <row r="7268" spans="6:6" x14ac:dyDescent="0.25">
      <c r="F7268"/>
    </row>
    <row r="7269" spans="6:6" x14ac:dyDescent="0.25">
      <c r="F7269"/>
    </row>
    <row r="7270" spans="6:6" x14ac:dyDescent="0.25">
      <c r="F7270"/>
    </row>
    <row r="7271" spans="6:6" x14ac:dyDescent="0.25">
      <c r="F7271"/>
    </row>
    <row r="7272" spans="6:6" x14ac:dyDescent="0.25">
      <c r="F7272"/>
    </row>
    <row r="7273" spans="6:6" x14ac:dyDescent="0.25">
      <c r="F7273"/>
    </row>
    <row r="7274" spans="6:6" x14ac:dyDescent="0.25">
      <c r="F7274"/>
    </row>
    <row r="7275" spans="6:6" x14ac:dyDescent="0.25">
      <c r="F7275"/>
    </row>
    <row r="7276" spans="6:6" x14ac:dyDescent="0.25">
      <c r="F7276"/>
    </row>
    <row r="7277" spans="6:6" x14ac:dyDescent="0.25">
      <c r="F7277"/>
    </row>
    <row r="7278" spans="6:6" x14ac:dyDescent="0.25">
      <c r="F7278"/>
    </row>
    <row r="7279" spans="6:6" x14ac:dyDescent="0.25">
      <c r="F7279"/>
    </row>
    <row r="7280" spans="6:6" x14ac:dyDescent="0.25">
      <c r="F7280"/>
    </row>
    <row r="7281" spans="6:6" x14ac:dyDescent="0.25">
      <c r="F7281"/>
    </row>
    <row r="7282" spans="6:6" x14ac:dyDescent="0.25">
      <c r="F7282"/>
    </row>
    <row r="7283" spans="6:6" x14ac:dyDescent="0.25">
      <c r="F7283"/>
    </row>
    <row r="7284" spans="6:6" x14ac:dyDescent="0.25">
      <c r="F7284"/>
    </row>
    <row r="7285" spans="6:6" x14ac:dyDescent="0.25">
      <c r="F7285"/>
    </row>
    <row r="7286" spans="6:6" x14ac:dyDescent="0.25">
      <c r="F7286"/>
    </row>
    <row r="7287" spans="6:6" x14ac:dyDescent="0.25">
      <c r="F7287"/>
    </row>
    <row r="7288" spans="6:6" x14ac:dyDescent="0.25">
      <c r="F7288"/>
    </row>
    <row r="7289" spans="6:6" x14ac:dyDescent="0.25">
      <c r="F7289"/>
    </row>
    <row r="7290" spans="6:6" x14ac:dyDescent="0.25">
      <c r="F7290"/>
    </row>
    <row r="7291" spans="6:6" x14ac:dyDescent="0.25">
      <c r="F7291"/>
    </row>
    <row r="7292" spans="6:6" x14ac:dyDescent="0.25">
      <c r="F7292"/>
    </row>
    <row r="7293" spans="6:6" x14ac:dyDescent="0.25">
      <c r="F7293"/>
    </row>
    <row r="7294" spans="6:6" x14ac:dyDescent="0.25">
      <c r="F7294"/>
    </row>
    <row r="7295" spans="6:6" x14ac:dyDescent="0.25">
      <c r="F7295"/>
    </row>
    <row r="7296" spans="6:6" x14ac:dyDescent="0.25">
      <c r="F7296"/>
    </row>
    <row r="7297" spans="6:6" x14ac:dyDescent="0.25">
      <c r="F7297"/>
    </row>
    <row r="7298" spans="6:6" x14ac:dyDescent="0.25">
      <c r="F7298"/>
    </row>
    <row r="7299" spans="6:6" x14ac:dyDescent="0.25">
      <c r="F7299"/>
    </row>
    <row r="7300" spans="6:6" x14ac:dyDescent="0.25">
      <c r="F7300"/>
    </row>
    <row r="7301" spans="6:6" x14ac:dyDescent="0.25">
      <c r="F7301"/>
    </row>
    <row r="7302" spans="6:6" x14ac:dyDescent="0.25">
      <c r="F7302"/>
    </row>
    <row r="7303" spans="6:6" x14ac:dyDescent="0.25">
      <c r="F7303"/>
    </row>
    <row r="7304" spans="6:6" x14ac:dyDescent="0.25">
      <c r="F7304"/>
    </row>
    <row r="7305" spans="6:6" x14ac:dyDescent="0.25">
      <c r="F7305"/>
    </row>
    <row r="7306" spans="6:6" x14ac:dyDescent="0.25">
      <c r="F7306"/>
    </row>
    <row r="7307" spans="6:6" x14ac:dyDescent="0.25">
      <c r="F7307"/>
    </row>
    <row r="7308" spans="6:6" x14ac:dyDescent="0.25">
      <c r="F7308"/>
    </row>
    <row r="7309" spans="6:6" x14ac:dyDescent="0.25">
      <c r="F7309"/>
    </row>
    <row r="7310" spans="6:6" x14ac:dyDescent="0.25">
      <c r="F7310"/>
    </row>
    <row r="7311" spans="6:6" x14ac:dyDescent="0.25">
      <c r="F7311"/>
    </row>
    <row r="7312" spans="6:6" x14ac:dyDescent="0.25">
      <c r="F7312"/>
    </row>
    <row r="7313" spans="6:6" x14ac:dyDescent="0.25">
      <c r="F7313"/>
    </row>
    <row r="7314" spans="6:6" x14ac:dyDescent="0.25">
      <c r="F7314"/>
    </row>
    <row r="7315" spans="6:6" x14ac:dyDescent="0.25">
      <c r="F7315"/>
    </row>
    <row r="7316" spans="6:6" x14ac:dyDescent="0.25">
      <c r="F7316"/>
    </row>
    <row r="7317" spans="6:6" x14ac:dyDescent="0.25">
      <c r="F7317"/>
    </row>
    <row r="7318" spans="6:6" x14ac:dyDescent="0.25">
      <c r="F7318"/>
    </row>
    <row r="7319" spans="6:6" x14ac:dyDescent="0.25">
      <c r="F7319"/>
    </row>
    <row r="7320" spans="6:6" x14ac:dyDescent="0.25">
      <c r="F7320"/>
    </row>
    <row r="7321" spans="6:6" x14ac:dyDescent="0.25">
      <c r="F7321"/>
    </row>
    <row r="7322" spans="6:6" x14ac:dyDescent="0.25">
      <c r="F7322"/>
    </row>
    <row r="7323" spans="6:6" x14ac:dyDescent="0.25">
      <c r="F7323"/>
    </row>
    <row r="7324" spans="6:6" x14ac:dyDescent="0.25">
      <c r="F7324"/>
    </row>
    <row r="7325" spans="6:6" x14ac:dyDescent="0.25">
      <c r="F7325"/>
    </row>
    <row r="7326" spans="6:6" x14ac:dyDescent="0.25">
      <c r="F7326"/>
    </row>
    <row r="7327" spans="6:6" x14ac:dyDescent="0.25">
      <c r="F7327"/>
    </row>
    <row r="7328" spans="6:6" x14ac:dyDescent="0.25">
      <c r="F7328"/>
    </row>
    <row r="7329" spans="6:6" x14ac:dyDescent="0.25">
      <c r="F7329"/>
    </row>
    <row r="7330" spans="6:6" x14ac:dyDescent="0.25">
      <c r="F7330"/>
    </row>
    <row r="7331" spans="6:6" x14ac:dyDescent="0.25">
      <c r="F7331"/>
    </row>
    <row r="7332" spans="6:6" x14ac:dyDescent="0.25">
      <c r="F7332"/>
    </row>
    <row r="7333" spans="6:6" x14ac:dyDescent="0.25">
      <c r="F7333"/>
    </row>
    <row r="7334" spans="6:6" x14ac:dyDescent="0.25">
      <c r="F7334"/>
    </row>
    <row r="7335" spans="6:6" x14ac:dyDescent="0.25">
      <c r="F7335"/>
    </row>
    <row r="7336" spans="6:6" x14ac:dyDescent="0.25">
      <c r="F7336"/>
    </row>
    <row r="7337" spans="6:6" x14ac:dyDescent="0.25">
      <c r="F7337"/>
    </row>
    <row r="7338" spans="6:6" x14ac:dyDescent="0.25">
      <c r="F7338"/>
    </row>
    <row r="7339" spans="6:6" x14ac:dyDescent="0.25">
      <c r="F7339"/>
    </row>
    <row r="7340" spans="6:6" x14ac:dyDescent="0.25">
      <c r="F7340"/>
    </row>
    <row r="7341" spans="6:6" x14ac:dyDescent="0.25">
      <c r="F7341"/>
    </row>
    <row r="7342" spans="6:6" x14ac:dyDescent="0.25">
      <c r="F7342"/>
    </row>
    <row r="7343" spans="6:6" x14ac:dyDescent="0.25">
      <c r="F7343"/>
    </row>
    <row r="7344" spans="6:6" x14ac:dyDescent="0.25">
      <c r="F7344"/>
    </row>
    <row r="7345" spans="6:6" x14ac:dyDescent="0.25">
      <c r="F7345"/>
    </row>
    <row r="7346" spans="6:6" x14ac:dyDescent="0.25">
      <c r="F7346"/>
    </row>
    <row r="7347" spans="6:6" x14ac:dyDescent="0.25">
      <c r="F7347"/>
    </row>
    <row r="7348" spans="6:6" x14ac:dyDescent="0.25">
      <c r="F7348"/>
    </row>
    <row r="7349" spans="6:6" x14ac:dyDescent="0.25">
      <c r="F7349"/>
    </row>
    <row r="7350" spans="6:6" x14ac:dyDescent="0.25">
      <c r="F7350"/>
    </row>
    <row r="7351" spans="6:6" x14ac:dyDescent="0.25">
      <c r="F7351"/>
    </row>
    <row r="7352" spans="6:6" x14ac:dyDescent="0.25">
      <c r="F7352"/>
    </row>
    <row r="7353" spans="6:6" x14ac:dyDescent="0.25">
      <c r="F7353"/>
    </row>
    <row r="7354" spans="6:6" x14ac:dyDescent="0.25">
      <c r="F7354"/>
    </row>
    <row r="7355" spans="6:6" x14ac:dyDescent="0.25">
      <c r="F7355"/>
    </row>
    <row r="7356" spans="6:6" x14ac:dyDescent="0.25">
      <c r="F7356"/>
    </row>
    <row r="7357" spans="6:6" x14ac:dyDescent="0.25">
      <c r="F7357"/>
    </row>
    <row r="7358" spans="6:6" x14ac:dyDescent="0.25">
      <c r="F7358"/>
    </row>
    <row r="7359" spans="6:6" x14ac:dyDescent="0.25">
      <c r="F7359"/>
    </row>
    <row r="7360" spans="6:6" x14ac:dyDescent="0.25">
      <c r="F7360"/>
    </row>
    <row r="7361" spans="6:6" x14ac:dyDescent="0.25">
      <c r="F7361"/>
    </row>
    <row r="7362" spans="6:6" x14ac:dyDescent="0.25">
      <c r="F7362"/>
    </row>
    <row r="7363" spans="6:6" x14ac:dyDescent="0.25">
      <c r="F7363"/>
    </row>
    <row r="7364" spans="6:6" x14ac:dyDescent="0.25">
      <c r="F7364"/>
    </row>
    <row r="7365" spans="6:6" x14ac:dyDescent="0.25">
      <c r="F7365"/>
    </row>
    <row r="7366" spans="6:6" x14ac:dyDescent="0.25">
      <c r="F7366"/>
    </row>
    <row r="7367" spans="6:6" x14ac:dyDescent="0.25">
      <c r="F7367"/>
    </row>
    <row r="7368" spans="6:6" x14ac:dyDescent="0.25">
      <c r="F7368"/>
    </row>
    <row r="7369" spans="6:6" x14ac:dyDescent="0.25">
      <c r="F7369"/>
    </row>
    <row r="7370" spans="6:6" x14ac:dyDescent="0.25">
      <c r="F7370"/>
    </row>
    <row r="7371" spans="6:6" x14ac:dyDescent="0.25">
      <c r="F7371"/>
    </row>
    <row r="7372" spans="6:6" x14ac:dyDescent="0.25">
      <c r="F7372"/>
    </row>
    <row r="7373" spans="6:6" x14ac:dyDescent="0.25">
      <c r="F7373"/>
    </row>
    <row r="7374" spans="6:6" x14ac:dyDescent="0.25">
      <c r="F7374"/>
    </row>
    <row r="7375" spans="6:6" x14ac:dyDescent="0.25">
      <c r="F7375"/>
    </row>
    <row r="7376" spans="6:6" x14ac:dyDescent="0.25">
      <c r="F7376"/>
    </row>
    <row r="7377" spans="6:6" x14ac:dyDescent="0.25">
      <c r="F7377"/>
    </row>
    <row r="7378" spans="6:6" x14ac:dyDescent="0.25">
      <c r="F7378"/>
    </row>
    <row r="7379" spans="6:6" x14ac:dyDescent="0.25">
      <c r="F7379"/>
    </row>
    <row r="7380" spans="6:6" x14ac:dyDescent="0.25">
      <c r="F7380"/>
    </row>
    <row r="7381" spans="6:6" x14ac:dyDescent="0.25">
      <c r="F7381"/>
    </row>
    <row r="7382" spans="6:6" x14ac:dyDescent="0.25">
      <c r="F7382"/>
    </row>
    <row r="7383" spans="6:6" x14ac:dyDescent="0.25">
      <c r="F7383"/>
    </row>
    <row r="7384" spans="6:6" x14ac:dyDescent="0.25">
      <c r="F7384"/>
    </row>
    <row r="7385" spans="6:6" x14ac:dyDescent="0.25">
      <c r="F7385"/>
    </row>
    <row r="7386" spans="6:6" x14ac:dyDescent="0.25">
      <c r="F7386"/>
    </row>
    <row r="7387" spans="6:6" x14ac:dyDescent="0.25">
      <c r="F7387"/>
    </row>
    <row r="7388" spans="6:6" x14ac:dyDescent="0.25">
      <c r="F7388"/>
    </row>
    <row r="7389" spans="6:6" x14ac:dyDescent="0.25">
      <c r="F7389"/>
    </row>
    <row r="7390" spans="6:6" x14ac:dyDescent="0.25">
      <c r="F7390"/>
    </row>
    <row r="7391" spans="6:6" x14ac:dyDescent="0.25">
      <c r="F7391"/>
    </row>
    <row r="7392" spans="6:6" x14ac:dyDescent="0.25">
      <c r="F7392"/>
    </row>
    <row r="7393" spans="6:6" x14ac:dyDescent="0.25">
      <c r="F7393"/>
    </row>
    <row r="7394" spans="6:6" x14ac:dyDescent="0.25">
      <c r="F7394"/>
    </row>
    <row r="7395" spans="6:6" x14ac:dyDescent="0.25">
      <c r="F7395"/>
    </row>
    <row r="7396" spans="6:6" x14ac:dyDescent="0.25">
      <c r="F7396"/>
    </row>
    <row r="7397" spans="6:6" x14ac:dyDescent="0.25">
      <c r="F7397"/>
    </row>
    <row r="7398" spans="6:6" x14ac:dyDescent="0.25">
      <c r="F7398"/>
    </row>
    <row r="7399" spans="6:6" x14ac:dyDescent="0.25">
      <c r="F7399"/>
    </row>
    <row r="7400" spans="6:6" x14ac:dyDescent="0.25">
      <c r="F7400"/>
    </row>
    <row r="7401" spans="6:6" x14ac:dyDescent="0.25">
      <c r="F7401"/>
    </row>
    <row r="7402" spans="6:6" x14ac:dyDescent="0.25">
      <c r="F7402"/>
    </row>
    <row r="7403" spans="6:6" x14ac:dyDescent="0.25">
      <c r="F7403"/>
    </row>
    <row r="7404" spans="6:6" x14ac:dyDescent="0.25">
      <c r="F7404"/>
    </row>
    <row r="7405" spans="6:6" x14ac:dyDescent="0.25">
      <c r="F7405"/>
    </row>
    <row r="7406" spans="6:6" x14ac:dyDescent="0.25">
      <c r="F7406"/>
    </row>
    <row r="7407" spans="6:6" x14ac:dyDescent="0.25">
      <c r="F7407"/>
    </row>
    <row r="7408" spans="6:6" x14ac:dyDescent="0.25">
      <c r="F7408"/>
    </row>
    <row r="7409" spans="6:6" x14ac:dyDescent="0.25">
      <c r="F7409"/>
    </row>
    <row r="7410" spans="6:6" x14ac:dyDescent="0.25">
      <c r="F7410"/>
    </row>
    <row r="7411" spans="6:6" x14ac:dyDescent="0.25">
      <c r="F7411"/>
    </row>
    <row r="7412" spans="6:6" x14ac:dyDescent="0.25">
      <c r="F7412"/>
    </row>
    <row r="7413" spans="6:6" x14ac:dyDescent="0.25">
      <c r="F7413"/>
    </row>
    <row r="7414" spans="6:6" x14ac:dyDescent="0.25">
      <c r="F7414"/>
    </row>
    <row r="7415" spans="6:6" x14ac:dyDescent="0.25">
      <c r="F7415"/>
    </row>
    <row r="7416" spans="6:6" x14ac:dyDescent="0.25">
      <c r="F7416"/>
    </row>
    <row r="7417" spans="6:6" x14ac:dyDescent="0.25">
      <c r="F7417"/>
    </row>
    <row r="7418" spans="6:6" x14ac:dyDescent="0.25">
      <c r="F7418"/>
    </row>
    <row r="7419" spans="6:6" x14ac:dyDescent="0.25">
      <c r="F7419"/>
    </row>
    <row r="7420" spans="6:6" x14ac:dyDescent="0.25">
      <c r="F7420"/>
    </row>
    <row r="7421" spans="6:6" x14ac:dyDescent="0.25">
      <c r="F7421"/>
    </row>
    <row r="7422" spans="6:6" x14ac:dyDescent="0.25">
      <c r="F7422"/>
    </row>
    <row r="7423" spans="6:6" x14ac:dyDescent="0.25">
      <c r="F7423"/>
    </row>
    <row r="7424" spans="6:6" x14ac:dyDescent="0.25">
      <c r="F7424"/>
    </row>
    <row r="7425" spans="6:6" x14ac:dyDescent="0.25">
      <c r="F7425"/>
    </row>
    <row r="7426" spans="6:6" x14ac:dyDescent="0.25">
      <c r="F7426"/>
    </row>
    <row r="7427" spans="6:6" x14ac:dyDescent="0.25">
      <c r="F7427"/>
    </row>
    <row r="7428" spans="6:6" x14ac:dyDescent="0.25">
      <c r="F7428"/>
    </row>
    <row r="7429" spans="6:6" x14ac:dyDescent="0.25">
      <c r="F7429"/>
    </row>
    <row r="7430" spans="6:6" x14ac:dyDescent="0.25">
      <c r="F7430"/>
    </row>
    <row r="7431" spans="6:6" x14ac:dyDescent="0.25">
      <c r="F7431"/>
    </row>
    <row r="7432" spans="6:6" x14ac:dyDescent="0.25">
      <c r="F7432"/>
    </row>
    <row r="7433" spans="6:6" x14ac:dyDescent="0.25">
      <c r="F7433"/>
    </row>
    <row r="7434" spans="6:6" x14ac:dyDescent="0.25">
      <c r="F7434"/>
    </row>
    <row r="7435" spans="6:6" x14ac:dyDescent="0.25">
      <c r="F7435"/>
    </row>
    <row r="7436" spans="6:6" x14ac:dyDescent="0.25">
      <c r="F7436"/>
    </row>
    <row r="7437" spans="6:6" x14ac:dyDescent="0.25">
      <c r="F7437"/>
    </row>
    <row r="7438" spans="6:6" x14ac:dyDescent="0.25">
      <c r="F7438"/>
    </row>
    <row r="7439" spans="6:6" x14ac:dyDescent="0.25">
      <c r="F7439"/>
    </row>
    <row r="7440" spans="6:6" x14ac:dyDescent="0.25">
      <c r="F7440"/>
    </row>
    <row r="7441" spans="6:6" x14ac:dyDescent="0.25">
      <c r="F7441"/>
    </row>
    <row r="7442" spans="6:6" x14ac:dyDescent="0.25">
      <c r="F7442"/>
    </row>
    <row r="7443" spans="6:6" x14ac:dyDescent="0.25">
      <c r="F7443"/>
    </row>
    <row r="7444" spans="6:6" x14ac:dyDescent="0.25">
      <c r="F7444"/>
    </row>
    <row r="7445" spans="6:6" x14ac:dyDescent="0.25">
      <c r="F7445"/>
    </row>
    <row r="7446" spans="6:6" x14ac:dyDescent="0.25">
      <c r="F7446"/>
    </row>
    <row r="7447" spans="6:6" x14ac:dyDescent="0.25">
      <c r="F7447"/>
    </row>
    <row r="7448" spans="6:6" x14ac:dyDescent="0.25">
      <c r="F7448"/>
    </row>
    <row r="7449" spans="6:6" x14ac:dyDescent="0.25">
      <c r="F7449"/>
    </row>
    <row r="7450" spans="6:6" x14ac:dyDescent="0.25">
      <c r="F7450"/>
    </row>
    <row r="7451" spans="6:6" x14ac:dyDescent="0.25">
      <c r="F7451"/>
    </row>
    <row r="7452" spans="6:6" x14ac:dyDescent="0.25">
      <c r="F7452"/>
    </row>
    <row r="7453" spans="6:6" x14ac:dyDescent="0.25">
      <c r="F7453"/>
    </row>
    <row r="7454" spans="6:6" x14ac:dyDescent="0.25">
      <c r="F7454"/>
    </row>
    <row r="7455" spans="6:6" x14ac:dyDescent="0.25">
      <c r="F7455"/>
    </row>
    <row r="7456" spans="6:6" x14ac:dyDescent="0.25">
      <c r="F7456"/>
    </row>
    <row r="7457" spans="6:6" x14ac:dyDescent="0.25">
      <c r="F7457"/>
    </row>
    <row r="7458" spans="6:6" x14ac:dyDescent="0.25">
      <c r="F7458"/>
    </row>
    <row r="7459" spans="6:6" x14ac:dyDescent="0.25">
      <c r="F7459"/>
    </row>
    <row r="7460" spans="6:6" x14ac:dyDescent="0.25">
      <c r="F7460"/>
    </row>
    <row r="7461" spans="6:6" x14ac:dyDescent="0.25">
      <c r="F7461"/>
    </row>
    <row r="7462" spans="6:6" x14ac:dyDescent="0.25">
      <c r="F7462"/>
    </row>
    <row r="7463" spans="6:6" x14ac:dyDescent="0.25">
      <c r="F7463"/>
    </row>
    <row r="7464" spans="6:6" x14ac:dyDescent="0.25">
      <c r="F7464"/>
    </row>
    <row r="7465" spans="6:6" x14ac:dyDescent="0.25">
      <c r="F7465"/>
    </row>
    <row r="7466" spans="6:6" x14ac:dyDescent="0.25">
      <c r="F7466"/>
    </row>
    <row r="7467" spans="6:6" x14ac:dyDescent="0.25">
      <c r="F7467"/>
    </row>
    <row r="7468" spans="6:6" x14ac:dyDescent="0.25">
      <c r="F7468"/>
    </row>
    <row r="7469" spans="6:6" x14ac:dyDescent="0.25">
      <c r="F7469"/>
    </row>
    <row r="7470" spans="6:6" x14ac:dyDescent="0.25">
      <c r="F7470"/>
    </row>
    <row r="7471" spans="6:6" x14ac:dyDescent="0.25">
      <c r="F7471"/>
    </row>
    <row r="7472" spans="6:6" x14ac:dyDescent="0.25">
      <c r="F7472"/>
    </row>
    <row r="7473" spans="6:6" x14ac:dyDescent="0.25">
      <c r="F7473"/>
    </row>
    <row r="7474" spans="6:6" x14ac:dyDescent="0.25">
      <c r="F7474"/>
    </row>
    <row r="7475" spans="6:6" x14ac:dyDescent="0.25">
      <c r="F7475"/>
    </row>
    <row r="7476" spans="6:6" x14ac:dyDescent="0.25">
      <c r="F7476"/>
    </row>
    <row r="7477" spans="6:6" x14ac:dyDescent="0.25">
      <c r="F7477"/>
    </row>
    <row r="7478" spans="6:6" x14ac:dyDescent="0.25">
      <c r="F7478"/>
    </row>
    <row r="7479" spans="6:6" x14ac:dyDescent="0.25">
      <c r="F7479"/>
    </row>
    <row r="7480" spans="6:6" x14ac:dyDescent="0.25">
      <c r="F7480"/>
    </row>
    <row r="7481" spans="6:6" x14ac:dyDescent="0.25">
      <c r="F7481"/>
    </row>
    <row r="7482" spans="6:6" x14ac:dyDescent="0.25">
      <c r="F7482"/>
    </row>
    <row r="7483" spans="6:6" x14ac:dyDescent="0.25">
      <c r="F7483"/>
    </row>
    <row r="7484" spans="6:6" x14ac:dyDescent="0.25">
      <c r="F7484"/>
    </row>
    <row r="7485" spans="6:6" x14ac:dyDescent="0.25">
      <c r="F7485"/>
    </row>
    <row r="7486" spans="6:6" x14ac:dyDescent="0.25">
      <c r="F7486"/>
    </row>
    <row r="7487" spans="6:6" x14ac:dyDescent="0.25">
      <c r="F7487"/>
    </row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AB567"/>
  <sheetViews>
    <sheetView workbookViewId="0"/>
  </sheetViews>
  <sheetFormatPr defaultColWidth="8.88671875" defaultRowHeight="13.2" x14ac:dyDescent="0.25"/>
  <cols>
    <col min="1" max="1" width="11" bestFit="1" customWidth="1"/>
    <col min="2" max="3" width="8.33203125" bestFit="1" customWidth="1"/>
    <col min="4" max="5" width="8.33203125" customWidth="1"/>
    <col min="10" max="10" width="10.5546875" bestFit="1" customWidth="1"/>
    <col min="19" max="19" width="7.88671875" customWidth="1"/>
    <col min="20" max="20" width="7.5546875" customWidth="1"/>
    <col min="21" max="22" width="9.5546875" customWidth="1"/>
  </cols>
  <sheetData>
    <row r="1" spans="1:28" x14ac:dyDescent="0.25">
      <c r="A1" t="s">
        <v>73</v>
      </c>
      <c r="B1" t="s">
        <v>79</v>
      </c>
      <c r="C1" t="s">
        <v>80</v>
      </c>
      <c r="D1" t="s">
        <v>119</v>
      </c>
      <c r="E1" t="s">
        <v>120</v>
      </c>
      <c r="F1" t="s">
        <v>81</v>
      </c>
      <c r="G1" t="s">
        <v>82</v>
      </c>
      <c r="H1" s="180" t="s">
        <v>83</v>
      </c>
      <c r="I1" t="s">
        <v>84</v>
      </c>
      <c r="J1" t="s">
        <v>85</v>
      </c>
      <c r="K1" t="s">
        <v>7</v>
      </c>
      <c r="L1" t="s">
        <v>398</v>
      </c>
      <c r="M1" t="s">
        <v>399</v>
      </c>
      <c r="N1" t="s">
        <v>400</v>
      </c>
      <c r="O1" s="392" t="s">
        <v>402</v>
      </c>
      <c r="P1" s="392" t="s">
        <v>403</v>
      </c>
      <c r="Q1" s="392" t="s">
        <v>404</v>
      </c>
      <c r="R1" s="392" t="s">
        <v>405</v>
      </c>
      <c r="S1" s="180" t="s">
        <v>86</v>
      </c>
      <c r="T1" s="180" t="s">
        <v>87</v>
      </c>
      <c r="U1" s="180" t="s">
        <v>88</v>
      </c>
      <c r="V1" s="180" t="s">
        <v>89</v>
      </c>
      <c r="W1" t="s">
        <v>90</v>
      </c>
      <c r="X1" t="s">
        <v>91</v>
      </c>
      <c r="Y1" t="s">
        <v>92</v>
      </c>
      <c r="Z1" t="s">
        <v>406</v>
      </c>
      <c r="AA1" t="s">
        <v>93</v>
      </c>
      <c r="AB1" t="s">
        <v>407</v>
      </c>
    </row>
    <row r="2" spans="1:28" s="87" customFormat="1" x14ac:dyDescent="0.25">
      <c r="A2" s="171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s="87" customFormat="1" x14ac:dyDescent="0.25">
      <c r="A3" s="171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s="87" customFormat="1" x14ac:dyDescent="0.25">
      <c r="A4" s="171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s="87" customFormat="1" x14ac:dyDescent="0.25">
      <c r="A5" s="171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s="87" customFormat="1" x14ac:dyDescent="0.25">
      <c r="A6" s="171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s="87" customFormat="1" x14ac:dyDescent="0.25">
      <c r="A7" s="171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s="87" customFormat="1" x14ac:dyDescent="0.25">
      <c r="A8" s="171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s="87" customFormat="1" x14ac:dyDescent="0.25">
      <c r="A9" s="171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s="87" customFormat="1" x14ac:dyDescent="0.25">
      <c r="A10" s="171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s="87" customFormat="1" x14ac:dyDescent="0.25">
      <c r="A11" s="17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s="87" customFormat="1" x14ac:dyDescent="0.25">
      <c r="A12" s="171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s="87" customFormat="1" x14ac:dyDescent="0.25">
      <c r="A13" s="171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s="87" customFormat="1" x14ac:dyDescent="0.25">
      <c r="A14" s="171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s="87" customFormat="1" x14ac:dyDescent="0.25">
      <c r="A15" s="171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s="87" customFormat="1" x14ac:dyDescent="0.25">
      <c r="A16" s="171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s="87" customFormat="1" x14ac:dyDescent="0.25">
      <c r="A17" s="171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s="87" customFormat="1" x14ac:dyDescent="0.25">
      <c r="A18" s="171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s="87" customFormat="1" x14ac:dyDescent="0.25">
      <c r="A19" s="171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s="87" customFormat="1" x14ac:dyDescent="0.25">
      <c r="A20" s="171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s="87" customFormat="1" x14ac:dyDescent="0.25">
      <c r="A21" s="17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s="87" customFormat="1" x14ac:dyDescent="0.25">
      <c r="A22" s="171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s="87" customFormat="1" x14ac:dyDescent="0.25">
      <c r="A23" s="171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s="87" customFormat="1" x14ac:dyDescent="0.25">
      <c r="A24" s="171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87" customFormat="1" x14ac:dyDescent="0.25">
      <c r="A25" s="171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87" customFormat="1" x14ac:dyDescent="0.25">
      <c r="A26" s="171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87" customFormat="1" x14ac:dyDescent="0.25">
      <c r="A27" s="171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87" customFormat="1" x14ac:dyDescent="0.25">
      <c r="A28" s="171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87" customFormat="1" x14ac:dyDescent="0.25">
      <c r="A29" s="171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87" customFormat="1" x14ac:dyDescent="0.25">
      <c r="A30" s="171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87" customFormat="1" x14ac:dyDescent="0.25">
      <c r="A31" s="17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87" customFormat="1" x14ac:dyDescent="0.25">
      <c r="A32" s="171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87" customFormat="1" x14ac:dyDescent="0.25">
      <c r="A33" s="171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87" customFormat="1" x14ac:dyDescent="0.25">
      <c r="A34" s="171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87" customFormat="1" x14ac:dyDescent="0.25">
      <c r="A35" s="171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87" customFormat="1" x14ac:dyDescent="0.25">
      <c r="A36" s="171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87" customFormat="1" x14ac:dyDescent="0.25">
      <c r="A37" s="171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87" customFormat="1" x14ac:dyDescent="0.25">
      <c r="A38" s="171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87" customFormat="1" x14ac:dyDescent="0.25">
      <c r="A39" s="171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87" customFormat="1" x14ac:dyDescent="0.25">
      <c r="A40" s="171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87" customFormat="1" x14ac:dyDescent="0.25">
      <c r="A41" s="17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87" customFormat="1" x14ac:dyDescent="0.25">
      <c r="A42" s="171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87" customFormat="1" x14ac:dyDescent="0.25">
      <c r="A43" s="171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87" customFormat="1" x14ac:dyDescent="0.25">
      <c r="A44" s="171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87" customFormat="1" x14ac:dyDescent="0.25">
      <c r="A45" s="171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87" customFormat="1" x14ac:dyDescent="0.25">
      <c r="A46" s="171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87" customFormat="1" x14ac:dyDescent="0.25">
      <c r="A47" s="171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87" customFormat="1" x14ac:dyDescent="0.25">
      <c r="A48" s="171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87" customFormat="1" x14ac:dyDescent="0.25">
      <c r="A49" s="171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87" customFormat="1" x14ac:dyDescent="0.25">
      <c r="A50" s="171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87" customFormat="1" x14ac:dyDescent="0.25">
      <c r="A51" s="17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87" customFormat="1" x14ac:dyDescent="0.25">
      <c r="A52" s="171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87" customFormat="1" x14ac:dyDescent="0.25">
      <c r="A53" s="171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87" customFormat="1" x14ac:dyDescent="0.25">
      <c r="A54" s="171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87" customFormat="1" x14ac:dyDescent="0.25">
      <c r="A55" s="171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87" customFormat="1" x14ac:dyDescent="0.25">
      <c r="A56" s="171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87" customFormat="1" x14ac:dyDescent="0.25">
      <c r="A57" s="171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87" customFormat="1" x14ac:dyDescent="0.25">
      <c r="A58" s="171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87" customFormat="1" x14ac:dyDescent="0.25">
      <c r="A59" s="171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87" customFormat="1" x14ac:dyDescent="0.25">
      <c r="A60" s="171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87" customFormat="1" x14ac:dyDescent="0.25">
      <c r="A61" s="17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87" customFormat="1" x14ac:dyDescent="0.25">
      <c r="A62" s="171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87" customFormat="1" x14ac:dyDescent="0.25">
      <c r="A63" s="171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87" customFormat="1" x14ac:dyDescent="0.25">
      <c r="A64" s="171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87" customFormat="1" x14ac:dyDescent="0.25">
      <c r="A65" s="171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87" customFormat="1" x14ac:dyDescent="0.25">
      <c r="A66" s="171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87" customFormat="1" x14ac:dyDescent="0.25">
      <c r="A67" s="17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87" customFormat="1" x14ac:dyDescent="0.25">
      <c r="A68" s="171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87" customFormat="1" x14ac:dyDescent="0.25">
      <c r="A69" s="171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87" customFormat="1" x14ac:dyDescent="0.25">
      <c r="A70" s="171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87" customFormat="1" x14ac:dyDescent="0.25">
      <c r="A71" s="1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87" customFormat="1" x14ac:dyDescent="0.25">
      <c r="A72" s="171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87" customFormat="1" x14ac:dyDescent="0.25">
      <c r="A73" s="171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87" customFormat="1" x14ac:dyDescent="0.25">
      <c r="A74" s="171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87" customFormat="1" x14ac:dyDescent="0.25">
      <c r="A75" s="171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87" customFormat="1" x14ac:dyDescent="0.25">
      <c r="A76" s="171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87" customFormat="1" x14ac:dyDescent="0.25">
      <c r="A77" s="171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87" customFormat="1" x14ac:dyDescent="0.25">
      <c r="A78" s="171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87" customFormat="1" x14ac:dyDescent="0.25">
      <c r="A79" s="171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87" customFormat="1" x14ac:dyDescent="0.25">
      <c r="A80" s="171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87" customFormat="1" x14ac:dyDescent="0.25">
      <c r="A81" s="17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87" customFormat="1" x14ac:dyDescent="0.25">
      <c r="A82" s="171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87" customFormat="1" x14ac:dyDescent="0.25">
      <c r="A83" s="171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87" customFormat="1" x14ac:dyDescent="0.25">
      <c r="A84" s="171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87" customFormat="1" x14ac:dyDescent="0.25">
      <c r="A85" s="171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87" customFormat="1" x14ac:dyDescent="0.25">
      <c r="A86" s="171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87" customFormat="1" x14ac:dyDescent="0.25">
      <c r="A87" s="171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87" customFormat="1" x14ac:dyDescent="0.25">
      <c r="A88" s="171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87" customFormat="1" x14ac:dyDescent="0.25">
      <c r="A89" s="171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87" customFormat="1" x14ac:dyDescent="0.25">
      <c r="A90" s="171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87" customFormat="1" x14ac:dyDescent="0.25">
      <c r="A91" s="17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87" customFormat="1" x14ac:dyDescent="0.25">
      <c r="A92" s="171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87" customFormat="1" x14ac:dyDescent="0.25">
      <c r="A93" s="171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87" customFormat="1" x14ac:dyDescent="0.25">
      <c r="A94" s="171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87" customFormat="1" x14ac:dyDescent="0.25">
      <c r="A95" s="171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87" customFormat="1" x14ac:dyDescent="0.25">
      <c r="A96" s="171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87" customFormat="1" x14ac:dyDescent="0.25">
      <c r="A97" s="171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87" customFormat="1" x14ac:dyDescent="0.25">
      <c r="A98" s="171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87" customFormat="1" x14ac:dyDescent="0.25">
      <c r="A99" s="171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87" customFormat="1" x14ac:dyDescent="0.25">
      <c r="A100" s="171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87" customFormat="1" x14ac:dyDescent="0.25">
      <c r="A101" s="17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87" customFormat="1" x14ac:dyDescent="0.25">
      <c r="A102" s="171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87" customFormat="1" x14ac:dyDescent="0.25">
      <c r="A103" s="171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87" customFormat="1" x14ac:dyDescent="0.25">
      <c r="A104" s="171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87" customFormat="1" x14ac:dyDescent="0.25">
      <c r="A105" s="171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87" customFormat="1" x14ac:dyDescent="0.25">
      <c r="A106" s="171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87" customFormat="1" x14ac:dyDescent="0.25">
      <c r="A107" s="171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87" customFormat="1" x14ac:dyDescent="0.25">
      <c r="A108" s="171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87" customFormat="1" x14ac:dyDescent="0.25">
      <c r="A109" s="171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87" customFormat="1" x14ac:dyDescent="0.25">
      <c r="A110" s="171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87" customFormat="1" x14ac:dyDescent="0.25">
      <c r="A111" s="17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87" customFormat="1" x14ac:dyDescent="0.25">
      <c r="A112" s="171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87" customFormat="1" x14ac:dyDescent="0.25">
      <c r="A113" s="171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87" customFormat="1" x14ac:dyDescent="0.25">
      <c r="A114" s="171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87" customFormat="1" x14ac:dyDescent="0.25">
      <c r="A115" s="171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87" customFormat="1" x14ac:dyDescent="0.25">
      <c r="A116" s="171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87" customFormat="1" x14ac:dyDescent="0.25">
      <c r="A117" s="171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87" customFormat="1" x14ac:dyDescent="0.25">
      <c r="A118" s="171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87" customFormat="1" x14ac:dyDescent="0.25">
      <c r="A119" s="171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87" customFormat="1" x14ac:dyDescent="0.25">
      <c r="A120" s="171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87" customFormat="1" x14ac:dyDescent="0.25">
      <c r="A121" s="17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87" customFormat="1" x14ac:dyDescent="0.25">
      <c r="A122" s="171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87" customFormat="1" x14ac:dyDescent="0.25">
      <c r="A123" s="171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87" customFormat="1" x14ac:dyDescent="0.25">
      <c r="A124" s="171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87" customFormat="1" x14ac:dyDescent="0.25">
      <c r="A125" s="171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87" customFormat="1" x14ac:dyDescent="0.25">
      <c r="A126" s="171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87" customFormat="1" x14ac:dyDescent="0.25">
      <c r="A127" s="171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87" customFormat="1" x14ac:dyDescent="0.25">
      <c r="A128" s="171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87" customFormat="1" x14ac:dyDescent="0.25">
      <c r="A129" s="171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87" customFormat="1" x14ac:dyDescent="0.25">
      <c r="A130" s="171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87" customFormat="1" x14ac:dyDescent="0.25">
      <c r="A131" s="17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87" customFormat="1" x14ac:dyDescent="0.25">
      <c r="A132" s="171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87" customFormat="1" x14ac:dyDescent="0.25">
      <c r="A133" s="171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87" customFormat="1" x14ac:dyDescent="0.25">
      <c r="A134" s="171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87" customFormat="1" x14ac:dyDescent="0.25">
      <c r="A135" s="171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87" customFormat="1" x14ac:dyDescent="0.25">
      <c r="A136" s="171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87" customFormat="1" x14ac:dyDescent="0.25">
      <c r="A137" s="171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87" customFormat="1" x14ac:dyDescent="0.25">
      <c r="A138" s="171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87" customFormat="1" x14ac:dyDescent="0.25">
      <c r="A139" s="171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87" customFormat="1" x14ac:dyDescent="0.25">
      <c r="A140" s="171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87" customFormat="1" x14ac:dyDescent="0.25">
      <c r="A141" s="17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87" customFormat="1" x14ac:dyDescent="0.25">
      <c r="A142" s="171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87" customFormat="1" x14ac:dyDescent="0.25">
      <c r="A143" s="171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87" customFormat="1" x14ac:dyDescent="0.25">
      <c r="A144" s="171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87" customFormat="1" x14ac:dyDescent="0.25">
      <c r="A145" s="171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87" customFormat="1" x14ac:dyDescent="0.25">
      <c r="A146" s="171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87" customFormat="1" x14ac:dyDescent="0.25">
      <c r="A147" s="171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87" customFormat="1" x14ac:dyDescent="0.25">
      <c r="A148" s="171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87" customFormat="1" x14ac:dyDescent="0.25">
      <c r="A149" s="171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87" customFormat="1" x14ac:dyDescent="0.25">
      <c r="A150" s="171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87" customFormat="1" x14ac:dyDescent="0.25">
      <c r="A151" s="17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87" customFormat="1" x14ac:dyDescent="0.25">
      <c r="A152" s="171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87" customFormat="1" x14ac:dyDescent="0.25">
      <c r="A153" s="171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87" customFormat="1" x14ac:dyDescent="0.25">
      <c r="A154" s="171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87" customFormat="1" x14ac:dyDescent="0.25">
      <c r="A155" s="171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87" customFormat="1" x14ac:dyDescent="0.25">
      <c r="A156" s="171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87" customFormat="1" x14ac:dyDescent="0.25">
      <c r="A157" s="171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87" customFormat="1" x14ac:dyDescent="0.25">
      <c r="A158" s="171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87" customFormat="1" x14ac:dyDescent="0.25">
      <c r="A159" s="171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87" customFormat="1" x14ac:dyDescent="0.25">
      <c r="A160" s="171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87" customFormat="1" x14ac:dyDescent="0.25">
      <c r="A161" s="17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87" customFormat="1" x14ac:dyDescent="0.25">
      <c r="A162" s="171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87" customFormat="1" x14ac:dyDescent="0.25">
      <c r="A163" s="171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87" customFormat="1" x14ac:dyDescent="0.25">
      <c r="A164" s="171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87" customFormat="1" x14ac:dyDescent="0.25">
      <c r="A165" s="171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87" customFormat="1" x14ac:dyDescent="0.25">
      <c r="A166" s="171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87" customFormat="1" x14ac:dyDescent="0.25">
      <c r="A167" s="171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87" customFormat="1" x14ac:dyDescent="0.25">
      <c r="A168" s="171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87" customFormat="1" x14ac:dyDescent="0.25">
      <c r="A169" s="171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87" customFormat="1" x14ac:dyDescent="0.25">
      <c r="A170" s="171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87" customFormat="1" x14ac:dyDescent="0.25">
      <c r="A171" s="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87" customFormat="1" x14ac:dyDescent="0.25">
      <c r="A172" s="171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87" customFormat="1" x14ac:dyDescent="0.25">
      <c r="A173" s="171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87" customFormat="1" x14ac:dyDescent="0.25">
      <c r="A174" s="171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87" customFormat="1" x14ac:dyDescent="0.25">
      <c r="A175" s="171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87" customFormat="1" x14ac:dyDescent="0.25">
      <c r="A176" s="171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87" customFormat="1" x14ac:dyDescent="0.25">
      <c r="A177" s="171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87" customFormat="1" x14ac:dyDescent="0.25">
      <c r="A178" s="171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87" customFormat="1" x14ac:dyDescent="0.25">
      <c r="A179" s="171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87" customFormat="1" x14ac:dyDescent="0.25">
      <c r="A180" s="171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87" customFormat="1" x14ac:dyDescent="0.25">
      <c r="A181" s="17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87" customFormat="1" x14ac:dyDescent="0.25">
      <c r="A182" s="171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87" customFormat="1" x14ac:dyDescent="0.25">
      <c r="A183" s="171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87" customFormat="1" x14ac:dyDescent="0.25">
      <c r="A184" s="171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87" customFormat="1" x14ac:dyDescent="0.25">
      <c r="A185" s="171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87" customFormat="1" x14ac:dyDescent="0.25">
      <c r="A186" s="171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87" customFormat="1" x14ac:dyDescent="0.25">
      <c r="A187" s="171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87" customFormat="1" x14ac:dyDescent="0.25">
      <c r="A188" s="171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87" customFormat="1" x14ac:dyDescent="0.25">
      <c r="A189" s="171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87" customFormat="1" x14ac:dyDescent="0.25">
      <c r="A190" s="171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87" customFormat="1" x14ac:dyDescent="0.25">
      <c r="A191" s="17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87" customFormat="1" x14ac:dyDescent="0.25">
      <c r="A192" s="171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87" customFormat="1" x14ac:dyDescent="0.25">
      <c r="A193" s="171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87" customFormat="1" x14ac:dyDescent="0.25">
      <c r="A194" s="171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87" customFormat="1" x14ac:dyDescent="0.25">
      <c r="A195" s="171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87" customFormat="1" x14ac:dyDescent="0.25">
      <c r="A196" s="171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87" customFormat="1" x14ac:dyDescent="0.25">
      <c r="A197" s="171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87" customFormat="1" x14ac:dyDescent="0.25">
      <c r="A198" s="171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87" customFormat="1" x14ac:dyDescent="0.25">
      <c r="A199" s="171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87" customFormat="1" x14ac:dyDescent="0.25">
      <c r="A200" s="171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87" customFormat="1" x14ac:dyDescent="0.25">
      <c r="A201" s="17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87" customFormat="1" x14ac:dyDescent="0.25">
      <c r="A202" s="171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87" customFormat="1" x14ac:dyDescent="0.25">
      <c r="A203" s="171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87" customFormat="1" x14ac:dyDescent="0.25">
      <c r="A204" s="171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87" customFormat="1" x14ac:dyDescent="0.25">
      <c r="A205" s="171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87" customFormat="1" x14ac:dyDescent="0.25">
      <c r="A206" s="171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87" customFormat="1" x14ac:dyDescent="0.25">
      <c r="A207" s="171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87" customFormat="1" x14ac:dyDescent="0.25">
      <c r="A208" s="171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87" customFormat="1" x14ac:dyDescent="0.25">
      <c r="A209" s="171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87" customFormat="1" x14ac:dyDescent="0.25">
      <c r="A210" s="171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87" customFormat="1" x14ac:dyDescent="0.25">
      <c r="A211" s="17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87" customFormat="1" x14ac:dyDescent="0.25">
      <c r="A212" s="171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87" customFormat="1" x14ac:dyDescent="0.25">
      <c r="A213" s="171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87" customFormat="1" x14ac:dyDescent="0.25">
      <c r="A214" s="171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87" customFormat="1" x14ac:dyDescent="0.25">
      <c r="A215" s="171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87" customFormat="1" x14ac:dyDescent="0.25">
      <c r="A216" s="171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87" customFormat="1" x14ac:dyDescent="0.25">
      <c r="A217" s="171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87" customFormat="1" x14ac:dyDescent="0.25">
      <c r="A218" s="171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87" customFormat="1" x14ac:dyDescent="0.25">
      <c r="A219" s="171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87" customFormat="1" x14ac:dyDescent="0.25">
      <c r="A220" s="171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87" customFormat="1" x14ac:dyDescent="0.25">
      <c r="A221" s="17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87" customFormat="1" x14ac:dyDescent="0.25">
      <c r="A222" s="171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87" customFormat="1" x14ac:dyDescent="0.25">
      <c r="A223" s="171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87" customFormat="1" x14ac:dyDescent="0.25">
      <c r="A224" s="171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87" customFormat="1" x14ac:dyDescent="0.25">
      <c r="A225" s="171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87" customFormat="1" x14ac:dyDescent="0.25">
      <c r="A226" s="171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87" customFormat="1" x14ac:dyDescent="0.25">
      <c r="A227" s="171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87" customFormat="1" x14ac:dyDescent="0.25">
      <c r="A228" s="171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87" customFormat="1" x14ac:dyDescent="0.25">
      <c r="A229" s="171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87" customFormat="1" x14ac:dyDescent="0.25">
      <c r="A230" s="171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87" customFormat="1" x14ac:dyDescent="0.25">
      <c r="A231" s="17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87" customFormat="1" x14ac:dyDescent="0.25">
      <c r="A232" s="171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87" customFormat="1" x14ac:dyDescent="0.25">
      <c r="A233" s="171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87" customFormat="1" x14ac:dyDescent="0.25">
      <c r="A234" s="171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87" customFormat="1" x14ac:dyDescent="0.25">
      <c r="A235" s="171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87" customFormat="1" x14ac:dyDescent="0.25">
      <c r="A236" s="171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87" customFormat="1" x14ac:dyDescent="0.25">
      <c r="A237" s="171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87" customFormat="1" x14ac:dyDescent="0.25">
      <c r="A238" s="171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87" customFormat="1" x14ac:dyDescent="0.25">
      <c r="A239" s="171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87" customFormat="1" x14ac:dyDescent="0.25">
      <c r="A240" s="171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87" customFormat="1" x14ac:dyDescent="0.25">
      <c r="A241" s="17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87" customFormat="1" x14ac:dyDescent="0.25">
      <c r="A242" s="171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87" customFormat="1" x14ac:dyDescent="0.25">
      <c r="A243" s="171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87" customFormat="1" x14ac:dyDescent="0.25">
      <c r="A244" s="171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87" customFormat="1" x14ac:dyDescent="0.25">
      <c r="A245" s="171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87" customFormat="1" x14ac:dyDescent="0.25">
      <c r="A246" s="171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87" customFormat="1" x14ac:dyDescent="0.25">
      <c r="A247" s="171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87" customFormat="1" x14ac:dyDescent="0.25">
      <c r="A248" s="171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87" customFormat="1" x14ac:dyDescent="0.25">
      <c r="A249" s="171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87" customFormat="1" x14ac:dyDescent="0.25">
      <c r="A250" s="171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87" customFormat="1" x14ac:dyDescent="0.25">
      <c r="A251" s="17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87" customFormat="1" x14ac:dyDescent="0.25">
      <c r="A252" s="171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87" customFormat="1" x14ac:dyDescent="0.25">
      <c r="A253" s="171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87" customFormat="1" x14ac:dyDescent="0.25">
      <c r="A254" s="171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87" customFormat="1" x14ac:dyDescent="0.25">
      <c r="A255" s="171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87" customFormat="1" x14ac:dyDescent="0.25">
      <c r="A256" s="171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87" customFormat="1" x14ac:dyDescent="0.25">
      <c r="A257" s="171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87" customFormat="1" x14ac:dyDescent="0.25">
      <c r="A258" s="171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87" customFormat="1" x14ac:dyDescent="0.25">
      <c r="A259" s="171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87" customFormat="1" x14ac:dyDescent="0.25">
      <c r="A260" s="171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87" customFormat="1" x14ac:dyDescent="0.25">
      <c r="A261" s="17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87" customFormat="1" x14ac:dyDescent="0.25">
      <c r="A262" s="171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87" customFormat="1" x14ac:dyDescent="0.25">
      <c r="A263" s="171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87" customFormat="1" x14ac:dyDescent="0.25">
      <c r="A264" s="171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87" customFormat="1" x14ac:dyDescent="0.25">
      <c r="A265" s="171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87" customFormat="1" x14ac:dyDescent="0.25">
      <c r="A266" s="171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87" customFormat="1" x14ac:dyDescent="0.25">
      <c r="A267" s="171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87" customFormat="1" x14ac:dyDescent="0.25">
      <c r="A268" s="171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87" customFormat="1" x14ac:dyDescent="0.25">
      <c r="A269" s="171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87" customFormat="1" x14ac:dyDescent="0.25">
      <c r="A270" s="171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87" customFormat="1" x14ac:dyDescent="0.25">
      <c r="A271" s="1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87" customFormat="1" x14ac:dyDescent="0.25">
      <c r="A272" s="171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87" customFormat="1" x14ac:dyDescent="0.25">
      <c r="A273" s="171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87" customFormat="1" x14ac:dyDescent="0.25">
      <c r="A274" s="171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87" customFormat="1" x14ac:dyDescent="0.25">
      <c r="A275" s="171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87" customFormat="1" x14ac:dyDescent="0.25">
      <c r="A276" s="171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87" customFormat="1" x14ac:dyDescent="0.25">
      <c r="A277" s="171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87" customFormat="1" x14ac:dyDescent="0.25">
      <c r="A278" s="171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87" customFormat="1" x14ac:dyDescent="0.25">
      <c r="A279" s="171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87" customFormat="1" x14ac:dyDescent="0.25">
      <c r="A280" s="171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87" customFormat="1" x14ac:dyDescent="0.25">
      <c r="A281" s="17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87" customFormat="1" x14ac:dyDescent="0.25">
      <c r="A282" s="171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87" customFormat="1" x14ac:dyDescent="0.25">
      <c r="A283" s="171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87" customFormat="1" x14ac:dyDescent="0.25">
      <c r="A284" s="171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87" customFormat="1" x14ac:dyDescent="0.25">
      <c r="A285" s="171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87" customFormat="1" x14ac:dyDescent="0.25">
      <c r="A286" s="171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87" customFormat="1" x14ac:dyDescent="0.25">
      <c r="A287" s="171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87" customFormat="1" x14ac:dyDescent="0.25">
      <c r="A288" s="171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87" customFormat="1" x14ac:dyDescent="0.25">
      <c r="A289" s="171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87" customFormat="1" x14ac:dyDescent="0.25">
      <c r="A290" s="171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87" customFormat="1" x14ac:dyDescent="0.25">
      <c r="A291" s="17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87" customFormat="1" x14ac:dyDescent="0.25">
      <c r="A292" s="171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87" customFormat="1" x14ac:dyDescent="0.25">
      <c r="A293" s="171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87" customFormat="1" x14ac:dyDescent="0.25">
      <c r="A294" s="171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87" customFormat="1" x14ac:dyDescent="0.25">
      <c r="A295" s="171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87" customFormat="1" x14ac:dyDescent="0.25">
      <c r="A296" s="17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87" customFormat="1" x14ac:dyDescent="0.25">
      <c r="A297" s="17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87" customFormat="1" x14ac:dyDescent="0.25">
      <c r="A298" s="171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87" customFormat="1" x14ac:dyDescent="0.25">
      <c r="A299" s="171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87" customFormat="1" x14ac:dyDescent="0.25">
      <c r="A300" s="171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87" customFormat="1" x14ac:dyDescent="0.25">
      <c r="A301" s="17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87" customFormat="1" x14ac:dyDescent="0.25">
      <c r="A302" s="171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87" customFormat="1" x14ac:dyDescent="0.25">
      <c r="A303" s="171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87" customFormat="1" x14ac:dyDescent="0.25">
      <c r="A304" s="171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87" customFormat="1" x14ac:dyDescent="0.25">
      <c r="A305" s="171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87" customFormat="1" x14ac:dyDescent="0.25">
      <c r="A306" s="171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87" customFormat="1" x14ac:dyDescent="0.25">
      <c r="A307" s="171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87" customFormat="1" x14ac:dyDescent="0.25">
      <c r="A308" s="171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87" customFormat="1" x14ac:dyDescent="0.25">
      <c r="A309" s="171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87" customFormat="1" x14ac:dyDescent="0.25">
      <c r="A310" s="171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87" customFormat="1" x14ac:dyDescent="0.25">
      <c r="A311" s="17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s="87" customFormat="1" x14ac:dyDescent="0.25">
      <c r="A312" s="171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 s="171"/>
    </row>
    <row r="314" spans="1:28" x14ac:dyDescent="0.25">
      <c r="A314" s="171"/>
    </row>
    <row r="315" spans="1:28" x14ac:dyDescent="0.25">
      <c r="A315" s="171"/>
    </row>
    <row r="316" spans="1:28" x14ac:dyDescent="0.25">
      <c r="A316" s="171"/>
    </row>
    <row r="317" spans="1:28" x14ac:dyDescent="0.25">
      <c r="A317" s="171"/>
    </row>
    <row r="318" spans="1:28" x14ac:dyDescent="0.25">
      <c r="A318" s="171"/>
    </row>
    <row r="319" spans="1:28" x14ac:dyDescent="0.25">
      <c r="A319" s="171"/>
    </row>
    <row r="320" spans="1:28" x14ac:dyDescent="0.25">
      <c r="A320" s="171"/>
    </row>
    <row r="321" spans="1:1" x14ac:dyDescent="0.25">
      <c r="A321" s="171"/>
    </row>
    <row r="322" spans="1:1" x14ac:dyDescent="0.25">
      <c r="A322" s="171"/>
    </row>
    <row r="323" spans="1:1" x14ac:dyDescent="0.25">
      <c r="A323" s="171"/>
    </row>
    <row r="324" spans="1:1" x14ac:dyDescent="0.25">
      <c r="A324" s="171"/>
    </row>
    <row r="325" spans="1:1" x14ac:dyDescent="0.25">
      <c r="A325" s="171"/>
    </row>
    <row r="326" spans="1:1" x14ac:dyDescent="0.25">
      <c r="A326" s="171"/>
    </row>
    <row r="327" spans="1:1" x14ac:dyDescent="0.25">
      <c r="A327" s="171"/>
    </row>
    <row r="328" spans="1:1" x14ac:dyDescent="0.25">
      <c r="A328" s="171"/>
    </row>
    <row r="329" spans="1:1" x14ac:dyDescent="0.25">
      <c r="A329" s="171"/>
    </row>
    <row r="330" spans="1:1" x14ac:dyDescent="0.25">
      <c r="A330" s="171"/>
    </row>
    <row r="331" spans="1:1" x14ac:dyDescent="0.25">
      <c r="A331" s="171"/>
    </row>
    <row r="332" spans="1:1" x14ac:dyDescent="0.25">
      <c r="A332" s="171"/>
    </row>
    <row r="333" spans="1:1" x14ac:dyDescent="0.25">
      <c r="A333" s="171"/>
    </row>
    <row r="334" spans="1:1" x14ac:dyDescent="0.25">
      <c r="A334" s="171"/>
    </row>
    <row r="335" spans="1:1" x14ac:dyDescent="0.25">
      <c r="A335" s="171"/>
    </row>
    <row r="336" spans="1:1" x14ac:dyDescent="0.25">
      <c r="A336" s="171"/>
    </row>
    <row r="337" spans="1:1" x14ac:dyDescent="0.25">
      <c r="A337" s="171"/>
    </row>
    <row r="338" spans="1:1" x14ac:dyDescent="0.25">
      <c r="A338" s="171"/>
    </row>
    <row r="339" spans="1:1" x14ac:dyDescent="0.25">
      <c r="A339" s="171"/>
    </row>
    <row r="340" spans="1:1" x14ac:dyDescent="0.25">
      <c r="A340" s="171"/>
    </row>
    <row r="341" spans="1:1" x14ac:dyDescent="0.25">
      <c r="A341" s="171"/>
    </row>
    <row r="342" spans="1:1" x14ac:dyDescent="0.25">
      <c r="A342" s="171"/>
    </row>
    <row r="343" spans="1:1" x14ac:dyDescent="0.25">
      <c r="A343" s="171"/>
    </row>
    <row r="344" spans="1:1" x14ac:dyDescent="0.25">
      <c r="A344" s="171"/>
    </row>
    <row r="345" spans="1:1" x14ac:dyDescent="0.25">
      <c r="A345" s="171"/>
    </row>
    <row r="346" spans="1:1" x14ac:dyDescent="0.25">
      <c r="A346" s="171"/>
    </row>
    <row r="347" spans="1:1" x14ac:dyDescent="0.25">
      <c r="A347" s="171"/>
    </row>
    <row r="348" spans="1:1" x14ac:dyDescent="0.25">
      <c r="A348" s="171"/>
    </row>
    <row r="349" spans="1:1" x14ac:dyDescent="0.25">
      <c r="A349" s="171"/>
    </row>
    <row r="350" spans="1:1" x14ac:dyDescent="0.25">
      <c r="A350" s="171"/>
    </row>
    <row r="351" spans="1:1" x14ac:dyDescent="0.25">
      <c r="A351" s="171"/>
    </row>
    <row r="352" spans="1:1" x14ac:dyDescent="0.25">
      <c r="A352" s="171"/>
    </row>
    <row r="353" spans="1:1" x14ac:dyDescent="0.25">
      <c r="A353" s="171"/>
    </row>
    <row r="354" spans="1:1" x14ac:dyDescent="0.25">
      <c r="A354" s="171"/>
    </row>
    <row r="355" spans="1:1" x14ac:dyDescent="0.25">
      <c r="A355" s="171"/>
    </row>
    <row r="356" spans="1:1" x14ac:dyDescent="0.25">
      <c r="A356" s="171"/>
    </row>
    <row r="357" spans="1:1" x14ac:dyDescent="0.25">
      <c r="A357" s="171"/>
    </row>
    <row r="358" spans="1:1" x14ac:dyDescent="0.25">
      <c r="A358" s="171"/>
    </row>
    <row r="359" spans="1:1" x14ac:dyDescent="0.25">
      <c r="A359" s="171"/>
    </row>
    <row r="360" spans="1:1" x14ac:dyDescent="0.25">
      <c r="A360" s="171"/>
    </row>
    <row r="361" spans="1:1" x14ac:dyDescent="0.25">
      <c r="A361" s="171"/>
    </row>
    <row r="362" spans="1:1" x14ac:dyDescent="0.25">
      <c r="A362" s="171"/>
    </row>
    <row r="363" spans="1:1" x14ac:dyDescent="0.25">
      <c r="A363" s="171"/>
    </row>
    <row r="364" spans="1:1" x14ac:dyDescent="0.25">
      <c r="A364" s="171"/>
    </row>
    <row r="365" spans="1:1" x14ac:dyDescent="0.25">
      <c r="A365" s="171"/>
    </row>
    <row r="366" spans="1:1" x14ac:dyDescent="0.25">
      <c r="A366" s="171"/>
    </row>
    <row r="367" spans="1:1" x14ac:dyDescent="0.25">
      <c r="A367" s="171"/>
    </row>
    <row r="368" spans="1:1" x14ac:dyDescent="0.25">
      <c r="A368" s="171"/>
    </row>
    <row r="369" spans="1:1" x14ac:dyDescent="0.25">
      <c r="A369" s="171"/>
    </row>
    <row r="370" spans="1:1" x14ac:dyDescent="0.25">
      <c r="A370" s="171"/>
    </row>
    <row r="371" spans="1:1" x14ac:dyDescent="0.25">
      <c r="A371" s="171"/>
    </row>
    <row r="372" spans="1:1" x14ac:dyDescent="0.25">
      <c r="A372" s="171"/>
    </row>
    <row r="373" spans="1:1" x14ac:dyDescent="0.25">
      <c r="A373" s="171"/>
    </row>
    <row r="374" spans="1:1" x14ac:dyDescent="0.25">
      <c r="A374" s="171"/>
    </row>
    <row r="375" spans="1:1" x14ac:dyDescent="0.25">
      <c r="A375" s="171"/>
    </row>
    <row r="376" spans="1:1" x14ac:dyDescent="0.25">
      <c r="A376" s="171"/>
    </row>
    <row r="377" spans="1:1" x14ac:dyDescent="0.25">
      <c r="A377" s="171"/>
    </row>
    <row r="378" spans="1:1" x14ac:dyDescent="0.25">
      <c r="A378" s="171"/>
    </row>
    <row r="379" spans="1:1" x14ac:dyDescent="0.25">
      <c r="A379" s="171"/>
    </row>
    <row r="380" spans="1:1" x14ac:dyDescent="0.25">
      <c r="A380" s="171"/>
    </row>
    <row r="381" spans="1:1" x14ac:dyDescent="0.25">
      <c r="A381" s="171"/>
    </row>
    <row r="382" spans="1:1" x14ac:dyDescent="0.25">
      <c r="A382" s="171"/>
    </row>
    <row r="383" spans="1:1" x14ac:dyDescent="0.25">
      <c r="A383" s="171"/>
    </row>
    <row r="384" spans="1:1" x14ac:dyDescent="0.25">
      <c r="A384" s="171"/>
    </row>
    <row r="385" spans="1:1" x14ac:dyDescent="0.25">
      <c r="A385" s="171"/>
    </row>
    <row r="386" spans="1:1" x14ac:dyDescent="0.25">
      <c r="A386" s="171"/>
    </row>
    <row r="387" spans="1:1" x14ac:dyDescent="0.25">
      <c r="A387" s="171"/>
    </row>
    <row r="388" spans="1:1" x14ac:dyDescent="0.25">
      <c r="A388" s="171"/>
    </row>
    <row r="389" spans="1:1" x14ac:dyDescent="0.25">
      <c r="A389" s="171"/>
    </row>
    <row r="390" spans="1:1" x14ac:dyDescent="0.25">
      <c r="A390" s="171"/>
    </row>
    <row r="391" spans="1:1" x14ac:dyDescent="0.25">
      <c r="A391" s="171"/>
    </row>
    <row r="392" spans="1:1" x14ac:dyDescent="0.25">
      <c r="A392" s="171"/>
    </row>
    <row r="393" spans="1:1" x14ac:dyDescent="0.25">
      <c r="A393" s="171"/>
    </row>
    <row r="394" spans="1:1" x14ac:dyDescent="0.25">
      <c r="A394" s="171"/>
    </row>
    <row r="395" spans="1:1" x14ac:dyDescent="0.25">
      <c r="A395" s="171"/>
    </row>
    <row r="396" spans="1:1" x14ac:dyDescent="0.25">
      <c r="A396" s="171"/>
    </row>
    <row r="397" spans="1:1" x14ac:dyDescent="0.25">
      <c r="A397" s="171"/>
    </row>
    <row r="398" spans="1:1" x14ac:dyDescent="0.25">
      <c r="A398" s="171"/>
    </row>
    <row r="399" spans="1:1" x14ac:dyDescent="0.25">
      <c r="A399" s="171"/>
    </row>
    <row r="400" spans="1:1" x14ac:dyDescent="0.25">
      <c r="A400" s="171"/>
    </row>
    <row r="401" spans="1:1" x14ac:dyDescent="0.25">
      <c r="A401" s="171"/>
    </row>
    <row r="402" spans="1:1" x14ac:dyDescent="0.25">
      <c r="A402" s="171"/>
    </row>
    <row r="403" spans="1:1" x14ac:dyDescent="0.25">
      <c r="A403" s="171"/>
    </row>
    <row r="404" spans="1:1" x14ac:dyDescent="0.25">
      <c r="A404" s="171"/>
    </row>
    <row r="405" spans="1:1" x14ac:dyDescent="0.25">
      <c r="A405" s="171"/>
    </row>
    <row r="406" spans="1:1" x14ac:dyDescent="0.25">
      <c r="A406" s="171"/>
    </row>
    <row r="407" spans="1:1" x14ac:dyDescent="0.25">
      <c r="A407" s="171"/>
    </row>
    <row r="408" spans="1:1" x14ac:dyDescent="0.25">
      <c r="A408" s="171"/>
    </row>
    <row r="409" spans="1:1" x14ac:dyDescent="0.25">
      <c r="A409" s="171"/>
    </row>
    <row r="410" spans="1:1" x14ac:dyDescent="0.25">
      <c r="A410" s="171"/>
    </row>
    <row r="411" spans="1:1" x14ac:dyDescent="0.25">
      <c r="A411" s="171"/>
    </row>
    <row r="412" spans="1:1" x14ac:dyDescent="0.25">
      <c r="A412" s="171"/>
    </row>
    <row r="413" spans="1:1" x14ac:dyDescent="0.25">
      <c r="A413" s="171"/>
    </row>
    <row r="414" spans="1:1" x14ac:dyDescent="0.25">
      <c r="A414" s="171"/>
    </row>
    <row r="415" spans="1:1" x14ac:dyDescent="0.25">
      <c r="A415" s="171"/>
    </row>
    <row r="416" spans="1:1" x14ac:dyDescent="0.25">
      <c r="A416" s="171"/>
    </row>
    <row r="417" spans="1:1" x14ac:dyDescent="0.25">
      <c r="A417" s="171"/>
    </row>
    <row r="418" spans="1:1" x14ac:dyDescent="0.25">
      <c r="A418" s="171"/>
    </row>
    <row r="419" spans="1:1" x14ac:dyDescent="0.25">
      <c r="A419" s="171"/>
    </row>
    <row r="420" spans="1:1" x14ac:dyDescent="0.25">
      <c r="A420" s="171"/>
    </row>
    <row r="421" spans="1:1" x14ac:dyDescent="0.25">
      <c r="A421" s="171"/>
    </row>
    <row r="422" spans="1:1" x14ac:dyDescent="0.25">
      <c r="A422" s="171"/>
    </row>
    <row r="423" spans="1:1" x14ac:dyDescent="0.25">
      <c r="A423" s="171"/>
    </row>
    <row r="424" spans="1:1" x14ac:dyDescent="0.25">
      <c r="A424" s="171"/>
    </row>
    <row r="425" spans="1:1" x14ac:dyDescent="0.25">
      <c r="A425" s="171"/>
    </row>
    <row r="426" spans="1:1" x14ac:dyDescent="0.25">
      <c r="A426" s="171"/>
    </row>
    <row r="427" spans="1:1" x14ac:dyDescent="0.25">
      <c r="A427" s="171"/>
    </row>
    <row r="428" spans="1:1" x14ac:dyDescent="0.25">
      <c r="A428" s="171"/>
    </row>
    <row r="429" spans="1:1" x14ac:dyDescent="0.25">
      <c r="A429" s="171"/>
    </row>
    <row r="430" spans="1:1" x14ac:dyDescent="0.25">
      <c r="A430" s="171"/>
    </row>
    <row r="431" spans="1:1" x14ac:dyDescent="0.25">
      <c r="A431" s="171"/>
    </row>
    <row r="432" spans="1:1" x14ac:dyDescent="0.25">
      <c r="A432" s="171"/>
    </row>
    <row r="433" spans="1:1" x14ac:dyDescent="0.25">
      <c r="A433" s="171"/>
    </row>
    <row r="434" spans="1:1" x14ac:dyDescent="0.25">
      <c r="A434" s="171"/>
    </row>
    <row r="435" spans="1:1" x14ac:dyDescent="0.25">
      <c r="A435" s="171"/>
    </row>
    <row r="436" spans="1:1" x14ac:dyDescent="0.25">
      <c r="A436" s="171"/>
    </row>
    <row r="437" spans="1:1" x14ac:dyDescent="0.25">
      <c r="A437" s="171"/>
    </row>
    <row r="438" spans="1:1" x14ac:dyDescent="0.25">
      <c r="A438" s="171"/>
    </row>
    <row r="439" spans="1:1" x14ac:dyDescent="0.25">
      <c r="A439" s="171"/>
    </row>
    <row r="440" spans="1:1" x14ac:dyDescent="0.25">
      <c r="A440" s="171"/>
    </row>
    <row r="441" spans="1:1" x14ac:dyDescent="0.25">
      <c r="A441" s="171"/>
    </row>
    <row r="442" spans="1:1" x14ac:dyDescent="0.25">
      <c r="A442" s="171"/>
    </row>
    <row r="443" spans="1:1" x14ac:dyDescent="0.25">
      <c r="A443" s="171"/>
    </row>
    <row r="444" spans="1:1" x14ac:dyDescent="0.25">
      <c r="A444" s="171"/>
    </row>
    <row r="445" spans="1:1" x14ac:dyDescent="0.25">
      <c r="A445" s="171"/>
    </row>
    <row r="446" spans="1:1" x14ac:dyDescent="0.25">
      <c r="A446" s="171"/>
    </row>
    <row r="447" spans="1:1" x14ac:dyDescent="0.25">
      <c r="A447" s="171"/>
    </row>
    <row r="448" spans="1:1" x14ac:dyDescent="0.25">
      <c r="A448" s="171"/>
    </row>
    <row r="449" spans="1:1" x14ac:dyDescent="0.25">
      <c r="A449" s="171"/>
    </row>
    <row r="450" spans="1:1" x14ac:dyDescent="0.25">
      <c r="A450" s="171"/>
    </row>
    <row r="451" spans="1:1" x14ac:dyDescent="0.25">
      <c r="A451" s="171"/>
    </row>
    <row r="452" spans="1:1" x14ac:dyDescent="0.25">
      <c r="A452" s="171"/>
    </row>
    <row r="453" spans="1:1" x14ac:dyDescent="0.25">
      <c r="A453" s="171"/>
    </row>
    <row r="454" spans="1:1" x14ac:dyDescent="0.25">
      <c r="A454" s="171"/>
    </row>
    <row r="455" spans="1:1" x14ac:dyDescent="0.25">
      <c r="A455" s="171"/>
    </row>
    <row r="456" spans="1:1" x14ac:dyDescent="0.25">
      <c r="A456" s="171"/>
    </row>
    <row r="457" spans="1:1" x14ac:dyDescent="0.25">
      <c r="A457" s="171"/>
    </row>
    <row r="458" spans="1:1" x14ac:dyDescent="0.25">
      <c r="A458" s="171"/>
    </row>
    <row r="459" spans="1:1" x14ac:dyDescent="0.25">
      <c r="A459" s="171"/>
    </row>
    <row r="460" spans="1:1" x14ac:dyDescent="0.25">
      <c r="A460" s="171"/>
    </row>
    <row r="461" spans="1:1" x14ac:dyDescent="0.25">
      <c r="A461" s="171"/>
    </row>
    <row r="462" spans="1:1" x14ac:dyDescent="0.25">
      <c r="A462" s="171"/>
    </row>
    <row r="463" spans="1:1" x14ac:dyDescent="0.25">
      <c r="A463" s="171"/>
    </row>
    <row r="464" spans="1:1" x14ac:dyDescent="0.25">
      <c r="A464" s="171"/>
    </row>
    <row r="465" spans="1:1" x14ac:dyDescent="0.25">
      <c r="A465" s="171"/>
    </row>
    <row r="466" spans="1:1" x14ac:dyDescent="0.25">
      <c r="A466" s="171"/>
    </row>
    <row r="467" spans="1:1" x14ac:dyDescent="0.25">
      <c r="A467" s="171"/>
    </row>
    <row r="468" spans="1:1" x14ac:dyDescent="0.25">
      <c r="A468" s="171"/>
    </row>
    <row r="469" spans="1:1" x14ac:dyDescent="0.25">
      <c r="A469" s="171"/>
    </row>
    <row r="470" spans="1:1" x14ac:dyDescent="0.25">
      <c r="A470" s="171"/>
    </row>
    <row r="471" spans="1:1" x14ac:dyDescent="0.25">
      <c r="A471" s="171"/>
    </row>
    <row r="472" spans="1:1" x14ac:dyDescent="0.25">
      <c r="A472" s="171"/>
    </row>
    <row r="473" spans="1:1" x14ac:dyDescent="0.25">
      <c r="A473" s="171"/>
    </row>
    <row r="474" spans="1:1" x14ac:dyDescent="0.25">
      <c r="A474" s="171"/>
    </row>
    <row r="475" spans="1:1" x14ac:dyDescent="0.25">
      <c r="A475" s="171"/>
    </row>
    <row r="476" spans="1:1" x14ac:dyDescent="0.25">
      <c r="A476" s="171"/>
    </row>
    <row r="477" spans="1:1" x14ac:dyDescent="0.25">
      <c r="A477" s="171"/>
    </row>
    <row r="478" spans="1:1" x14ac:dyDescent="0.25">
      <c r="A478" s="171"/>
    </row>
    <row r="479" spans="1:1" x14ac:dyDescent="0.25">
      <c r="A479" s="171"/>
    </row>
    <row r="480" spans="1:1" x14ac:dyDescent="0.25">
      <c r="A480" s="171"/>
    </row>
    <row r="481" spans="1:1" x14ac:dyDescent="0.25">
      <c r="A481" s="171"/>
    </row>
    <row r="482" spans="1:1" x14ac:dyDescent="0.25">
      <c r="A482" s="171"/>
    </row>
    <row r="483" spans="1:1" x14ac:dyDescent="0.25">
      <c r="A483" s="171"/>
    </row>
    <row r="484" spans="1:1" x14ac:dyDescent="0.25">
      <c r="A484" s="171"/>
    </row>
    <row r="485" spans="1:1" x14ac:dyDescent="0.25">
      <c r="A485" s="171"/>
    </row>
    <row r="486" spans="1:1" x14ac:dyDescent="0.25">
      <c r="A486" s="171"/>
    </row>
    <row r="487" spans="1:1" x14ac:dyDescent="0.25">
      <c r="A487" s="171"/>
    </row>
    <row r="488" spans="1:1" x14ac:dyDescent="0.25">
      <c r="A488" s="171"/>
    </row>
    <row r="489" spans="1:1" x14ac:dyDescent="0.25">
      <c r="A489" s="171"/>
    </row>
    <row r="490" spans="1:1" x14ac:dyDescent="0.25">
      <c r="A490" s="171"/>
    </row>
    <row r="491" spans="1:1" x14ac:dyDescent="0.25">
      <c r="A491" s="171"/>
    </row>
    <row r="492" spans="1:1" x14ac:dyDescent="0.25">
      <c r="A492" s="171"/>
    </row>
    <row r="493" spans="1:1" x14ac:dyDescent="0.25">
      <c r="A493" s="171"/>
    </row>
    <row r="494" spans="1:1" x14ac:dyDescent="0.25">
      <c r="A494" s="171"/>
    </row>
    <row r="495" spans="1:1" x14ac:dyDescent="0.25">
      <c r="A495" s="171"/>
    </row>
    <row r="496" spans="1:1" x14ac:dyDescent="0.25">
      <c r="A496" s="171"/>
    </row>
    <row r="497" spans="1:1" x14ac:dyDescent="0.25">
      <c r="A497" s="171"/>
    </row>
    <row r="498" spans="1:1" x14ac:dyDescent="0.25">
      <c r="A498" s="171"/>
    </row>
    <row r="499" spans="1:1" x14ac:dyDescent="0.25">
      <c r="A499" s="171"/>
    </row>
    <row r="500" spans="1:1" x14ac:dyDescent="0.25">
      <c r="A500" s="171"/>
    </row>
    <row r="501" spans="1:1" x14ac:dyDescent="0.25">
      <c r="A501" s="171"/>
    </row>
    <row r="502" spans="1:1" x14ac:dyDescent="0.25">
      <c r="A502" s="171"/>
    </row>
    <row r="503" spans="1:1" x14ac:dyDescent="0.25">
      <c r="A503" s="171"/>
    </row>
    <row r="504" spans="1:1" x14ac:dyDescent="0.25">
      <c r="A504" s="171"/>
    </row>
    <row r="505" spans="1:1" x14ac:dyDescent="0.25">
      <c r="A505" s="171"/>
    </row>
    <row r="506" spans="1:1" x14ac:dyDescent="0.25">
      <c r="A506" s="171"/>
    </row>
    <row r="507" spans="1:1" x14ac:dyDescent="0.25">
      <c r="A507" s="171"/>
    </row>
    <row r="508" spans="1:1" x14ac:dyDescent="0.25">
      <c r="A508" s="171"/>
    </row>
    <row r="509" spans="1:1" x14ac:dyDescent="0.25">
      <c r="A509" s="171"/>
    </row>
    <row r="510" spans="1:1" x14ac:dyDescent="0.25">
      <c r="A510" s="171"/>
    </row>
    <row r="511" spans="1:1" x14ac:dyDescent="0.25">
      <c r="A511" s="171"/>
    </row>
    <row r="512" spans="1:1" x14ac:dyDescent="0.25">
      <c r="A512" s="171"/>
    </row>
    <row r="513" spans="1:1" x14ac:dyDescent="0.25">
      <c r="A513" s="171"/>
    </row>
    <row r="514" spans="1:1" x14ac:dyDescent="0.25">
      <c r="A514" s="171"/>
    </row>
    <row r="515" spans="1:1" x14ac:dyDescent="0.25">
      <c r="A515" s="171"/>
    </row>
    <row r="516" spans="1:1" x14ac:dyDescent="0.25">
      <c r="A516" s="171"/>
    </row>
    <row r="517" spans="1:1" x14ac:dyDescent="0.25">
      <c r="A517" s="171"/>
    </row>
    <row r="518" spans="1:1" x14ac:dyDescent="0.25">
      <c r="A518" s="171"/>
    </row>
    <row r="519" spans="1:1" x14ac:dyDescent="0.25">
      <c r="A519" s="171"/>
    </row>
    <row r="520" spans="1:1" x14ac:dyDescent="0.25">
      <c r="A520" s="171"/>
    </row>
    <row r="521" spans="1:1" x14ac:dyDescent="0.25">
      <c r="A521" s="171"/>
    </row>
    <row r="522" spans="1:1" x14ac:dyDescent="0.25">
      <c r="A522" s="171"/>
    </row>
    <row r="523" spans="1:1" x14ac:dyDescent="0.25">
      <c r="A523" s="171"/>
    </row>
    <row r="524" spans="1:1" x14ac:dyDescent="0.25">
      <c r="A524" s="171"/>
    </row>
    <row r="525" spans="1:1" x14ac:dyDescent="0.25">
      <c r="A525" s="171"/>
    </row>
    <row r="526" spans="1:1" x14ac:dyDescent="0.25">
      <c r="A526" s="171"/>
    </row>
    <row r="527" spans="1:1" x14ac:dyDescent="0.25">
      <c r="A527" s="171"/>
    </row>
    <row r="528" spans="1:1" x14ac:dyDescent="0.25">
      <c r="A528" s="171"/>
    </row>
    <row r="529" spans="1:1" x14ac:dyDescent="0.25">
      <c r="A529" s="171"/>
    </row>
    <row r="530" spans="1:1" x14ac:dyDescent="0.25">
      <c r="A530" s="171"/>
    </row>
    <row r="531" spans="1:1" x14ac:dyDescent="0.25">
      <c r="A531" s="171"/>
    </row>
    <row r="532" spans="1:1" x14ac:dyDescent="0.25">
      <c r="A532" s="171"/>
    </row>
    <row r="533" spans="1:1" x14ac:dyDescent="0.25">
      <c r="A533" s="171"/>
    </row>
    <row r="534" spans="1:1" x14ac:dyDescent="0.25">
      <c r="A534" s="171"/>
    </row>
    <row r="535" spans="1:1" x14ac:dyDescent="0.25">
      <c r="A535" s="171"/>
    </row>
    <row r="536" spans="1:1" x14ac:dyDescent="0.25">
      <c r="A536" s="171"/>
    </row>
    <row r="537" spans="1:1" x14ac:dyDescent="0.25">
      <c r="A537" s="171"/>
    </row>
    <row r="538" spans="1:1" x14ac:dyDescent="0.25">
      <c r="A538" s="171"/>
    </row>
    <row r="539" spans="1:1" x14ac:dyDescent="0.25">
      <c r="A539" s="171"/>
    </row>
    <row r="540" spans="1:1" x14ac:dyDescent="0.25">
      <c r="A540" s="171"/>
    </row>
    <row r="541" spans="1:1" x14ac:dyDescent="0.25">
      <c r="A541" s="171"/>
    </row>
    <row r="542" spans="1:1" x14ac:dyDescent="0.25">
      <c r="A542" s="171"/>
    </row>
    <row r="543" spans="1:1" x14ac:dyDescent="0.25">
      <c r="A543" s="171"/>
    </row>
    <row r="544" spans="1:1" x14ac:dyDescent="0.25">
      <c r="A544" s="171"/>
    </row>
    <row r="545" spans="1:1" x14ac:dyDescent="0.25">
      <c r="A545" s="171"/>
    </row>
    <row r="546" spans="1:1" x14ac:dyDescent="0.25">
      <c r="A546" s="171"/>
    </row>
    <row r="547" spans="1:1" x14ac:dyDescent="0.25">
      <c r="A547" s="171"/>
    </row>
    <row r="548" spans="1:1" x14ac:dyDescent="0.25">
      <c r="A548" s="171"/>
    </row>
    <row r="549" spans="1:1" x14ac:dyDescent="0.25">
      <c r="A549" s="171"/>
    </row>
    <row r="550" spans="1:1" x14ac:dyDescent="0.25">
      <c r="A550" s="171"/>
    </row>
    <row r="551" spans="1:1" x14ac:dyDescent="0.25">
      <c r="A551" s="171"/>
    </row>
    <row r="552" spans="1:1" x14ac:dyDescent="0.25">
      <c r="A552" s="171"/>
    </row>
    <row r="553" spans="1:1" x14ac:dyDescent="0.25">
      <c r="A553" s="171"/>
    </row>
    <row r="554" spans="1:1" x14ac:dyDescent="0.25">
      <c r="A554" s="171"/>
    </row>
    <row r="555" spans="1:1" x14ac:dyDescent="0.25">
      <c r="A555" s="171"/>
    </row>
    <row r="556" spans="1:1" x14ac:dyDescent="0.25">
      <c r="A556" s="171"/>
    </row>
    <row r="557" spans="1:1" x14ac:dyDescent="0.25">
      <c r="A557" s="171"/>
    </row>
    <row r="558" spans="1:1" x14ac:dyDescent="0.25">
      <c r="A558" s="171"/>
    </row>
    <row r="559" spans="1:1" x14ac:dyDescent="0.25">
      <c r="A559" s="171"/>
    </row>
    <row r="560" spans="1:1" x14ac:dyDescent="0.25">
      <c r="A560" s="171"/>
    </row>
    <row r="561" spans="1:1" x14ac:dyDescent="0.25">
      <c r="A561" s="171"/>
    </row>
    <row r="562" spans="1:1" x14ac:dyDescent="0.25">
      <c r="A562" s="171"/>
    </row>
    <row r="563" spans="1:1" x14ac:dyDescent="0.25">
      <c r="A563" s="171"/>
    </row>
    <row r="564" spans="1:1" x14ac:dyDescent="0.25">
      <c r="A564" s="171"/>
    </row>
    <row r="565" spans="1:1" x14ac:dyDescent="0.25">
      <c r="A565" s="171"/>
    </row>
    <row r="566" spans="1:1" x14ac:dyDescent="0.25">
      <c r="A566" s="171"/>
    </row>
    <row r="567" spans="1:1" x14ac:dyDescent="0.25">
      <c r="A567" s="17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AN10000"/>
  <sheetViews>
    <sheetView topLeftCell="A10" zoomScale="85" zoomScaleNormal="85" workbookViewId="0">
      <pane xSplit="5" ySplit="5" topLeftCell="F15" activePane="bottomRight" state="frozen"/>
      <selection activeCell="D86" sqref="D86"/>
      <selection pane="topRight" activeCell="D86" sqref="D86"/>
      <selection pane="bottomLeft" activeCell="D86" sqref="D86"/>
      <selection pane="bottomRight" activeCell="A15" sqref="A15"/>
    </sheetView>
  </sheetViews>
  <sheetFormatPr defaultColWidth="8.88671875" defaultRowHeight="13.2" x14ac:dyDescent="0.25"/>
  <cols>
    <col min="1" max="4" width="10" style="91" bestFit="1" customWidth="1"/>
    <col min="5" max="5" width="7.88671875" style="255" bestFit="1" customWidth="1"/>
    <col min="6" max="8" width="12" style="252" customWidth="1"/>
    <col min="9" max="9" width="12.88671875" style="252" customWidth="1"/>
    <col min="10" max="10" width="18.33203125" style="252" customWidth="1"/>
    <col min="11" max="11" width="14.33203125" style="252" customWidth="1"/>
    <col min="12" max="12" width="13.109375" style="252" customWidth="1"/>
    <col min="13" max="13" width="15.44140625" style="252" customWidth="1"/>
    <col min="14" max="14" width="16.44140625" style="252" customWidth="1"/>
    <col min="15" max="15" width="17.44140625" style="252" customWidth="1"/>
    <col min="16" max="18" width="12" style="252" customWidth="1"/>
    <col min="19" max="19" width="12.88671875" style="252" customWidth="1"/>
    <col min="20" max="20" width="15" style="252" customWidth="1"/>
    <col min="21" max="22" width="14" style="252" customWidth="1"/>
    <col min="23" max="24" width="14.33203125" style="252" customWidth="1"/>
    <col min="25" max="25" width="15.33203125" style="252" customWidth="1"/>
    <col min="26" max="26" width="16.44140625" style="252" customWidth="1"/>
    <col min="27" max="28" width="15" style="252" customWidth="1"/>
    <col min="29" max="29" width="13.5546875" style="252" customWidth="1"/>
    <col min="30" max="30" width="14.33203125" style="252" customWidth="1"/>
    <col min="31" max="31" width="8.88671875" style="252"/>
    <col min="32" max="32" width="18.88671875" style="252" customWidth="1"/>
    <col min="33" max="33" width="8.88671875" style="252"/>
    <col min="34" max="34" width="14.88671875" style="252" customWidth="1"/>
    <col min="35" max="16384" width="8.88671875" style="252"/>
  </cols>
  <sheetData>
    <row r="1" spans="1:40" x14ac:dyDescent="0.25">
      <c r="A1" s="253"/>
      <c r="B1" s="253"/>
      <c r="C1" s="253"/>
      <c r="D1" s="253"/>
      <c r="E1" s="253"/>
    </row>
    <row r="2" spans="1:40" x14ac:dyDescent="0.25">
      <c r="A2" s="254"/>
      <c r="B2" s="254"/>
      <c r="C2" s="254"/>
      <c r="D2" s="254"/>
      <c r="E2" s="432"/>
    </row>
    <row r="3" spans="1:40" x14ac:dyDescent="0.25">
      <c r="A3" s="254"/>
      <c r="B3" s="254"/>
      <c r="C3" s="254"/>
      <c r="D3" s="254"/>
      <c r="E3" s="432"/>
    </row>
    <row r="4" spans="1:40" x14ac:dyDescent="0.25">
      <c r="A4" s="254"/>
      <c r="B4" s="254"/>
      <c r="C4" s="254"/>
      <c r="D4" s="254"/>
      <c r="E4" s="432"/>
    </row>
    <row r="5" spans="1:40" x14ac:dyDescent="0.25">
      <c r="A5" s="254"/>
      <c r="B5" s="254"/>
      <c r="C5" s="254"/>
      <c r="D5" s="254"/>
      <c r="E5" s="432"/>
    </row>
    <row r="6" spans="1:40" x14ac:dyDescent="0.25">
      <c r="A6" s="254"/>
      <c r="B6" s="254"/>
      <c r="C6" s="254"/>
      <c r="D6" s="254"/>
      <c r="E6" s="432"/>
    </row>
    <row r="7" spans="1:40" x14ac:dyDescent="0.25">
      <c r="A7" s="254"/>
      <c r="B7" s="254"/>
      <c r="C7" s="254"/>
      <c r="D7" s="254"/>
      <c r="E7" s="432"/>
    </row>
    <row r="8" spans="1:40" x14ac:dyDescent="0.25">
      <c r="A8" s="254"/>
      <c r="B8" s="254"/>
      <c r="C8" s="254"/>
      <c r="D8" s="254"/>
      <c r="E8" s="432"/>
    </row>
    <row r="9" spans="1:40" x14ac:dyDescent="0.25">
      <c r="A9" s="254"/>
      <c r="B9" s="254"/>
      <c r="C9" s="254"/>
      <c r="D9" s="254"/>
      <c r="E9" s="432"/>
    </row>
    <row r="10" spans="1:40" hidden="1" x14ac:dyDescent="0.25">
      <c r="A10" s="254"/>
      <c r="B10" s="254"/>
      <c r="C10" s="254"/>
      <c r="D10" s="254"/>
      <c r="E10" s="432"/>
    </row>
    <row r="11" spans="1:40" hidden="1" x14ac:dyDescent="0.25">
      <c r="A11" s="256"/>
      <c r="B11" s="256"/>
      <c r="C11" s="256"/>
      <c r="D11" s="256"/>
      <c r="E11" s="256"/>
    </row>
    <row r="12" spans="1:40" ht="27.75" customHeight="1" x14ac:dyDescent="0.25">
      <c r="A12" s="433"/>
      <c r="B12" s="433"/>
      <c r="C12" s="434"/>
      <c r="D12" s="434"/>
      <c r="E12" s="609" t="s">
        <v>380</v>
      </c>
      <c r="F12" s="611" t="s">
        <v>355</v>
      </c>
      <c r="G12" s="612"/>
      <c r="H12" s="612"/>
      <c r="I12" s="612"/>
      <c r="J12" s="612"/>
      <c r="K12" s="612"/>
      <c r="L12" s="612"/>
      <c r="M12" s="612"/>
      <c r="N12" s="612"/>
      <c r="O12" s="612"/>
      <c r="P12" s="613"/>
      <c r="Q12" s="613"/>
      <c r="R12" s="613"/>
      <c r="S12" s="613"/>
      <c r="T12" s="613"/>
      <c r="U12" s="613"/>
      <c r="V12" s="613"/>
      <c r="W12" s="613"/>
      <c r="X12" s="298"/>
      <c r="Y12" s="298"/>
      <c r="Z12" s="606" t="s">
        <v>360</v>
      </c>
      <c r="AA12" s="607"/>
      <c r="AB12" s="607"/>
      <c r="AC12" s="607"/>
      <c r="AD12" s="608"/>
      <c r="AE12" s="299"/>
      <c r="AF12" s="299"/>
      <c r="AG12" s="299"/>
      <c r="AH12" s="299"/>
      <c r="AI12" s="299"/>
      <c r="AJ12" s="299"/>
      <c r="AK12" s="299"/>
      <c r="AL12" s="299"/>
      <c r="AM12" s="299"/>
      <c r="AN12" s="300"/>
    </row>
    <row r="13" spans="1:40" ht="12.75" customHeight="1" x14ac:dyDescent="0.25">
      <c r="A13" s="433"/>
      <c r="B13" s="433"/>
      <c r="C13" s="433"/>
      <c r="D13" s="433"/>
      <c r="E13" s="610"/>
      <c r="F13" s="617" t="s">
        <v>45</v>
      </c>
      <c r="G13" s="618"/>
      <c r="H13" s="618"/>
      <c r="I13" s="618"/>
      <c r="J13" s="618"/>
      <c r="K13" s="618"/>
      <c r="L13" s="618"/>
      <c r="M13" s="618"/>
      <c r="N13" s="618"/>
      <c r="O13" s="619"/>
      <c r="P13" s="614" t="s">
        <v>44</v>
      </c>
      <c r="Q13" s="615"/>
      <c r="R13" s="615"/>
      <c r="S13" s="615"/>
      <c r="T13" s="615"/>
      <c r="U13" s="615"/>
      <c r="V13" s="615"/>
      <c r="W13" s="615"/>
      <c r="X13" s="615"/>
      <c r="Y13" s="616"/>
      <c r="Z13" s="603"/>
      <c r="AA13" s="604"/>
      <c r="AB13" s="604"/>
      <c r="AC13" s="604"/>
      <c r="AD13" s="605"/>
    </row>
    <row r="14" spans="1:40" ht="59.25" customHeight="1" x14ac:dyDescent="0.25">
      <c r="A14" s="289" t="s">
        <v>32</v>
      </c>
      <c r="B14" s="435" t="s">
        <v>184</v>
      </c>
      <c r="C14" s="435" t="s">
        <v>185</v>
      </c>
      <c r="D14" s="435" t="s">
        <v>186</v>
      </c>
      <c r="E14" s="610"/>
      <c r="F14" s="296" t="s">
        <v>46</v>
      </c>
      <c r="G14" s="296" t="s">
        <v>40</v>
      </c>
      <c r="H14" s="296" t="s">
        <v>41</v>
      </c>
      <c r="I14" s="296" t="s">
        <v>47</v>
      </c>
      <c r="J14" s="296" t="s">
        <v>42</v>
      </c>
      <c r="K14" s="296" t="s">
        <v>397</v>
      </c>
      <c r="L14" s="296" t="s">
        <v>43</v>
      </c>
      <c r="M14" s="297" t="s">
        <v>363</v>
      </c>
      <c r="N14" s="297" t="s">
        <v>362</v>
      </c>
      <c r="O14" s="296" t="s">
        <v>361</v>
      </c>
      <c r="P14" s="436" t="s">
        <v>46</v>
      </c>
      <c r="Q14" s="436" t="s">
        <v>40</v>
      </c>
      <c r="R14" s="436" t="s">
        <v>41</v>
      </c>
      <c r="S14" s="436" t="s">
        <v>47</v>
      </c>
      <c r="T14" s="437" t="s">
        <v>42</v>
      </c>
      <c r="U14" s="437" t="s">
        <v>397</v>
      </c>
      <c r="V14" s="438" t="s">
        <v>43</v>
      </c>
      <c r="W14" s="436" t="s">
        <v>364</v>
      </c>
      <c r="X14" s="436" t="s">
        <v>365</v>
      </c>
      <c r="Y14" s="439" t="s">
        <v>366</v>
      </c>
      <c r="Z14" s="440" t="s">
        <v>357</v>
      </c>
      <c r="AA14" s="440" t="s">
        <v>358</v>
      </c>
      <c r="AB14" s="440" t="s">
        <v>359</v>
      </c>
      <c r="AC14" s="440" t="s">
        <v>191</v>
      </c>
      <c r="AD14" s="440" t="s">
        <v>356</v>
      </c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4.5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6">
    <mergeCell ref="Z13:AD13"/>
    <mergeCell ref="Z12:AD12"/>
    <mergeCell ref="E12:E14"/>
    <mergeCell ref="F12:W12"/>
    <mergeCell ref="P13:Y13"/>
    <mergeCell ref="F13:O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zoomScale="85" zoomScaleNormal="85" workbookViewId="0">
      <pane xSplit="10" ySplit="14" topLeftCell="K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8671875" defaultRowHeight="13.2" x14ac:dyDescent="0.25"/>
  <cols>
    <col min="1" max="4" width="8.88671875" style="91"/>
    <col min="5" max="5" width="13.44140625" style="255" customWidth="1"/>
    <col min="6" max="6" width="15" style="255" customWidth="1"/>
    <col min="7" max="7" width="15.88671875" style="255" bestFit="1" customWidth="1"/>
    <col min="8" max="8" width="15.88671875" style="255" customWidth="1"/>
    <col min="9" max="9" width="15" style="91" customWidth="1"/>
    <col min="10" max="10" width="14.33203125" style="91" customWidth="1"/>
    <col min="11" max="11" width="14.88671875" style="91" customWidth="1"/>
    <col min="12" max="12" width="11.5546875" style="91" customWidth="1"/>
    <col min="13" max="13" width="13.109375" style="91" customWidth="1"/>
    <col min="14" max="14" width="14.44140625" style="91" customWidth="1"/>
    <col min="15" max="17" width="13" style="91" customWidth="1"/>
    <col min="18" max="18" width="16.109375" style="91" bestFit="1" customWidth="1"/>
    <col min="19" max="19" width="13" style="91" customWidth="1"/>
    <col min="20" max="20" width="21.109375" style="91" bestFit="1" customWidth="1"/>
    <col min="21" max="21" width="23.6640625" style="91" bestFit="1" customWidth="1"/>
    <col min="22" max="22" width="21.44140625" style="87" customWidth="1"/>
    <col min="23" max="23" width="12" style="265" customWidth="1"/>
    <col min="24" max="24" width="15.33203125" style="265" bestFit="1" customWidth="1"/>
    <col min="25" max="25" width="11.109375" style="265" customWidth="1"/>
    <col min="26" max="26" width="11.88671875" style="265" customWidth="1"/>
    <col min="27" max="27" width="14.5546875" style="265" customWidth="1"/>
    <col min="28" max="28" width="13" style="87" customWidth="1"/>
    <col min="29" max="29" width="9.33203125" style="265" customWidth="1"/>
    <col min="30" max="30" width="13" style="87" customWidth="1"/>
    <col min="31" max="31" width="12.6640625" style="252" customWidth="1"/>
    <col min="32" max="32" width="11.6640625" style="252" customWidth="1"/>
    <col min="33" max="33" width="12.109375" style="252" customWidth="1"/>
    <col min="34" max="34" width="5.44140625" style="252" customWidth="1"/>
    <col min="35" max="36" width="11.6640625" style="252" customWidth="1"/>
    <col min="37" max="37" width="10" style="252" customWidth="1"/>
    <col min="38" max="39" width="8.88671875" style="252"/>
    <col min="41" max="16384" width="8.88671875" style="252"/>
  </cols>
  <sheetData>
    <row r="1" spans="1:40" x14ac:dyDescent="0.25"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</row>
    <row r="2" spans="1:40" x14ac:dyDescent="0.25"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</row>
    <row r="3" spans="1:40" x14ac:dyDescent="0.25"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</row>
    <row r="4" spans="1:40" x14ac:dyDescent="0.25"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</row>
    <row r="5" spans="1:40" x14ac:dyDescent="0.25"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</row>
    <row r="6" spans="1:40" x14ac:dyDescent="0.25"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</row>
    <row r="7" spans="1:40" x14ac:dyDescent="0.25"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</row>
    <row r="8" spans="1:40" x14ac:dyDescent="0.25">
      <c r="T8" s="388">
        <f>U16-T16</f>
        <v>0</v>
      </c>
      <c r="U8" s="389">
        <f>Parametros!$F$64*(-1)</f>
        <v>0</v>
      </c>
      <c r="V8" s="390">
        <f>U16-T16+(Parametros!$F$64)</f>
        <v>0</v>
      </c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</row>
    <row r="9" spans="1:40" x14ac:dyDescent="0.25">
      <c r="V9" s="91"/>
      <c r="W9" s="91"/>
      <c r="X9" s="91"/>
      <c r="Y9" s="91"/>
      <c r="Z9" s="91"/>
      <c r="AB9" s="91"/>
      <c r="AC9" s="91"/>
      <c r="AD9" s="91"/>
      <c r="AE9" s="91"/>
      <c r="AF9" s="91"/>
      <c r="AG9" s="91"/>
      <c r="AH9" s="91"/>
    </row>
    <row r="10" spans="1:40" x14ac:dyDescent="0.25">
      <c r="R10" s="315" t="s">
        <v>388</v>
      </c>
      <c r="S10" s="315"/>
      <c r="T10" s="315" t="s">
        <v>390</v>
      </c>
      <c r="U10" s="315" t="s">
        <v>388</v>
      </c>
      <c r="V10" s="91"/>
      <c r="W10" s="91"/>
      <c r="X10" s="315" t="s">
        <v>388</v>
      </c>
      <c r="Y10" s="91"/>
      <c r="Z10" s="315" t="s">
        <v>388</v>
      </c>
      <c r="AA10" s="315" t="s">
        <v>388</v>
      </c>
      <c r="AB10" s="318"/>
      <c r="AC10" s="91"/>
      <c r="AD10" s="91"/>
      <c r="AE10" s="91"/>
      <c r="AF10" s="91"/>
      <c r="AG10" s="91"/>
      <c r="AH10" s="91"/>
    </row>
    <row r="11" spans="1:40" x14ac:dyDescent="0.25">
      <c r="R11" s="91" t="s">
        <v>394</v>
      </c>
      <c r="T11" s="91" t="s">
        <v>395</v>
      </c>
      <c r="U11" s="91" t="s">
        <v>395</v>
      </c>
      <c r="V11" s="91"/>
      <c r="W11" s="91"/>
      <c r="X11" s="315" t="s">
        <v>396</v>
      </c>
      <c r="Y11" s="91"/>
      <c r="Z11" s="315" t="s">
        <v>396</v>
      </c>
      <c r="AA11" s="315" t="s">
        <v>396</v>
      </c>
      <c r="AB11" s="318"/>
      <c r="AC11" s="91"/>
      <c r="AD11" s="91"/>
      <c r="AE11" s="91"/>
      <c r="AF11" s="91"/>
      <c r="AG11" s="91"/>
      <c r="AH11" s="91"/>
    </row>
    <row r="12" spans="1:40" ht="12.75" customHeight="1" x14ac:dyDescent="0.25">
      <c r="R12" s="315" t="s">
        <v>389</v>
      </c>
      <c r="S12" s="315"/>
      <c r="T12" s="315" t="s">
        <v>391</v>
      </c>
      <c r="U12" s="315" t="s">
        <v>387</v>
      </c>
      <c r="V12" s="91"/>
      <c r="W12" s="91"/>
      <c r="X12" s="252"/>
      <c r="Y12" s="91"/>
      <c r="Z12" s="91"/>
      <c r="AA12" s="316" t="s">
        <v>393</v>
      </c>
      <c r="AB12" s="91"/>
      <c r="AC12" s="91"/>
      <c r="AD12" s="91"/>
      <c r="AE12" s="91"/>
      <c r="AF12" s="91"/>
      <c r="AG12" s="91"/>
      <c r="AH12" s="91"/>
    </row>
    <row r="13" spans="1:40" s="265" customFormat="1" ht="66" customHeight="1" x14ac:dyDescent="0.25">
      <c r="A13" s="87"/>
      <c r="B13" s="87"/>
      <c r="C13" s="87"/>
      <c r="D13" s="87"/>
      <c r="E13" s="620"/>
      <c r="F13" s="620"/>
      <c r="G13" s="620"/>
      <c r="H13" s="267"/>
      <c r="I13" s="87"/>
      <c r="J13" s="87"/>
      <c r="K13" s="620"/>
      <c r="L13" s="620"/>
      <c r="M13" s="620"/>
      <c r="N13" s="267"/>
      <c r="O13" s="87"/>
      <c r="P13" s="87"/>
      <c r="Q13" s="620" t="s">
        <v>385</v>
      </c>
      <c r="R13" s="620"/>
      <c r="S13" s="620"/>
      <c r="T13" s="314" t="s">
        <v>384</v>
      </c>
      <c r="U13" s="317" t="s">
        <v>386</v>
      </c>
      <c r="V13" s="287">
        <f>IF(MAX(V15:V10000)&lt;0.01,0,MAX(V15:V10000))</f>
        <v>0</v>
      </c>
      <c r="W13" s="620" t="s">
        <v>385</v>
      </c>
      <c r="X13" s="620"/>
      <c r="Y13" s="620"/>
      <c r="Z13" s="314" t="s">
        <v>384</v>
      </c>
      <c r="AA13" s="317" t="s">
        <v>386</v>
      </c>
      <c r="AB13" s="287">
        <f>IF(MAX(AB15:AB10000)&lt;0.01,0,MAX(AB15:AB10000))</f>
        <v>0</v>
      </c>
      <c r="AC13" s="87"/>
      <c r="AD13" s="87"/>
      <c r="AE13" s="287">
        <f>AB13</f>
        <v>0</v>
      </c>
      <c r="AL13" s="87"/>
    </row>
    <row r="14" spans="1:40" ht="34.200000000000003" x14ac:dyDescent="0.25">
      <c r="A14" s="288" t="s">
        <v>303</v>
      </c>
      <c r="B14" s="288" t="s">
        <v>304</v>
      </c>
      <c r="C14" s="288" t="s">
        <v>305</v>
      </c>
      <c r="D14" s="288" t="s">
        <v>306</v>
      </c>
      <c r="E14" s="288" t="s">
        <v>307</v>
      </c>
      <c r="F14" s="288" t="s">
        <v>308</v>
      </c>
      <c r="G14" s="288" t="s">
        <v>309</v>
      </c>
      <c r="H14" s="288" t="s">
        <v>310</v>
      </c>
      <c r="I14" s="288" t="s">
        <v>311</v>
      </c>
      <c r="J14" s="288" t="s">
        <v>312</v>
      </c>
      <c r="K14" s="288" t="s">
        <v>307</v>
      </c>
      <c r="L14" s="288" t="s">
        <v>308</v>
      </c>
      <c r="M14" s="288" t="s">
        <v>309</v>
      </c>
      <c r="N14" s="288" t="s">
        <v>313</v>
      </c>
      <c r="O14" s="288" t="s">
        <v>314</v>
      </c>
      <c r="P14" s="288" t="s">
        <v>315</v>
      </c>
      <c r="Q14" s="288" t="s">
        <v>307</v>
      </c>
      <c r="R14" s="288" t="s">
        <v>308</v>
      </c>
      <c r="S14" s="288" t="s">
        <v>309</v>
      </c>
      <c r="T14" s="288" t="s">
        <v>316</v>
      </c>
      <c r="U14" s="288" t="s">
        <v>317</v>
      </c>
      <c r="V14" s="288" t="s">
        <v>318</v>
      </c>
      <c r="W14" s="288" t="s">
        <v>307</v>
      </c>
      <c r="X14" s="288" t="s">
        <v>308</v>
      </c>
      <c r="Y14" s="288" t="s">
        <v>309</v>
      </c>
      <c r="Z14" s="288" t="s">
        <v>319</v>
      </c>
      <c r="AA14" s="288" t="s">
        <v>320</v>
      </c>
      <c r="AB14" s="441" t="s">
        <v>318</v>
      </c>
      <c r="AC14" s="288" t="s">
        <v>271</v>
      </c>
      <c r="AD14" s="288" t="s">
        <v>321</v>
      </c>
      <c r="AE14" s="288"/>
      <c r="AF14" s="288" t="s">
        <v>322</v>
      </c>
      <c r="AG14" s="288" t="s">
        <v>323</v>
      </c>
      <c r="AH14" s="288" t="s">
        <v>324</v>
      </c>
      <c r="AI14" s="288" t="s">
        <v>325</v>
      </c>
      <c r="AJ14" s="288" t="s">
        <v>326</v>
      </c>
      <c r="AK14" s="442" t="s">
        <v>327</v>
      </c>
      <c r="AL14" s="288"/>
      <c r="AN14" s="252"/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6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8671875" defaultRowHeight="13.2" x14ac:dyDescent="0.25"/>
  <cols>
    <col min="1" max="1" width="8.88671875" style="91"/>
    <col min="2" max="2" width="11.88671875" style="255" customWidth="1"/>
    <col min="3" max="3" width="11" style="255" customWidth="1"/>
    <col min="4" max="4" width="13.88671875" style="259" customWidth="1"/>
    <col min="5" max="5" width="12.5546875" style="255" customWidth="1"/>
    <col min="6" max="6" width="13.109375" style="91" customWidth="1"/>
    <col min="7" max="7" width="12.5546875" style="91" customWidth="1"/>
    <col min="8" max="8" width="13.44140625" style="91" customWidth="1"/>
    <col min="9" max="9" width="14.109375" style="91" customWidth="1"/>
    <col min="10" max="10" width="8.88671875" style="252"/>
    <col min="11" max="11" width="12.5546875" style="252" customWidth="1"/>
    <col min="12" max="16384" width="8.88671875" style="252"/>
  </cols>
  <sheetData>
    <row r="1" spans="1:9" hidden="1" x14ac:dyDescent="0.25">
      <c r="B1" s="254"/>
      <c r="C1" s="254"/>
      <c r="D1" s="257"/>
      <c r="E1" s="254"/>
    </row>
    <row r="2" spans="1:9" hidden="1" x14ac:dyDescent="0.25">
      <c r="B2" s="254"/>
      <c r="C2" s="254"/>
      <c r="D2" s="257"/>
      <c r="E2" s="254"/>
    </row>
    <row r="3" spans="1:9" hidden="1" x14ac:dyDescent="0.25">
      <c r="B3" s="254"/>
      <c r="C3" s="254"/>
      <c r="D3" s="257"/>
      <c r="E3" s="254"/>
    </row>
    <row r="4" spans="1:9" hidden="1" x14ac:dyDescent="0.25">
      <c r="B4" s="254"/>
      <c r="C4" s="254"/>
      <c r="D4" s="257"/>
      <c r="E4" s="254"/>
    </row>
    <row r="5" spans="1:9" hidden="1" x14ac:dyDescent="0.25">
      <c r="B5" s="254"/>
      <c r="C5" s="254"/>
      <c r="D5" s="257"/>
      <c r="E5" s="254"/>
    </row>
    <row r="6" spans="1:9" hidden="1" x14ac:dyDescent="0.25">
      <c r="B6" s="254"/>
      <c r="C6" s="254"/>
      <c r="D6" s="257"/>
      <c r="E6" s="254"/>
    </row>
    <row r="7" spans="1:9" hidden="1" x14ac:dyDescent="0.25">
      <c r="B7" s="254"/>
      <c r="C7" s="254"/>
      <c r="D7" s="257"/>
      <c r="E7" s="254"/>
    </row>
    <row r="8" spans="1:9" hidden="1" x14ac:dyDescent="0.25">
      <c r="B8" s="254"/>
      <c r="C8" s="254"/>
      <c r="D8" s="257"/>
      <c r="E8" s="254"/>
    </row>
    <row r="9" spans="1:9" hidden="1" x14ac:dyDescent="0.25">
      <c r="B9" s="254"/>
      <c r="C9" s="254"/>
      <c r="D9" s="257"/>
      <c r="E9" s="254"/>
    </row>
    <row r="10" spans="1:9" hidden="1" x14ac:dyDescent="0.25">
      <c r="B10" s="254"/>
      <c r="C10" s="254"/>
      <c r="D10" s="257"/>
      <c r="E10" s="254"/>
    </row>
    <row r="11" spans="1:9" hidden="1" x14ac:dyDescent="0.25">
      <c r="B11" s="256"/>
      <c r="C11" s="256"/>
      <c r="D11" s="258"/>
      <c r="E11" s="256"/>
    </row>
    <row r="12" spans="1:9" ht="12.75" customHeight="1" x14ac:dyDescent="0.25">
      <c r="A12" s="87"/>
      <c r="B12" s="621" t="s">
        <v>33</v>
      </c>
      <c r="C12" s="622"/>
      <c r="D12" s="623" t="s">
        <v>34</v>
      </c>
      <c r="E12" s="624"/>
      <c r="F12" s="623" t="s">
        <v>99</v>
      </c>
      <c r="G12" s="624"/>
      <c r="H12" s="623" t="s">
        <v>100</v>
      </c>
      <c r="I12" s="624"/>
    </row>
    <row r="13" spans="1:9" ht="41.25" customHeight="1" x14ac:dyDescent="0.25">
      <c r="A13" s="87"/>
      <c r="B13" s="621"/>
      <c r="C13" s="622"/>
      <c r="D13" s="625"/>
      <c r="E13" s="626"/>
      <c r="F13" s="625"/>
      <c r="G13" s="626"/>
      <c r="H13" s="625"/>
      <c r="I13" s="626"/>
    </row>
    <row r="14" spans="1:9" ht="34.200000000000003" x14ac:dyDescent="0.25">
      <c r="A14" s="289" t="s">
        <v>32</v>
      </c>
      <c r="B14" s="290" t="s">
        <v>36</v>
      </c>
      <c r="C14" s="290" t="s">
        <v>37</v>
      </c>
      <c r="D14" s="291" t="s">
        <v>36</v>
      </c>
      <c r="E14" s="292" t="s">
        <v>37</v>
      </c>
      <c r="F14" s="291" t="s">
        <v>36</v>
      </c>
      <c r="G14" s="292" t="s">
        <v>37</v>
      </c>
      <c r="H14" s="291" t="s">
        <v>36</v>
      </c>
      <c r="I14" s="292" t="s">
        <v>37</v>
      </c>
    </row>
    <row r="15" spans="1:9" customFormat="1" x14ac:dyDescent="0.25"/>
    <row r="16" spans="1:9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8671875" defaultRowHeight="13.2" x14ac:dyDescent="0.25"/>
  <cols>
    <col min="1" max="1" width="10.5546875" style="91" customWidth="1"/>
    <col min="2" max="2" width="10.88671875" style="91" customWidth="1"/>
    <col min="3" max="3" width="11" style="255" customWidth="1"/>
    <col min="4" max="4" width="12.88671875" style="255" customWidth="1"/>
    <col min="5" max="16384" width="8.88671875" style="252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>
      <c r="C12" s="91"/>
      <c r="D12" s="91"/>
    </row>
    <row r="13" spans="1:4" hidden="1" x14ac:dyDescent="0.25">
      <c r="C13" s="91"/>
      <c r="D13" s="91"/>
    </row>
    <row r="14" spans="1:4" ht="34.200000000000003" x14ac:dyDescent="0.25">
      <c r="A14" s="289" t="s">
        <v>51</v>
      </c>
      <c r="B14" s="289" t="s">
        <v>49</v>
      </c>
      <c r="C14" s="289" t="s">
        <v>50</v>
      </c>
      <c r="D14" s="289" t="s">
        <v>70</v>
      </c>
    </row>
    <row r="15" spans="1:4" customFormat="1" x14ac:dyDescent="0.25"/>
    <row r="16" spans="1:4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A568" sqref="A568:A1133"/>
    </sheetView>
  </sheetViews>
  <sheetFormatPr defaultColWidth="8.88671875" defaultRowHeight="13.2" x14ac:dyDescent="0.25"/>
  <cols>
    <col min="1" max="1" width="14.33203125" bestFit="1" customWidth="1"/>
  </cols>
  <sheetData>
    <row r="1" spans="1:6" x14ac:dyDescent="0.25">
      <c r="A1" s="165" t="s">
        <v>74</v>
      </c>
      <c r="B1" s="165"/>
      <c r="C1" s="165"/>
      <c r="D1" s="165"/>
      <c r="E1" s="165"/>
      <c r="F1" s="165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topLeftCell="A20" zoomScale="140" zoomScaleNormal="140" workbookViewId="0">
      <selection activeCell="I19" sqref="I19"/>
    </sheetView>
  </sheetViews>
  <sheetFormatPr defaultColWidth="8.88671875" defaultRowHeight="13.2" x14ac:dyDescent="0.25"/>
  <cols>
    <col min="1" max="1" width="8.88671875" style="96"/>
    <col min="2" max="2" width="15.109375" style="96" customWidth="1"/>
    <col min="3" max="7" width="9.5546875" style="96" customWidth="1"/>
    <col min="8" max="16384" width="8.88671875" style="96"/>
  </cols>
  <sheetData>
    <row r="1" spans="1:7" ht="35.25" customHeight="1" x14ac:dyDescent="0.25">
      <c r="A1" s="239" t="s">
        <v>7</v>
      </c>
      <c r="B1" s="239" t="s">
        <v>29</v>
      </c>
      <c r="C1" s="241" t="s">
        <v>121</v>
      </c>
      <c r="D1" s="241" t="s">
        <v>112</v>
      </c>
      <c r="E1" s="241" t="s">
        <v>30</v>
      </c>
      <c r="F1" s="241" t="s">
        <v>336</v>
      </c>
      <c r="G1" s="241" t="s">
        <v>337</v>
      </c>
    </row>
    <row r="2" spans="1:7" x14ac:dyDescent="0.25">
      <c r="A2" s="240">
        <v>1</v>
      </c>
      <c r="B2" s="243">
        <v>100</v>
      </c>
      <c r="C2" s="242">
        <v>1</v>
      </c>
      <c r="D2" s="242">
        <v>1</v>
      </c>
      <c r="E2" s="242">
        <v>0</v>
      </c>
      <c r="F2" s="242">
        <v>0</v>
      </c>
      <c r="G2" s="242"/>
    </row>
    <row r="3" spans="1:7" x14ac:dyDescent="0.25">
      <c r="A3" s="240">
        <v>2</v>
      </c>
      <c r="B3" s="243">
        <v>150</v>
      </c>
      <c r="C3" s="242">
        <v>1</v>
      </c>
      <c r="D3" s="242">
        <v>1</v>
      </c>
      <c r="E3" s="242">
        <v>0</v>
      </c>
      <c r="F3" s="242">
        <v>1</v>
      </c>
      <c r="G3" s="242"/>
    </row>
    <row r="4" spans="1:7" x14ac:dyDescent="0.25">
      <c r="A4" s="240">
        <v>3</v>
      </c>
      <c r="B4" s="243">
        <v>200</v>
      </c>
      <c r="C4" s="242">
        <v>1</v>
      </c>
      <c r="D4" s="242">
        <v>1</v>
      </c>
      <c r="E4" s="242">
        <v>0</v>
      </c>
      <c r="F4" s="242">
        <v>1</v>
      </c>
      <c r="G4" s="242"/>
    </row>
    <row r="5" spans="1:7" x14ac:dyDescent="0.25">
      <c r="A5" s="240">
        <v>4</v>
      </c>
      <c r="B5" s="243">
        <v>250</v>
      </c>
      <c r="C5" s="242">
        <v>1</v>
      </c>
      <c r="D5" s="242">
        <v>1</v>
      </c>
      <c r="E5" s="242">
        <v>0</v>
      </c>
      <c r="F5" s="242">
        <v>1</v>
      </c>
      <c r="G5" s="242"/>
    </row>
    <row r="6" spans="1:7" x14ac:dyDescent="0.25">
      <c r="A6" s="240">
        <v>5</v>
      </c>
      <c r="B6" s="243">
        <v>300</v>
      </c>
      <c r="C6" s="242">
        <v>1</v>
      </c>
      <c r="D6" s="242">
        <v>1</v>
      </c>
      <c r="E6" s="242">
        <v>0</v>
      </c>
      <c r="F6" s="242">
        <v>1</v>
      </c>
      <c r="G6" s="242"/>
    </row>
    <row r="7" spans="1:7" x14ac:dyDescent="0.25">
      <c r="A7" s="240">
        <v>6</v>
      </c>
      <c r="B7" s="243">
        <v>350</v>
      </c>
      <c r="C7" s="242">
        <v>1</v>
      </c>
      <c r="D7" s="242">
        <v>1</v>
      </c>
      <c r="E7" s="242">
        <v>1</v>
      </c>
      <c r="F7" s="242">
        <v>1</v>
      </c>
      <c r="G7" s="242">
        <v>1</v>
      </c>
    </row>
    <row r="8" spans="1:7" x14ac:dyDescent="0.25">
      <c r="A8" s="240">
        <v>7</v>
      </c>
      <c r="B8" s="243">
        <v>400</v>
      </c>
      <c r="C8" s="242"/>
      <c r="D8" s="242">
        <v>1</v>
      </c>
      <c r="E8" s="242">
        <v>1</v>
      </c>
      <c r="F8" s="242">
        <v>1</v>
      </c>
      <c r="G8" s="242">
        <v>1</v>
      </c>
    </row>
    <row r="9" spans="1:7" x14ac:dyDescent="0.25">
      <c r="A9" s="240">
        <v>8</v>
      </c>
      <c r="B9" s="243">
        <v>450</v>
      </c>
      <c r="C9" s="242">
        <v>0</v>
      </c>
      <c r="D9" s="242">
        <v>1</v>
      </c>
      <c r="E9" s="242">
        <v>1</v>
      </c>
      <c r="F9" s="242">
        <v>1</v>
      </c>
      <c r="G9" s="242">
        <v>1</v>
      </c>
    </row>
    <row r="10" spans="1:7" x14ac:dyDescent="0.25">
      <c r="A10" s="240">
        <v>9</v>
      </c>
      <c r="B10" s="243">
        <v>500</v>
      </c>
      <c r="C10" s="242">
        <v>0</v>
      </c>
      <c r="D10" s="242">
        <v>1</v>
      </c>
      <c r="E10" s="242">
        <v>1</v>
      </c>
      <c r="F10" s="242">
        <v>1</v>
      </c>
      <c r="G10" s="242">
        <v>1</v>
      </c>
    </row>
    <row r="11" spans="1:7" x14ac:dyDescent="0.25">
      <c r="A11" s="240">
        <v>10</v>
      </c>
      <c r="B11" s="243">
        <v>600</v>
      </c>
      <c r="C11" s="242">
        <v>0</v>
      </c>
      <c r="D11" s="242">
        <v>1</v>
      </c>
      <c r="E11" s="242">
        <v>1</v>
      </c>
      <c r="F11" s="242">
        <v>1</v>
      </c>
      <c r="G11" s="242">
        <v>1</v>
      </c>
    </row>
    <row r="12" spans="1:7" x14ac:dyDescent="0.25">
      <c r="A12" s="240">
        <v>11</v>
      </c>
      <c r="B12" s="243">
        <v>700</v>
      </c>
      <c r="C12" s="242">
        <v>0</v>
      </c>
      <c r="D12" s="242">
        <v>1</v>
      </c>
      <c r="E12" s="242">
        <v>1</v>
      </c>
      <c r="F12" s="242">
        <v>1</v>
      </c>
      <c r="G12" s="242"/>
    </row>
    <row r="13" spans="1:7" x14ac:dyDescent="0.25">
      <c r="A13" s="240">
        <v>12</v>
      </c>
      <c r="B13" s="243">
        <v>800</v>
      </c>
      <c r="C13" s="242">
        <v>0</v>
      </c>
      <c r="D13" s="242">
        <v>1</v>
      </c>
      <c r="E13" s="242">
        <v>1</v>
      </c>
      <c r="F13" s="242">
        <v>1</v>
      </c>
      <c r="G13" s="242"/>
    </row>
    <row r="14" spans="1:7" x14ac:dyDescent="0.25">
      <c r="A14" s="240">
        <v>13</v>
      </c>
      <c r="B14" s="243">
        <v>900</v>
      </c>
      <c r="C14" s="242">
        <v>0</v>
      </c>
      <c r="D14" s="242">
        <v>1</v>
      </c>
      <c r="E14" s="242">
        <v>1</v>
      </c>
      <c r="F14" s="242">
        <v>1</v>
      </c>
      <c r="G14" s="242"/>
    </row>
    <row r="15" spans="1:7" x14ac:dyDescent="0.25">
      <c r="A15" s="240">
        <v>14</v>
      </c>
      <c r="B15" s="243">
        <v>1000</v>
      </c>
      <c r="C15" s="242">
        <v>0</v>
      </c>
      <c r="D15" s="242">
        <v>1</v>
      </c>
      <c r="E15" s="242">
        <v>1</v>
      </c>
      <c r="F15" s="242">
        <v>1</v>
      </c>
      <c r="G15" s="242"/>
    </row>
    <row r="18" spans="2:7" x14ac:dyDescent="0.25">
      <c r="B18" s="130" t="s">
        <v>26</v>
      </c>
      <c r="C18" s="130" t="str">
        <f>IF(ISBLANK(C1),"",C1)</f>
        <v>PVC</v>
      </c>
      <c r="D18" s="130" t="str">
        <f>IF(ISBLANK(D1),"",D1)</f>
        <v>PEAD</v>
      </c>
      <c r="E18" s="130" t="str">
        <f>IF(ISBLANK(E1),"",E1)</f>
        <v>Concreto</v>
      </c>
      <c r="F18" s="130" t="str">
        <f>IF(ISBLANK(F1),"",F1)</f>
        <v>Ferro</v>
      </c>
      <c r="G18" s="130" t="str">
        <f>IF(ISBLANK(G1),"",G1)</f>
        <v>Outro</v>
      </c>
    </row>
    <row r="19" spans="2:7" ht="52.8" x14ac:dyDescent="0.25">
      <c r="B19" s="129" t="s">
        <v>31</v>
      </c>
      <c r="C19" s="39">
        <v>0.01</v>
      </c>
      <c r="D19" s="39">
        <v>0.01</v>
      </c>
      <c r="E19" s="39">
        <v>1.2999999999999999E-2</v>
      </c>
      <c r="F19" s="39">
        <v>1.2999999999999999E-2</v>
      </c>
      <c r="G19" s="39">
        <v>1.2999999999999999E-2</v>
      </c>
    </row>
    <row r="22" spans="2:7" ht="17.399999999999999" x14ac:dyDescent="0.3">
      <c r="B22" s="95" t="s">
        <v>113</v>
      </c>
      <c r="C22" s="92"/>
    </row>
    <row r="23" spans="2:7" ht="17.399999999999999" x14ac:dyDescent="0.3">
      <c r="B23" s="95" t="s">
        <v>102</v>
      </c>
      <c r="C23" s="92"/>
    </row>
    <row r="24" spans="2:7" x14ac:dyDescent="0.25">
      <c r="C24" s="92"/>
    </row>
    <row r="25" spans="2:7" x14ac:dyDescent="0.25">
      <c r="C25" s="92"/>
    </row>
    <row r="26" spans="2:7" x14ac:dyDescent="0.25">
      <c r="B26" s="118" t="s">
        <v>124</v>
      </c>
      <c r="C26" s="119"/>
      <c r="D26" s="119"/>
    </row>
    <row r="27" spans="2:7" ht="52.8" x14ac:dyDescent="0.25">
      <c r="B27" s="58" t="s">
        <v>102</v>
      </c>
      <c r="C27" s="201" t="s">
        <v>110</v>
      </c>
      <c r="D27" s="58" t="s">
        <v>103</v>
      </c>
    </row>
    <row r="28" spans="2:7" x14ac:dyDescent="0.25">
      <c r="B28" s="272" t="s">
        <v>106</v>
      </c>
      <c r="C28" s="203">
        <v>1.3</v>
      </c>
      <c r="D28" s="204">
        <v>150</v>
      </c>
    </row>
    <row r="29" spans="2:7" x14ac:dyDescent="0.25">
      <c r="B29" s="272" t="s">
        <v>104</v>
      </c>
      <c r="C29" s="203">
        <v>2</v>
      </c>
      <c r="D29" s="204">
        <v>400</v>
      </c>
    </row>
    <row r="30" spans="2:7" x14ac:dyDescent="0.25">
      <c r="B30" s="272" t="s">
        <v>107</v>
      </c>
      <c r="C30" s="203">
        <v>3</v>
      </c>
      <c r="D30" s="204">
        <v>500</v>
      </c>
    </row>
    <row r="31" spans="2:7" x14ac:dyDescent="0.25">
      <c r="B31" s="272" t="s">
        <v>105</v>
      </c>
      <c r="C31" s="203">
        <v>4</v>
      </c>
      <c r="D31" s="204">
        <v>600</v>
      </c>
    </row>
    <row r="32" spans="2:7" x14ac:dyDescent="0.25">
      <c r="B32" s="272" t="s">
        <v>108</v>
      </c>
      <c r="C32" s="203">
        <v>6</v>
      </c>
      <c r="D32" s="204">
        <v>800</v>
      </c>
    </row>
    <row r="33" spans="2:4" x14ac:dyDescent="0.25">
      <c r="B33" s="272" t="s">
        <v>109</v>
      </c>
      <c r="C33" s="203">
        <v>15</v>
      </c>
      <c r="D33" s="204">
        <v>1000</v>
      </c>
    </row>
    <row r="34" spans="2:4" x14ac:dyDescent="0.25">
      <c r="C34" s="92"/>
    </row>
    <row r="35" spans="2:4" x14ac:dyDescent="0.25">
      <c r="C35" s="92"/>
    </row>
    <row r="36" spans="2:4" x14ac:dyDescent="0.25">
      <c r="C36" s="92"/>
    </row>
    <row r="37" spans="2:4" x14ac:dyDescent="0.25">
      <c r="C37" s="92"/>
    </row>
    <row r="38" spans="2:4" x14ac:dyDescent="0.25">
      <c r="C38" s="92"/>
    </row>
    <row r="39" spans="2:4" x14ac:dyDescent="0.25">
      <c r="C39" s="92"/>
    </row>
    <row r="40" spans="2:4" x14ac:dyDescent="0.25">
      <c r="C40" s="92"/>
    </row>
    <row r="41" spans="2:4" x14ac:dyDescent="0.25">
      <c r="C41" s="92"/>
    </row>
    <row r="42" spans="2:4" x14ac:dyDescent="0.25">
      <c r="C42" s="92"/>
    </row>
    <row r="43" spans="2:4" x14ac:dyDescent="0.25">
      <c r="C43" s="92"/>
    </row>
    <row r="44" spans="2:4" x14ac:dyDescent="0.25">
      <c r="C44" s="92"/>
    </row>
    <row r="45" spans="2:4" x14ac:dyDescent="0.25">
      <c r="C45" s="92"/>
    </row>
    <row r="46" spans="2:4" x14ac:dyDescent="0.25">
      <c r="C46" s="92"/>
    </row>
    <row r="47" spans="2:4" x14ac:dyDescent="0.25">
      <c r="C47" s="92"/>
    </row>
    <row r="48" spans="2:4" x14ac:dyDescent="0.25">
      <c r="C48" s="92"/>
    </row>
    <row r="49" spans="3:3" x14ac:dyDescent="0.25">
      <c r="C49" s="92"/>
    </row>
    <row r="50" spans="3:3" x14ac:dyDescent="0.25">
      <c r="C50" s="92"/>
    </row>
    <row r="51" spans="3:3" x14ac:dyDescent="0.25">
      <c r="C51" s="92"/>
    </row>
    <row r="52" spans="3:3" x14ac:dyDescent="0.25">
      <c r="C52" s="92"/>
    </row>
    <row r="53" spans="3:3" x14ac:dyDescent="0.25">
      <c r="C53" s="92"/>
    </row>
    <row r="54" spans="3:3" x14ac:dyDescent="0.25">
      <c r="C54" s="92"/>
    </row>
    <row r="55" spans="3:3" x14ac:dyDescent="0.25">
      <c r="C55" s="92"/>
    </row>
    <row r="56" spans="3:3" x14ac:dyDescent="0.25">
      <c r="C56" s="92"/>
    </row>
    <row r="57" spans="3:3" x14ac:dyDescent="0.25">
      <c r="C57" s="92"/>
    </row>
    <row r="58" spans="3:3" x14ac:dyDescent="0.25">
      <c r="C58" s="92"/>
    </row>
    <row r="59" spans="3:3" x14ac:dyDescent="0.25">
      <c r="C59" s="92"/>
    </row>
    <row r="60" spans="3:3" x14ac:dyDescent="0.25">
      <c r="C60" s="92"/>
    </row>
    <row r="61" spans="3:3" x14ac:dyDescent="0.25">
      <c r="C61" s="92"/>
    </row>
    <row r="62" spans="3:3" x14ac:dyDescent="0.25">
      <c r="C62" s="92"/>
    </row>
    <row r="63" spans="3:3" x14ac:dyDescent="0.25">
      <c r="C63" s="92"/>
    </row>
    <row r="64" spans="3:3" x14ac:dyDescent="0.25">
      <c r="C64" s="92"/>
    </row>
    <row r="65" spans="3:3" x14ac:dyDescent="0.25">
      <c r="C65" s="92"/>
    </row>
    <row r="66" spans="3:3" x14ac:dyDescent="0.25">
      <c r="C66" s="92"/>
    </row>
    <row r="67" spans="3:3" x14ac:dyDescent="0.25">
      <c r="C67" s="92"/>
    </row>
    <row r="68" spans="3:3" x14ac:dyDescent="0.25">
      <c r="C68" s="92"/>
    </row>
    <row r="69" spans="3:3" x14ac:dyDescent="0.25">
      <c r="C69" s="92"/>
    </row>
    <row r="70" spans="3:3" x14ac:dyDescent="0.25">
      <c r="C70" s="92"/>
    </row>
    <row r="71" spans="3:3" x14ac:dyDescent="0.25">
      <c r="C71" s="92"/>
    </row>
    <row r="72" spans="3:3" x14ac:dyDescent="0.25">
      <c r="C72" s="92"/>
    </row>
    <row r="73" spans="3:3" x14ac:dyDescent="0.25">
      <c r="C73" s="92"/>
    </row>
    <row r="74" spans="3:3" x14ac:dyDescent="0.25">
      <c r="C74" s="92"/>
    </row>
    <row r="75" spans="3:3" x14ac:dyDescent="0.25">
      <c r="C75" s="92"/>
    </row>
    <row r="76" spans="3:3" x14ac:dyDescent="0.25">
      <c r="C76" s="92"/>
    </row>
    <row r="77" spans="3:3" x14ac:dyDescent="0.25">
      <c r="C77" s="92"/>
    </row>
    <row r="78" spans="3:3" x14ac:dyDescent="0.25">
      <c r="C78" s="92"/>
    </row>
    <row r="79" spans="3:3" x14ac:dyDescent="0.25">
      <c r="C79" s="92"/>
    </row>
    <row r="80" spans="3:3" x14ac:dyDescent="0.25">
      <c r="C80" s="92"/>
    </row>
    <row r="81" spans="3:3" x14ac:dyDescent="0.25">
      <c r="C81" s="92"/>
    </row>
    <row r="82" spans="3:3" x14ac:dyDescent="0.25">
      <c r="C82" s="92"/>
    </row>
    <row r="83" spans="3:3" x14ac:dyDescent="0.25">
      <c r="C83" s="92"/>
    </row>
    <row r="84" spans="3:3" x14ac:dyDescent="0.25">
      <c r="C84" s="92"/>
    </row>
    <row r="85" spans="3:3" x14ac:dyDescent="0.25">
      <c r="C85" s="92"/>
    </row>
    <row r="86" spans="3:3" x14ac:dyDescent="0.25">
      <c r="C86" s="92"/>
    </row>
    <row r="87" spans="3:3" x14ac:dyDescent="0.25">
      <c r="C87" s="92"/>
    </row>
    <row r="88" spans="3:3" x14ac:dyDescent="0.25">
      <c r="C88" s="92"/>
    </row>
    <row r="89" spans="3:3" x14ac:dyDescent="0.25">
      <c r="C89" s="92"/>
    </row>
    <row r="90" spans="3:3" x14ac:dyDescent="0.25">
      <c r="C90" s="92"/>
    </row>
    <row r="91" spans="3:3" x14ac:dyDescent="0.25">
      <c r="C91" s="92"/>
    </row>
    <row r="92" spans="3:3" x14ac:dyDescent="0.25">
      <c r="C92" s="92"/>
    </row>
    <row r="93" spans="3:3" x14ac:dyDescent="0.25">
      <c r="C93" s="92"/>
    </row>
    <row r="94" spans="3:3" x14ac:dyDescent="0.25">
      <c r="C94" s="92"/>
    </row>
    <row r="95" spans="3:3" x14ac:dyDescent="0.25">
      <c r="C95" s="92"/>
    </row>
    <row r="96" spans="3:3" x14ac:dyDescent="0.25">
      <c r="C96" s="92"/>
    </row>
    <row r="97" spans="3:3" x14ac:dyDescent="0.25">
      <c r="C97" s="92"/>
    </row>
    <row r="98" spans="3:3" x14ac:dyDescent="0.25">
      <c r="C98" s="92"/>
    </row>
    <row r="99" spans="3:3" x14ac:dyDescent="0.25">
      <c r="C99" s="92"/>
    </row>
    <row r="100" spans="3:3" x14ac:dyDescent="0.25">
      <c r="C100" s="92"/>
    </row>
    <row r="101" spans="3:3" x14ac:dyDescent="0.25">
      <c r="C101" s="92"/>
    </row>
    <row r="102" spans="3:3" x14ac:dyDescent="0.25">
      <c r="C102" s="92"/>
    </row>
    <row r="103" spans="3:3" x14ac:dyDescent="0.25">
      <c r="C103" s="92"/>
    </row>
    <row r="104" spans="3:3" x14ac:dyDescent="0.25">
      <c r="C104" s="92"/>
    </row>
    <row r="105" spans="3:3" x14ac:dyDescent="0.25">
      <c r="C105" s="92"/>
    </row>
    <row r="106" spans="3:3" x14ac:dyDescent="0.25">
      <c r="C106" s="92"/>
    </row>
    <row r="107" spans="3:3" x14ac:dyDescent="0.25">
      <c r="C107" s="92"/>
    </row>
    <row r="108" spans="3:3" x14ac:dyDescent="0.25">
      <c r="C108" s="92"/>
    </row>
    <row r="109" spans="3:3" x14ac:dyDescent="0.25">
      <c r="C109" s="92"/>
    </row>
    <row r="110" spans="3:3" x14ac:dyDescent="0.25">
      <c r="C110" s="92"/>
    </row>
    <row r="111" spans="3:3" x14ac:dyDescent="0.25">
      <c r="C111" s="92"/>
    </row>
    <row r="112" spans="3:3" x14ac:dyDescent="0.25">
      <c r="C112" s="92"/>
    </row>
    <row r="113" spans="3:3" x14ac:dyDescent="0.25">
      <c r="C113" s="92"/>
    </row>
    <row r="114" spans="3:3" x14ac:dyDescent="0.25">
      <c r="C114" s="92"/>
    </row>
    <row r="115" spans="3:3" x14ac:dyDescent="0.25">
      <c r="C115" s="92"/>
    </row>
    <row r="116" spans="3:3" x14ac:dyDescent="0.25">
      <c r="C116" s="92"/>
    </row>
    <row r="117" spans="3:3" x14ac:dyDescent="0.25">
      <c r="C117" s="92"/>
    </row>
    <row r="118" spans="3:3" x14ac:dyDescent="0.25">
      <c r="C118" s="92"/>
    </row>
    <row r="119" spans="3:3" x14ac:dyDescent="0.25">
      <c r="C119" s="92"/>
    </row>
    <row r="120" spans="3:3" x14ac:dyDescent="0.25">
      <c r="C120" s="92"/>
    </row>
    <row r="121" spans="3:3" x14ac:dyDescent="0.25">
      <c r="C121" s="92"/>
    </row>
    <row r="122" spans="3:3" x14ac:dyDescent="0.25">
      <c r="C122" s="92"/>
    </row>
    <row r="123" spans="3:3" x14ac:dyDescent="0.25">
      <c r="C123" s="92"/>
    </row>
    <row r="124" spans="3:3" x14ac:dyDescent="0.25">
      <c r="C124" s="92"/>
    </row>
    <row r="125" spans="3:3" x14ac:dyDescent="0.25">
      <c r="C125" s="92"/>
    </row>
    <row r="126" spans="3:3" x14ac:dyDescent="0.25">
      <c r="C126" s="92"/>
    </row>
    <row r="127" spans="3:3" x14ac:dyDescent="0.25">
      <c r="C127" s="92"/>
    </row>
    <row r="128" spans="3:3" x14ac:dyDescent="0.25">
      <c r="C128" s="92"/>
    </row>
    <row r="129" spans="3:3" x14ac:dyDescent="0.25">
      <c r="C129" s="92"/>
    </row>
    <row r="130" spans="3:3" x14ac:dyDescent="0.25">
      <c r="C130" s="92"/>
    </row>
    <row r="131" spans="3:3" x14ac:dyDescent="0.25">
      <c r="C131" s="92"/>
    </row>
    <row r="132" spans="3:3" x14ac:dyDescent="0.25">
      <c r="C132" s="92"/>
    </row>
    <row r="133" spans="3:3" x14ac:dyDescent="0.25">
      <c r="C133" s="92"/>
    </row>
    <row r="134" spans="3:3" x14ac:dyDescent="0.25">
      <c r="C134" s="92"/>
    </row>
    <row r="135" spans="3:3" x14ac:dyDescent="0.25">
      <c r="C135" s="92"/>
    </row>
    <row r="136" spans="3:3" x14ac:dyDescent="0.25">
      <c r="C136" s="92"/>
    </row>
    <row r="137" spans="3:3" x14ac:dyDescent="0.25">
      <c r="C137" s="92"/>
    </row>
    <row r="138" spans="3:3" x14ac:dyDescent="0.25">
      <c r="C138" s="92"/>
    </row>
    <row r="139" spans="3:3" x14ac:dyDescent="0.25">
      <c r="C139" s="92"/>
    </row>
    <row r="140" spans="3:3" x14ac:dyDescent="0.25">
      <c r="C140" s="92"/>
    </row>
    <row r="141" spans="3:3" x14ac:dyDescent="0.25">
      <c r="C141" s="92"/>
    </row>
    <row r="142" spans="3:3" x14ac:dyDescent="0.25">
      <c r="C142" s="92"/>
    </row>
    <row r="143" spans="3:3" x14ac:dyDescent="0.25">
      <c r="C143" s="92"/>
    </row>
    <row r="144" spans="3:3" x14ac:dyDescent="0.25">
      <c r="C144" s="92"/>
    </row>
    <row r="145" spans="3:3" x14ac:dyDescent="0.25">
      <c r="C145" s="92"/>
    </row>
    <row r="146" spans="3:3" x14ac:dyDescent="0.25">
      <c r="C146" s="92"/>
    </row>
    <row r="147" spans="3:3" x14ac:dyDescent="0.25">
      <c r="C147" s="92"/>
    </row>
    <row r="148" spans="3:3" x14ac:dyDescent="0.25">
      <c r="C148" s="92"/>
    </row>
    <row r="149" spans="3:3" x14ac:dyDescent="0.25">
      <c r="C149" s="92"/>
    </row>
    <row r="150" spans="3:3" x14ac:dyDescent="0.25">
      <c r="C150" s="92"/>
    </row>
    <row r="151" spans="3:3" x14ac:dyDescent="0.25">
      <c r="C151" s="92"/>
    </row>
    <row r="152" spans="3:3" x14ac:dyDescent="0.25">
      <c r="C152" s="92"/>
    </row>
    <row r="153" spans="3:3" x14ac:dyDescent="0.25">
      <c r="C153" s="92"/>
    </row>
    <row r="154" spans="3:3" x14ac:dyDescent="0.25">
      <c r="C154" s="92"/>
    </row>
    <row r="155" spans="3:3" x14ac:dyDescent="0.25">
      <c r="C155" s="92"/>
    </row>
    <row r="156" spans="3:3" x14ac:dyDescent="0.25">
      <c r="C156" s="92"/>
    </row>
    <row r="157" spans="3:3" x14ac:dyDescent="0.25">
      <c r="C157" s="92"/>
    </row>
    <row r="158" spans="3:3" x14ac:dyDescent="0.25">
      <c r="C158" s="92"/>
    </row>
    <row r="159" spans="3:3" x14ac:dyDescent="0.25">
      <c r="C159" s="92"/>
    </row>
    <row r="160" spans="3:3" x14ac:dyDescent="0.25">
      <c r="C160" s="92"/>
    </row>
    <row r="161" spans="3:3" x14ac:dyDescent="0.25">
      <c r="C161" s="92"/>
    </row>
    <row r="162" spans="3:3" x14ac:dyDescent="0.25">
      <c r="C162" s="92"/>
    </row>
    <row r="163" spans="3:3" x14ac:dyDescent="0.25">
      <c r="C163" s="92"/>
    </row>
    <row r="164" spans="3:3" x14ac:dyDescent="0.25">
      <c r="C164" s="92"/>
    </row>
    <row r="165" spans="3:3" x14ac:dyDescent="0.25">
      <c r="C165" s="92"/>
    </row>
    <row r="166" spans="3:3" x14ac:dyDescent="0.25">
      <c r="C166" s="92"/>
    </row>
    <row r="167" spans="3:3" x14ac:dyDescent="0.25">
      <c r="C167" s="92"/>
    </row>
    <row r="168" spans="3:3" x14ac:dyDescent="0.25">
      <c r="C168" s="92"/>
    </row>
    <row r="169" spans="3:3" x14ac:dyDescent="0.25">
      <c r="C169" s="92"/>
    </row>
    <row r="170" spans="3:3" x14ac:dyDescent="0.25">
      <c r="C170" s="92"/>
    </row>
    <row r="171" spans="3:3" x14ac:dyDescent="0.25">
      <c r="C171" s="92"/>
    </row>
    <row r="172" spans="3:3" x14ac:dyDescent="0.25">
      <c r="C172" s="92"/>
    </row>
    <row r="173" spans="3:3" x14ac:dyDescent="0.25">
      <c r="C173" s="92"/>
    </row>
    <row r="174" spans="3:3" x14ac:dyDescent="0.25">
      <c r="C174" s="92"/>
    </row>
    <row r="175" spans="3:3" x14ac:dyDescent="0.25">
      <c r="C175" s="92"/>
    </row>
    <row r="176" spans="3:3" x14ac:dyDescent="0.25">
      <c r="C176" s="92"/>
    </row>
    <row r="177" spans="3:3" x14ac:dyDescent="0.25">
      <c r="C177" s="92"/>
    </row>
    <row r="178" spans="3:3" x14ac:dyDescent="0.25">
      <c r="C178" s="92"/>
    </row>
    <row r="179" spans="3:3" x14ac:dyDescent="0.25">
      <c r="C179" s="92"/>
    </row>
    <row r="180" spans="3:3" x14ac:dyDescent="0.25">
      <c r="C180" s="92"/>
    </row>
    <row r="181" spans="3:3" x14ac:dyDescent="0.25">
      <c r="C181" s="92"/>
    </row>
    <row r="182" spans="3:3" x14ac:dyDescent="0.25">
      <c r="C182" s="92"/>
    </row>
    <row r="183" spans="3:3" x14ac:dyDescent="0.25">
      <c r="C183" s="92"/>
    </row>
    <row r="184" spans="3:3" x14ac:dyDescent="0.25">
      <c r="C184" s="92"/>
    </row>
    <row r="185" spans="3:3" x14ac:dyDescent="0.25">
      <c r="C185" s="92"/>
    </row>
    <row r="186" spans="3:3" x14ac:dyDescent="0.25">
      <c r="C186" s="92"/>
    </row>
    <row r="187" spans="3:3" x14ac:dyDescent="0.25">
      <c r="C187" s="92"/>
    </row>
    <row r="188" spans="3:3" x14ac:dyDescent="0.25">
      <c r="C188" s="92"/>
    </row>
    <row r="189" spans="3:3" x14ac:dyDescent="0.25">
      <c r="C189" s="92"/>
    </row>
    <row r="190" spans="3:3" x14ac:dyDescent="0.25">
      <c r="C190" s="92"/>
    </row>
    <row r="191" spans="3:3" x14ac:dyDescent="0.25">
      <c r="C191" s="92"/>
    </row>
    <row r="192" spans="3:3" x14ac:dyDescent="0.25">
      <c r="C192" s="92"/>
    </row>
    <row r="193" spans="3:3" x14ac:dyDescent="0.25">
      <c r="C193" s="92"/>
    </row>
    <row r="194" spans="3:3" x14ac:dyDescent="0.25">
      <c r="C194" s="92"/>
    </row>
    <row r="195" spans="3:3" x14ac:dyDescent="0.25">
      <c r="C195" s="92"/>
    </row>
    <row r="196" spans="3:3" x14ac:dyDescent="0.25">
      <c r="C196" s="92"/>
    </row>
    <row r="197" spans="3:3" x14ac:dyDescent="0.25">
      <c r="C197" s="92"/>
    </row>
    <row r="198" spans="3:3" x14ac:dyDescent="0.25">
      <c r="C198" s="92"/>
    </row>
    <row r="199" spans="3:3" x14ac:dyDescent="0.25">
      <c r="C199" s="92"/>
    </row>
    <row r="200" spans="3:3" x14ac:dyDescent="0.25">
      <c r="C200" s="92"/>
    </row>
    <row r="201" spans="3:3" x14ac:dyDescent="0.25">
      <c r="C201" s="92"/>
    </row>
    <row r="202" spans="3:3" x14ac:dyDescent="0.25">
      <c r="C202" s="92"/>
    </row>
    <row r="203" spans="3:3" x14ac:dyDescent="0.25">
      <c r="C203" s="92"/>
    </row>
    <row r="204" spans="3:3" x14ac:dyDescent="0.25">
      <c r="C204" s="92"/>
    </row>
    <row r="205" spans="3:3" x14ac:dyDescent="0.25">
      <c r="C205" s="92"/>
    </row>
    <row r="206" spans="3:3" x14ac:dyDescent="0.25">
      <c r="C206" s="92"/>
    </row>
    <row r="207" spans="3:3" x14ac:dyDescent="0.25">
      <c r="C207" s="92"/>
    </row>
    <row r="208" spans="3:3" x14ac:dyDescent="0.25">
      <c r="C208" s="92"/>
    </row>
    <row r="209" spans="3:3" x14ac:dyDescent="0.25">
      <c r="C209" s="92"/>
    </row>
    <row r="210" spans="3:3" x14ac:dyDescent="0.25">
      <c r="C210" s="92"/>
    </row>
    <row r="211" spans="3:3" x14ac:dyDescent="0.25">
      <c r="C211" s="92"/>
    </row>
    <row r="212" spans="3:3" x14ac:dyDescent="0.25">
      <c r="C212" s="92"/>
    </row>
    <row r="213" spans="3:3" x14ac:dyDescent="0.25">
      <c r="C213" s="92"/>
    </row>
    <row r="214" spans="3:3" x14ac:dyDescent="0.25">
      <c r="C214" s="92"/>
    </row>
    <row r="215" spans="3:3" x14ac:dyDescent="0.25">
      <c r="C215" s="92"/>
    </row>
    <row r="216" spans="3:3" x14ac:dyDescent="0.25">
      <c r="C216" s="92"/>
    </row>
    <row r="217" spans="3:3" x14ac:dyDescent="0.25">
      <c r="C217" s="92"/>
    </row>
    <row r="218" spans="3:3" x14ac:dyDescent="0.25">
      <c r="C218" s="92"/>
    </row>
    <row r="219" spans="3:3" x14ac:dyDescent="0.25">
      <c r="C219" s="92"/>
    </row>
    <row r="220" spans="3:3" x14ac:dyDescent="0.25">
      <c r="C220" s="92"/>
    </row>
    <row r="221" spans="3:3" x14ac:dyDescent="0.25">
      <c r="C221" s="92"/>
    </row>
    <row r="222" spans="3:3" x14ac:dyDescent="0.25">
      <c r="C222" s="92"/>
    </row>
    <row r="223" spans="3:3" x14ac:dyDescent="0.25">
      <c r="C223" s="92"/>
    </row>
    <row r="224" spans="3:3" x14ac:dyDescent="0.25">
      <c r="C224" s="92"/>
    </row>
    <row r="225" spans="3:3" x14ac:dyDescent="0.25">
      <c r="C225" s="92"/>
    </row>
    <row r="226" spans="3:3" x14ac:dyDescent="0.25">
      <c r="C226" s="92"/>
    </row>
    <row r="227" spans="3:3" x14ac:dyDescent="0.25">
      <c r="C227" s="92"/>
    </row>
    <row r="228" spans="3:3" x14ac:dyDescent="0.25">
      <c r="C228" s="92"/>
    </row>
    <row r="229" spans="3:3" x14ac:dyDescent="0.25">
      <c r="C229" s="92"/>
    </row>
    <row r="230" spans="3:3" x14ac:dyDescent="0.25">
      <c r="C230" s="92"/>
    </row>
    <row r="231" spans="3:3" x14ac:dyDescent="0.25">
      <c r="C231" s="92"/>
    </row>
    <row r="232" spans="3:3" x14ac:dyDescent="0.25">
      <c r="C232" s="92"/>
    </row>
    <row r="233" spans="3:3" x14ac:dyDescent="0.25">
      <c r="C233" s="92"/>
    </row>
    <row r="234" spans="3:3" x14ac:dyDescent="0.25">
      <c r="C234" s="92"/>
    </row>
    <row r="235" spans="3:3" x14ac:dyDescent="0.25">
      <c r="C235" s="92"/>
    </row>
    <row r="236" spans="3:3" x14ac:dyDescent="0.25">
      <c r="C236" s="92"/>
    </row>
    <row r="237" spans="3:3" x14ac:dyDescent="0.25">
      <c r="C237" s="92"/>
    </row>
    <row r="238" spans="3:3" x14ac:dyDescent="0.25">
      <c r="C238" s="92"/>
    </row>
    <row r="239" spans="3:3" x14ac:dyDescent="0.25">
      <c r="C239" s="92"/>
    </row>
    <row r="240" spans="3:3" x14ac:dyDescent="0.25">
      <c r="C240" s="92"/>
    </row>
    <row r="241" spans="3:3" x14ac:dyDescent="0.25">
      <c r="C241" s="92"/>
    </row>
    <row r="242" spans="3:3" x14ac:dyDescent="0.25">
      <c r="C242" s="92"/>
    </row>
    <row r="243" spans="3:3" x14ac:dyDescent="0.25">
      <c r="C243" s="92"/>
    </row>
    <row r="244" spans="3:3" x14ac:dyDescent="0.25">
      <c r="C244" s="92"/>
    </row>
    <row r="245" spans="3:3" x14ac:dyDescent="0.25">
      <c r="C245" s="92"/>
    </row>
    <row r="246" spans="3:3" x14ac:dyDescent="0.25">
      <c r="C246" s="92"/>
    </row>
    <row r="247" spans="3:3" x14ac:dyDescent="0.25">
      <c r="C247" s="92"/>
    </row>
    <row r="248" spans="3:3" x14ac:dyDescent="0.25">
      <c r="C248" s="92"/>
    </row>
    <row r="249" spans="3:3" x14ac:dyDescent="0.25">
      <c r="C249" s="92"/>
    </row>
    <row r="250" spans="3:3" x14ac:dyDescent="0.25">
      <c r="C250" s="92"/>
    </row>
    <row r="251" spans="3:3" x14ac:dyDescent="0.25">
      <c r="C251" s="92"/>
    </row>
    <row r="252" spans="3:3" x14ac:dyDescent="0.25">
      <c r="C252" s="92"/>
    </row>
    <row r="253" spans="3:3" x14ac:dyDescent="0.25">
      <c r="C253" s="92"/>
    </row>
    <row r="254" spans="3:3" x14ac:dyDescent="0.25">
      <c r="C254" s="92"/>
    </row>
    <row r="255" spans="3:3" x14ac:dyDescent="0.25">
      <c r="C255" s="92"/>
    </row>
    <row r="256" spans="3:3" x14ac:dyDescent="0.25">
      <c r="C256" s="92"/>
    </row>
    <row r="257" spans="3:3" x14ac:dyDescent="0.25">
      <c r="C257" s="92"/>
    </row>
    <row r="258" spans="3:3" x14ac:dyDescent="0.25">
      <c r="C258" s="92"/>
    </row>
    <row r="259" spans="3:3" x14ac:dyDescent="0.25">
      <c r="C259" s="92"/>
    </row>
    <row r="260" spans="3:3" x14ac:dyDescent="0.25">
      <c r="C260" s="92"/>
    </row>
    <row r="261" spans="3:3" x14ac:dyDescent="0.25">
      <c r="C261" s="92"/>
    </row>
    <row r="262" spans="3:3" x14ac:dyDescent="0.25">
      <c r="C262" s="92"/>
    </row>
    <row r="263" spans="3:3" x14ac:dyDescent="0.25">
      <c r="C263" s="92"/>
    </row>
    <row r="264" spans="3:3" x14ac:dyDescent="0.25">
      <c r="C264" s="92"/>
    </row>
    <row r="265" spans="3:3" x14ac:dyDescent="0.25">
      <c r="C265" s="92"/>
    </row>
    <row r="266" spans="3:3" x14ac:dyDescent="0.25">
      <c r="C266" s="92"/>
    </row>
    <row r="267" spans="3:3" x14ac:dyDescent="0.25">
      <c r="C267" s="92"/>
    </row>
    <row r="268" spans="3:3" x14ac:dyDescent="0.25">
      <c r="C268" s="92"/>
    </row>
    <row r="269" spans="3:3" x14ac:dyDescent="0.25">
      <c r="C269" s="92"/>
    </row>
    <row r="270" spans="3:3" x14ac:dyDescent="0.25">
      <c r="C270" s="92"/>
    </row>
    <row r="271" spans="3:3" x14ac:dyDescent="0.25">
      <c r="C271" s="92"/>
    </row>
    <row r="272" spans="3:3" x14ac:dyDescent="0.25">
      <c r="C272" s="92"/>
    </row>
    <row r="273" spans="3:3" x14ac:dyDescent="0.25">
      <c r="C273" s="92"/>
    </row>
    <row r="274" spans="3:3" x14ac:dyDescent="0.25">
      <c r="C274" s="92"/>
    </row>
    <row r="275" spans="3:3" x14ac:dyDescent="0.25">
      <c r="C275" s="92"/>
    </row>
    <row r="276" spans="3:3" x14ac:dyDescent="0.25">
      <c r="C276" s="92"/>
    </row>
    <row r="277" spans="3:3" x14ac:dyDescent="0.25">
      <c r="C277" s="92"/>
    </row>
    <row r="278" spans="3:3" x14ac:dyDescent="0.25">
      <c r="C278" s="92"/>
    </row>
    <row r="279" spans="3:3" x14ac:dyDescent="0.25">
      <c r="C279" s="92"/>
    </row>
    <row r="280" spans="3:3" x14ac:dyDescent="0.25">
      <c r="C280" s="92"/>
    </row>
    <row r="281" spans="3:3" x14ac:dyDescent="0.25">
      <c r="C281" s="92"/>
    </row>
    <row r="282" spans="3:3" x14ac:dyDescent="0.25">
      <c r="C282" s="92"/>
    </row>
    <row r="283" spans="3:3" x14ac:dyDescent="0.25">
      <c r="C283" s="92"/>
    </row>
    <row r="284" spans="3:3" x14ac:dyDescent="0.25">
      <c r="C284" s="92"/>
    </row>
    <row r="285" spans="3:3" x14ac:dyDescent="0.25">
      <c r="C285" s="92"/>
    </row>
    <row r="286" spans="3:3" x14ac:dyDescent="0.25">
      <c r="C286" s="92"/>
    </row>
    <row r="287" spans="3:3" x14ac:dyDescent="0.25">
      <c r="C287" s="92"/>
    </row>
    <row r="288" spans="3:3" x14ac:dyDescent="0.25">
      <c r="C288" s="92"/>
    </row>
    <row r="289" spans="3:3" x14ac:dyDescent="0.25">
      <c r="C289" s="92"/>
    </row>
    <row r="290" spans="3:3" x14ac:dyDescent="0.25">
      <c r="C290" s="92"/>
    </row>
    <row r="291" spans="3:3" x14ac:dyDescent="0.25">
      <c r="C291" s="92"/>
    </row>
    <row r="292" spans="3:3" x14ac:dyDescent="0.25">
      <c r="C292" s="92"/>
    </row>
    <row r="293" spans="3:3" x14ac:dyDescent="0.25">
      <c r="C293" s="92"/>
    </row>
    <row r="294" spans="3:3" x14ac:dyDescent="0.25">
      <c r="C294" s="92"/>
    </row>
    <row r="295" spans="3:3" x14ac:dyDescent="0.25">
      <c r="C295" s="92"/>
    </row>
    <row r="296" spans="3:3" x14ac:dyDescent="0.25">
      <c r="C296" s="92"/>
    </row>
    <row r="297" spans="3:3" x14ac:dyDescent="0.25">
      <c r="C297" s="92"/>
    </row>
    <row r="298" spans="3:3" x14ac:dyDescent="0.25">
      <c r="C298" s="92"/>
    </row>
    <row r="299" spans="3:3" x14ac:dyDescent="0.25">
      <c r="C299" s="92"/>
    </row>
    <row r="300" spans="3:3" x14ac:dyDescent="0.25">
      <c r="C300" s="92"/>
    </row>
    <row r="301" spans="3:3" x14ac:dyDescent="0.25">
      <c r="C301" s="92"/>
    </row>
    <row r="302" spans="3:3" x14ac:dyDescent="0.25">
      <c r="C302" s="92"/>
    </row>
    <row r="303" spans="3:3" x14ac:dyDescent="0.25">
      <c r="C303" s="92"/>
    </row>
    <row r="304" spans="3:3" x14ac:dyDescent="0.25">
      <c r="C304" s="92"/>
    </row>
    <row r="305" spans="3:3" x14ac:dyDescent="0.25">
      <c r="C305" s="92"/>
    </row>
    <row r="306" spans="3:3" x14ac:dyDescent="0.25">
      <c r="C306" s="92"/>
    </row>
    <row r="307" spans="3:3" x14ac:dyDescent="0.25">
      <c r="C307" s="92"/>
    </row>
    <row r="308" spans="3:3" x14ac:dyDescent="0.25">
      <c r="C308" s="92"/>
    </row>
    <row r="309" spans="3:3" x14ac:dyDescent="0.25">
      <c r="C309" s="92"/>
    </row>
    <row r="310" spans="3:3" x14ac:dyDescent="0.25">
      <c r="C310" s="92"/>
    </row>
    <row r="311" spans="3:3" x14ac:dyDescent="0.25">
      <c r="C311" s="92"/>
    </row>
    <row r="312" spans="3:3" x14ac:dyDescent="0.25">
      <c r="C312" s="92"/>
    </row>
    <row r="313" spans="3:3" x14ac:dyDescent="0.25">
      <c r="C313" s="92"/>
    </row>
    <row r="314" spans="3:3" x14ac:dyDescent="0.25">
      <c r="C314" s="92"/>
    </row>
    <row r="315" spans="3:3" x14ac:dyDescent="0.25">
      <c r="C315" s="92"/>
    </row>
    <row r="316" spans="3:3" x14ac:dyDescent="0.25">
      <c r="C316" s="92"/>
    </row>
    <row r="317" spans="3:3" x14ac:dyDescent="0.25">
      <c r="C317" s="92"/>
    </row>
    <row r="318" spans="3:3" x14ac:dyDescent="0.25">
      <c r="C318" s="92"/>
    </row>
    <row r="319" spans="3:3" x14ac:dyDescent="0.25">
      <c r="C319" s="92"/>
    </row>
    <row r="320" spans="3:3" x14ac:dyDescent="0.25">
      <c r="C320" s="92"/>
    </row>
    <row r="321" spans="3:3" x14ac:dyDescent="0.25">
      <c r="C321" s="92"/>
    </row>
    <row r="322" spans="3:3" x14ac:dyDescent="0.25">
      <c r="C322" s="92"/>
    </row>
    <row r="323" spans="3:3" x14ac:dyDescent="0.25">
      <c r="C323" s="92"/>
    </row>
    <row r="324" spans="3:3" x14ac:dyDescent="0.25">
      <c r="C324" s="92"/>
    </row>
    <row r="325" spans="3:3" x14ac:dyDescent="0.25">
      <c r="C325" s="92"/>
    </row>
    <row r="326" spans="3:3" x14ac:dyDescent="0.25">
      <c r="C326" s="92"/>
    </row>
    <row r="327" spans="3:3" x14ac:dyDescent="0.25">
      <c r="C327" s="92"/>
    </row>
    <row r="328" spans="3:3" x14ac:dyDescent="0.25">
      <c r="C328" s="92"/>
    </row>
    <row r="329" spans="3:3" x14ac:dyDescent="0.25">
      <c r="C329" s="92"/>
    </row>
    <row r="330" spans="3:3" x14ac:dyDescent="0.25">
      <c r="C330" s="92"/>
    </row>
    <row r="331" spans="3:3" x14ac:dyDescent="0.25">
      <c r="C331" s="92"/>
    </row>
    <row r="332" spans="3:3" x14ac:dyDescent="0.25">
      <c r="C332" s="92"/>
    </row>
    <row r="333" spans="3:3" x14ac:dyDescent="0.25">
      <c r="C333" s="92"/>
    </row>
    <row r="334" spans="3:3" x14ac:dyDescent="0.25">
      <c r="C334" s="92"/>
    </row>
    <row r="335" spans="3:3" x14ac:dyDescent="0.25">
      <c r="C335" s="92"/>
    </row>
    <row r="336" spans="3:3" x14ac:dyDescent="0.25">
      <c r="C336" s="92"/>
    </row>
    <row r="337" spans="3:3" x14ac:dyDescent="0.25">
      <c r="C337" s="92"/>
    </row>
    <row r="338" spans="3:3" x14ac:dyDescent="0.25">
      <c r="C338" s="92"/>
    </row>
    <row r="339" spans="3:3" x14ac:dyDescent="0.25">
      <c r="C339" s="92"/>
    </row>
    <row r="340" spans="3:3" x14ac:dyDescent="0.25">
      <c r="C340" s="92"/>
    </row>
    <row r="341" spans="3:3" x14ac:dyDescent="0.25">
      <c r="C341" s="92"/>
    </row>
    <row r="342" spans="3:3" x14ac:dyDescent="0.25">
      <c r="C342" s="92"/>
    </row>
    <row r="343" spans="3:3" x14ac:dyDescent="0.25">
      <c r="C343" s="92"/>
    </row>
    <row r="344" spans="3:3" x14ac:dyDescent="0.25">
      <c r="C344" s="92"/>
    </row>
    <row r="345" spans="3:3" x14ac:dyDescent="0.25">
      <c r="C345" s="92"/>
    </row>
    <row r="346" spans="3:3" x14ac:dyDescent="0.25">
      <c r="C346" s="92"/>
    </row>
    <row r="347" spans="3:3" x14ac:dyDescent="0.25">
      <c r="C347" s="92"/>
    </row>
    <row r="348" spans="3:3" x14ac:dyDescent="0.25">
      <c r="C348" s="92"/>
    </row>
    <row r="349" spans="3:3" x14ac:dyDescent="0.25">
      <c r="C349" s="92"/>
    </row>
    <row r="350" spans="3:3" x14ac:dyDescent="0.25">
      <c r="C350" s="92"/>
    </row>
    <row r="351" spans="3:3" x14ac:dyDescent="0.25">
      <c r="C351" s="92"/>
    </row>
    <row r="352" spans="3:3" x14ac:dyDescent="0.25">
      <c r="C352" s="92"/>
    </row>
    <row r="353" spans="3:3" x14ac:dyDescent="0.25">
      <c r="C353" s="92"/>
    </row>
    <row r="354" spans="3:3" x14ac:dyDescent="0.25">
      <c r="C354" s="92"/>
    </row>
    <row r="355" spans="3:3" x14ac:dyDescent="0.25">
      <c r="C355" s="92"/>
    </row>
    <row r="356" spans="3:3" x14ac:dyDescent="0.25">
      <c r="C356" s="92"/>
    </row>
    <row r="357" spans="3:3" x14ac:dyDescent="0.25">
      <c r="C357" s="92"/>
    </row>
    <row r="358" spans="3:3" x14ac:dyDescent="0.25">
      <c r="C358" s="92"/>
    </row>
    <row r="359" spans="3:3" x14ac:dyDescent="0.25">
      <c r="C359" s="92"/>
    </row>
    <row r="360" spans="3:3" x14ac:dyDescent="0.25">
      <c r="C360" s="92"/>
    </row>
    <row r="361" spans="3:3" x14ac:dyDescent="0.25">
      <c r="C361" s="92"/>
    </row>
    <row r="362" spans="3:3" x14ac:dyDescent="0.25">
      <c r="C362" s="92"/>
    </row>
    <row r="363" spans="3:3" x14ac:dyDescent="0.25">
      <c r="C363" s="92"/>
    </row>
    <row r="364" spans="3:3" x14ac:dyDescent="0.25">
      <c r="C364" s="92"/>
    </row>
    <row r="365" spans="3:3" x14ac:dyDescent="0.25">
      <c r="C365" s="92"/>
    </row>
    <row r="366" spans="3:3" x14ac:dyDescent="0.25">
      <c r="C366" s="92"/>
    </row>
    <row r="367" spans="3:3" x14ac:dyDescent="0.25">
      <c r="C367" s="92"/>
    </row>
    <row r="368" spans="3:3" x14ac:dyDescent="0.25">
      <c r="C368" s="92"/>
    </row>
    <row r="369" spans="3:3" x14ac:dyDescent="0.25">
      <c r="C369" s="92"/>
    </row>
    <row r="370" spans="3:3" x14ac:dyDescent="0.25">
      <c r="C370" s="92"/>
    </row>
    <row r="371" spans="3:3" x14ac:dyDescent="0.25">
      <c r="C371" s="92"/>
    </row>
    <row r="372" spans="3:3" x14ac:dyDescent="0.25">
      <c r="C372" s="92"/>
    </row>
    <row r="373" spans="3:3" x14ac:dyDescent="0.25">
      <c r="C373" s="92"/>
    </row>
    <row r="374" spans="3:3" x14ac:dyDescent="0.25">
      <c r="C374" s="92"/>
    </row>
    <row r="375" spans="3:3" x14ac:dyDescent="0.25">
      <c r="C375" s="92"/>
    </row>
    <row r="376" spans="3:3" x14ac:dyDescent="0.25">
      <c r="C376" s="92"/>
    </row>
    <row r="377" spans="3:3" x14ac:dyDescent="0.25">
      <c r="C377" s="92"/>
    </row>
    <row r="378" spans="3:3" x14ac:dyDescent="0.25">
      <c r="C378" s="92"/>
    </row>
    <row r="379" spans="3:3" x14ac:dyDescent="0.25">
      <c r="C379" s="92"/>
    </row>
    <row r="380" spans="3:3" x14ac:dyDescent="0.25">
      <c r="C380" s="92"/>
    </row>
    <row r="381" spans="3:3" x14ac:dyDescent="0.25">
      <c r="C381" s="92"/>
    </row>
    <row r="382" spans="3:3" x14ac:dyDescent="0.25">
      <c r="C382" s="92"/>
    </row>
    <row r="383" spans="3:3" x14ac:dyDescent="0.25">
      <c r="C383" s="92"/>
    </row>
    <row r="384" spans="3:3" x14ac:dyDescent="0.25">
      <c r="C384" s="92"/>
    </row>
    <row r="385" spans="3:3" x14ac:dyDescent="0.25">
      <c r="C385" s="92"/>
    </row>
    <row r="386" spans="3:3" x14ac:dyDescent="0.25">
      <c r="C386" s="92"/>
    </row>
    <row r="387" spans="3:3" x14ac:dyDescent="0.25">
      <c r="C387" s="92"/>
    </row>
    <row r="388" spans="3:3" x14ac:dyDescent="0.25">
      <c r="C388" s="92"/>
    </row>
    <row r="389" spans="3:3" x14ac:dyDescent="0.25">
      <c r="C389" s="92"/>
    </row>
    <row r="390" spans="3:3" x14ac:dyDescent="0.25">
      <c r="C390" s="92"/>
    </row>
    <row r="391" spans="3:3" x14ac:dyDescent="0.25">
      <c r="C391" s="92"/>
    </row>
    <row r="392" spans="3:3" x14ac:dyDescent="0.25">
      <c r="C392" s="92"/>
    </row>
    <row r="393" spans="3:3" x14ac:dyDescent="0.25">
      <c r="C393" s="92"/>
    </row>
    <row r="394" spans="3:3" x14ac:dyDescent="0.25">
      <c r="C394" s="92"/>
    </row>
    <row r="395" spans="3:3" x14ac:dyDescent="0.25">
      <c r="C395" s="92"/>
    </row>
    <row r="396" spans="3:3" x14ac:dyDescent="0.25">
      <c r="C396" s="92"/>
    </row>
    <row r="397" spans="3:3" x14ac:dyDescent="0.25">
      <c r="C397" s="92"/>
    </row>
    <row r="398" spans="3:3" x14ac:dyDescent="0.25">
      <c r="C398" s="92"/>
    </row>
    <row r="399" spans="3:3" x14ac:dyDescent="0.25">
      <c r="C399" s="92"/>
    </row>
    <row r="400" spans="3:3" x14ac:dyDescent="0.25">
      <c r="C400" s="92"/>
    </row>
    <row r="401" spans="3:3" x14ac:dyDescent="0.25">
      <c r="C401" s="92"/>
    </row>
    <row r="402" spans="3:3" x14ac:dyDescent="0.25">
      <c r="C402" s="92"/>
    </row>
    <row r="403" spans="3:3" x14ac:dyDescent="0.25">
      <c r="C403" s="92"/>
    </row>
    <row r="404" spans="3:3" x14ac:dyDescent="0.25">
      <c r="C404" s="92"/>
    </row>
    <row r="405" spans="3:3" x14ac:dyDescent="0.25">
      <c r="C405" s="92"/>
    </row>
    <row r="406" spans="3:3" x14ac:dyDescent="0.25">
      <c r="C406" s="92"/>
    </row>
    <row r="407" spans="3:3" x14ac:dyDescent="0.25">
      <c r="C407" s="92"/>
    </row>
    <row r="408" spans="3:3" x14ac:dyDescent="0.25">
      <c r="C408" s="92"/>
    </row>
    <row r="409" spans="3:3" x14ac:dyDescent="0.25">
      <c r="C409" s="92"/>
    </row>
    <row r="410" spans="3:3" x14ac:dyDescent="0.25">
      <c r="C410" s="92"/>
    </row>
    <row r="411" spans="3:3" x14ac:dyDescent="0.25">
      <c r="C411" s="92"/>
    </row>
    <row r="412" spans="3:3" x14ac:dyDescent="0.25">
      <c r="C412" s="92"/>
    </row>
    <row r="413" spans="3:3" x14ac:dyDescent="0.25">
      <c r="C413" s="92"/>
    </row>
    <row r="414" spans="3:3" x14ac:dyDescent="0.25">
      <c r="C414" s="92"/>
    </row>
    <row r="415" spans="3:3" x14ac:dyDescent="0.25">
      <c r="C415" s="92"/>
    </row>
    <row r="416" spans="3:3" x14ac:dyDescent="0.25">
      <c r="C416" s="92"/>
    </row>
    <row r="417" spans="3:3" x14ac:dyDescent="0.25">
      <c r="C417" s="92"/>
    </row>
    <row r="418" spans="3:3" x14ac:dyDescent="0.25">
      <c r="C418" s="92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94" priority="5">
      <formula>C29&lt;C28</formula>
    </cfRule>
  </conditionalFormatting>
  <conditionalFormatting sqref="C30:C33">
    <cfRule type="expression" dxfId="93" priority="4">
      <formula>C30&lt;C29</formula>
    </cfRule>
  </conditionalFormatting>
  <conditionalFormatting sqref="D29">
    <cfRule type="expression" dxfId="92" priority="3">
      <formula>D29&lt;D28</formula>
    </cfRule>
  </conditionalFormatting>
  <conditionalFormatting sqref="D30:D33">
    <cfRule type="expression" dxfId="91" priority="2">
      <formula>D30&lt;D29</formula>
    </cfRule>
  </conditionalFormatting>
  <conditionalFormatting sqref="C2:G15">
    <cfRule type="cellIs" dxfId="90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P62"/>
  <sheetViews>
    <sheetView workbookViewId="0">
      <selection activeCell="B3" sqref="B3"/>
    </sheetView>
  </sheetViews>
  <sheetFormatPr defaultColWidth="8.88671875" defaultRowHeight="13.2" x14ac:dyDescent="0.25"/>
  <cols>
    <col min="3" max="3" width="21" customWidth="1"/>
    <col min="4" max="4" width="6" customWidth="1"/>
    <col min="5" max="5" width="9.44140625" customWidth="1"/>
    <col min="6" max="7" width="9.44140625" bestFit="1" customWidth="1"/>
    <col min="10" max="10" width="15.5546875" customWidth="1"/>
    <col min="11" max="11" width="10.5546875" customWidth="1"/>
    <col min="12" max="12" width="14" customWidth="1"/>
    <col min="13" max="13" width="11" customWidth="1"/>
  </cols>
  <sheetData>
    <row r="1" spans="2:16" ht="17.399999999999999" x14ac:dyDescent="0.3">
      <c r="B1" s="221" t="s">
        <v>117</v>
      </c>
      <c r="J1" s="221" t="s">
        <v>118</v>
      </c>
    </row>
    <row r="3" spans="2:16" ht="15" x14ac:dyDescent="0.25">
      <c r="B3" s="41" t="s">
        <v>276</v>
      </c>
      <c r="C3" s="41"/>
      <c r="D3" s="41"/>
      <c r="E3" s="41"/>
      <c r="F3" s="40"/>
      <c r="G3" s="49"/>
      <c r="H3" s="49"/>
      <c r="J3" s="41" t="s">
        <v>276</v>
      </c>
      <c r="K3" s="41"/>
      <c r="L3" s="41"/>
      <c r="M3" s="41"/>
      <c r="N3" s="40"/>
      <c r="O3" s="49"/>
      <c r="P3" s="49"/>
    </row>
    <row r="4" spans="2:16" x14ac:dyDescent="0.25">
      <c r="B4" s="49"/>
      <c r="C4" s="49"/>
      <c r="D4" s="49"/>
      <c r="E4" s="49"/>
      <c r="F4" s="49"/>
      <c r="G4" s="49"/>
      <c r="H4" s="49"/>
      <c r="J4" s="49"/>
      <c r="K4" s="49"/>
      <c r="L4" s="49"/>
      <c r="M4" s="49"/>
      <c r="N4" s="49"/>
      <c r="O4" s="49"/>
      <c r="P4" s="49"/>
    </row>
    <row r="5" spans="2:16" x14ac:dyDescent="0.25">
      <c r="B5" s="229" t="s">
        <v>277</v>
      </c>
      <c r="C5" s="49"/>
      <c r="D5" s="49"/>
      <c r="E5" s="49"/>
      <c r="F5" s="351" t="s">
        <v>345</v>
      </c>
      <c r="G5" s="351" t="s">
        <v>344</v>
      </c>
      <c r="H5" s="49"/>
      <c r="J5" s="229" t="s">
        <v>277</v>
      </c>
      <c r="K5" s="49"/>
      <c r="L5" s="49"/>
      <c r="M5" s="49"/>
      <c r="N5" s="351" t="s">
        <v>345</v>
      </c>
      <c r="O5" s="351" t="s">
        <v>344</v>
      </c>
      <c r="P5" s="49"/>
    </row>
    <row r="6" spans="2:16" x14ac:dyDescent="0.25">
      <c r="B6" s="57" t="s">
        <v>346</v>
      </c>
      <c r="C6" s="126"/>
      <c r="D6" s="127"/>
      <c r="E6" s="127"/>
      <c r="F6" s="349"/>
      <c r="G6" s="349"/>
      <c r="H6" s="350" t="s">
        <v>58</v>
      </c>
      <c r="J6" s="57" t="s">
        <v>346</v>
      </c>
      <c r="K6" s="126"/>
      <c r="L6" s="127"/>
      <c r="M6" s="127"/>
      <c r="N6" s="349"/>
      <c r="O6" s="349"/>
      <c r="P6" s="350" t="s">
        <v>58</v>
      </c>
    </row>
    <row r="7" spans="2:16" x14ac:dyDescent="0.25">
      <c r="B7" s="57" t="s">
        <v>278</v>
      </c>
      <c r="C7" s="126"/>
      <c r="D7" s="127"/>
      <c r="E7" s="127"/>
      <c r="F7" s="44">
        <v>4</v>
      </c>
      <c r="G7" s="44">
        <v>4</v>
      </c>
      <c r="H7" s="350" t="s">
        <v>116</v>
      </c>
      <c r="J7" s="57" t="s">
        <v>278</v>
      </c>
      <c r="K7" s="126"/>
      <c r="L7" s="127"/>
      <c r="M7" s="127"/>
      <c r="N7" s="44">
        <v>4</v>
      </c>
      <c r="O7" s="44">
        <v>4</v>
      </c>
      <c r="P7" s="350" t="s">
        <v>116</v>
      </c>
    </row>
    <row r="8" spans="2:16" x14ac:dyDescent="0.25">
      <c r="B8" s="49" t="s">
        <v>350</v>
      </c>
      <c r="C8" s="49"/>
      <c r="D8" s="49"/>
      <c r="E8" s="49"/>
      <c r="F8" s="138">
        <f>IFERROR(INT(F6/F7),0)</f>
        <v>0</v>
      </c>
      <c r="G8" s="138">
        <f>IFERROR(INT(G6/G7),0)</f>
        <v>0</v>
      </c>
      <c r="H8" s="49" t="s">
        <v>115</v>
      </c>
      <c r="J8" s="49" t="s">
        <v>350</v>
      </c>
      <c r="K8" s="49"/>
      <c r="L8" s="49"/>
      <c r="M8" s="49"/>
      <c r="N8" s="138">
        <f>IFERROR(INT(N6/N7),0)</f>
        <v>0</v>
      </c>
      <c r="O8" s="138">
        <f>IFERROR(INT(O6/O7),0)</f>
        <v>0</v>
      </c>
      <c r="P8" s="49" t="s">
        <v>115</v>
      </c>
    </row>
    <row r="9" spans="2:16" x14ac:dyDescent="0.25">
      <c r="B9" s="57" t="s">
        <v>351</v>
      </c>
      <c r="C9" s="126"/>
      <c r="D9" s="127"/>
      <c r="E9" s="127"/>
      <c r="F9" s="44">
        <v>1</v>
      </c>
      <c r="G9" s="44">
        <v>1</v>
      </c>
      <c r="H9" s="49" t="s">
        <v>352</v>
      </c>
      <c r="J9" s="57" t="s">
        <v>351</v>
      </c>
      <c r="K9" s="126"/>
      <c r="L9" s="127"/>
      <c r="M9" s="127"/>
      <c r="N9" s="44">
        <v>1</v>
      </c>
      <c r="O9" s="44">
        <v>1</v>
      </c>
      <c r="P9" s="49" t="s">
        <v>352</v>
      </c>
    </row>
    <row r="10" spans="2:16" x14ac:dyDescent="0.25">
      <c r="B10" s="49" t="s">
        <v>349</v>
      </c>
      <c r="C10" s="49"/>
      <c r="D10" s="49"/>
      <c r="E10" s="49"/>
      <c r="F10" s="138">
        <f>IFERROR(INT(F8/F9),0)</f>
        <v>0</v>
      </c>
      <c r="G10" s="138">
        <f>IFERROR(INT(G8/G9),0)</f>
        <v>0</v>
      </c>
      <c r="H10" s="49" t="s">
        <v>115</v>
      </c>
      <c r="J10" s="49" t="s">
        <v>349</v>
      </c>
      <c r="K10" s="49"/>
      <c r="L10" s="49"/>
      <c r="M10" s="49"/>
      <c r="N10" s="138">
        <f>IFERROR(INT(N8/N9),0)</f>
        <v>0</v>
      </c>
      <c r="O10" s="138">
        <f>IFERROR(INT(O8/O9),0)</f>
        <v>0</v>
      </c>
      <c r="P10" s="49" t="s">
        <v>115</v>
      </c>
    </row>
    <row r="11" spans="2:16" x14ac:dyDescent="0.25">
      <c r="B11" s="49"/>
      <c r="C11" s="49"/>
      <c r="D11" s="49"/>
      <c r="E11" s="49"/>
      <c r="F11" s="49"/>
      <c r="G11" s="49"/>
      <c r="H11" s="49"/>
      <c r="J11" s="49"/>
      <c r="K11" s="49"/>
      <c r="L11" s="49"/>
      <c r="M11" s="49"/>
      <c r="N11" s="49"/>
      <c r="O11" s="49"/>
      <c r="P11" s="49"/>
    </row>
    <row r="12" spans="2:16" x14ac:dyDescent="0.25">
      <c r="B12" s="229" t="s">
        <v>279</v>
      </c>
      <c r="C12" s="49"/>
      <c r="D12" s="49"/>
      <c r="E12" s="49"/>
      <c r="F12" s="351" t="s">
        <v>345</v>
      </c>
      <c r="G12" s="351" t="s">
        <v>344</v>
      </c>
      <c r="H12" s="49"/>
      <c r="J12" s="229" t="s">
        <v>279</v>
      </c>
      <c r="K12" s="49"/>
      <c r="L12" s="49"/>
      <c r="M12" s="49"/>
      <c r="N12" s="351" t="s">
        <v>345</v>
      </c>
      <c r="O12" s="351" t="s">
        <v>344</v>
      </c>
      <c r="P12" s="49"/>
    </row>
    <row r="13" spans="2:16" x14ac:dyDescent="0.25">
      <c r="B13" s="57" t="s">
        <v>347</v>
      </c>
      <c r="C13" s="126"/>
      <c r="D13" s="127"/>
      <c r="E13" s="127"/>
      <c r="F13" s="352">
        <f>RedBasica!$L$11</f>
        <v>0</v>
      </c>
      <c r="G13" s="352">
        <f>RedBasica!$K$11</f>
        <v>0</v>
      </c>
      <c r="H13" s="57" t="s">
        <v>115</v>
      </c>
      <c r="J13" s="57" t="s">
        <v>347</v>
      </c>
      <c r="K13" s="126"/>
      <c r="L13" s="127"/>
      <c r="M13" s="127"/>
      <c r="N13" s="352">
        <f>RedBasica!$L$11</f>
        <v>0</v>
      </c>
      <c r="O13" s="352">
        <f>RedBasica!$K$11</f>
        <v>0</v>
      </c>
      <c r="P13" s="57" t="s">
        <v>115</v>
      </c>
    </row>
    <row r="14" spans="2:16" x14ac:dyDescent="0.25">
      <c r="B14" s="57" t="s">
        <v>280</v>
      </c>
      <c r="C14" s="127"/>
      <c r="D14" s="127"/>
      <c r="E14" s="354" t="s">
        <v>59</v>
      </c>
      <c r="F14" s="146">
        <f>N8</f>
        <v>0</v>
      </c>
      <c r="G14" s="146">
        <f>N11</f>
        <v>0</v>
      </c>
      <c r="H14" s="57" t="s">
        <v>5</v>
      </c>
      <c r="J14" s="57" t="s">
        <v>280</v>
      </c>
      <c r="K14" s="127"/>
      <c r="L14" s="127"/>
      <c r="M14" s="354" t="s">
        <v>59</v>
      </c>
      <c r="N14" s="146">
        <f>V8</f>
        <v>0</v>
      </c>
      <c r="O14" s="146">
        <f>V11</f>
        <v>0</v>
      </c>
      <c r="P14" s="57" t="s">
        <v>5</v>
      </c>
    </row>
    <row r="15" spans="2:16" x14ac:dyDescent="0.25">
      <c r="B15" s="57" t="s">
        <v>281</v>
      </c>
      <c r="C15" s="127"/>
      <c r="D15" s="127"/>
      <c r="E15" s="354" t="s">
        <v>60</v>
      </c>
      <c r="F15" s="147">
        <f>M8</f>
        <v>0</v>
      </c>
      <c r="G15" s="353">
        <f>M11</f>
        <v>0</v>
      </c>
      <c r="H15" s="57" t="s">
        <v>55</v>
      </c>
      <c r="J15" s="57" t="s">
        <v>281</v>
      </c>
      <c r="K15" s="127"/>
      <c r="L15" s="127"/>
      <c r="M15" s="354" t="s">
        <v>60</v>
      </c>
      <c r="N15" s="147">
        <f>U8</f>
        <v>0</v>
      </c>
      <c r="O15" s="353">
        <f>U11</f>
        <v>0</v>
      </c>
      <c r="P15" s="57" t="s">
        <v>55</v>
      </c>
    </row>
    <row r="16" spans="2:16" x14ac:dyDescent="0.25">
      <c r="B16" s="57"/>
      <c r="C16" s="127"/>
      <c r="D16" s="127"/>
      <c r="E16" s="135"/>
      <c r="F16" s="147"/>
      <c r="G16" s="353"/>
      <c r="H16" s="57"/>
      <c r="J16" s="57"/>
      <c r="K16" s="127"/>
      <c r="L16" s="127"/>
      <c r="M16" s="135"/>
      <c r="N16" s="147"/>
      <c r="O16" s="353"/>
      <c r="P16" s="57"/>
    </row>
    <row r="17" spans="2:16" x14ac:dyDescent="0.25">
      <c r="B17" s="229" t="s">
        <v>282</v>
      </c>
      <c r="C17" s="49"/>
      <c r="D17" s="49"/>
      <c r="E17" s="49"/>
      <c r="F17" s="351"/>
      <c r="G17" s="351"/>
      <c r="H17" s="49"/>
      <c r="J17" s="229" t="s">
        <v>282</v>
      </c>
      <c r="K17" s="49"/>
      <c r="L17" s="49"/>
      <c r="M17" s="49"/>
      <c r="N17" s="351"/>
      <c r="O17" s="351"/>
      <c r="P17" s="49"/>
    </row>
    <row r="18" spans="2:16" x14ac:dyDescent="0.25">
      <c r="B18" s="117" t="s">
        <v>348</v>
      </c>
      <c r="C18" s="126"/>
      <c r="D18" s="127"/>
      <c r="E18" s="49"/>
      <c r="F18" s="450" t="s">
        <v>383</v>
      </c>
      <c r="G18" s="450"/>
      <c r="H18" s="49"/>
      <c r="J18" s="117" t="s">
        <v>348</v>
      </c>
      <c r="K18" s="126"/>
      <c r="L18" s="127"/>
      <c r="M18" s="49"/>
      <c r="N18" s="450" t="s">
        <v>383</v>
      </c>
      <c r="O18" s="450"/>
      <c r="P18" s="49"/>
    </row>
    <row r="19" spans="2:16" x14ac:dyDescent="0.25">
      <c r="B19" s="117" t="s">
        <v>283</v>
      </c>
      <c r="C19" s="126"/>
      <c r="D19" s="127"/>
      <c r="E19" s="127"/>
      <c r="F19" s="145">
        <f>IFERROR(IF(F18="Sim",M21,0),0)</f>
        <v>0</v>
      </c>
      <c r="G19" s="145">
        <f>IFERROR(IF(F18="Sim",M22,0),0)</f>
        <v>0</v>
      </c>
      <c r="H19" s="126" t="s">
        <v>14</v>
      </c>
      <c r="J19" s="117" t="s">
        <v>283</v>
      </c>
      <c r="K19" s="126"/>
      <c r="L19" s="127"/>
      <c r="M19" s="127"/>
      <c r="N19" s="145">
        <f>IFERROR(IF(N18="Sim",U21,0),0)</f>
        <v>0</v>
      </c>
      <c r="O19" s="145">
        <f>IFERROR(IF(N18="Sim",U22,0),0)</f>
        <v>0</v>
      </c>
      <c r="P19" s="126" t="s">
        <v>14</v>
      </c>
    </row>
    <row r="20" spans="2:16" x14ac:dyDescent="0.25">
      <c r="B20" s="49"/>
      <c r="C20" s="49"/>
      <c r="D20" s="49"/>
      <c r="E20" s="49"/>
      <c r="F20" s="49"/>
      <c r="G20" s="49"/>
      <c r="H20" s="49"/>
      <c r="J20" s="49"/>
      <c r="K20" s="49"/>
      <c r="L20" s="49"/>
      <c r="M20" s="49"/>
      <c r="N20" s="49"/>
      <c r="O20" s="49"/>
      <c r="P20" s="49"/>
    </row>
    <row r="21" spans="2:16" x14ac:dyDescent="0.25">
      <c r="B21" s="229" t="s">
        <v>284</v>
      </c>
      <c r="C21" s="49"/>
      <c r="D21" s="49"/>
      <c r="E21" s="49"/>
      <c r="F21" s="351" t="s">
        <v>345</v>
      </c>
      <c r="G21" s="351" t="s">
        <v>344</v>
      </c>
      <c r="H21" s="49"/>
      <c r="J21" s="229" t="s">
        <v>284</v>
      </c>
      <c r="K21" s="49"/>
      <c r="L21" s="49"/>
      <c r="M21" s="49"/>
      <c r="N21" s="351" t="s">
        <v>345</v>
      </c>
      <c r="O21" s="351" t="s">
        <v>344</v>
      </c>
      <c r="P21" s="49"/>
    </row>
    <row r="22" spans="2:16" x14ac:dyDescent="0.25">
      <c r="B22" s="117" t="s">
        <v>285</v>
      </c>
      <c r="C22" s="126"/>
      <c r="D22" s="127"/>
      <c r="E22" s="127"/>
      <c r="F22" s="367">
        <v>120</v>
      </c>
      <c r="G22" s="367">
        <v>120</v>
      </c>
      <c r="H22" s="126" t="s">
        <v>13</v>
      </c>
      <c r="J22" s="117" t="s">
        <v>285</v>
      </c>
      <c r="K22" s="126"/>
      <c r="L22" s="127"/>
      <c r="M22" s="127"/>
      <c r="N22" s="367">
        <v>120</v>
      </c>
      <c r="O22" s="367">
        <v>120</v>
      </c>
      <c r="P22" s="126" t="s">
        <v>13</v>
      </c>
    </row>
    <row r="23" spans="2:16" x14ac:dyDescent="0.25">
      <c r="B23" s="369"/>
      <c r="C23" s="370"/>
      <c r="D23" s="371"/>
      <c r="E23" s="371"/>
      <c r="F23" s="370"/>
      <c r="G23" s="370"/>
      <c r="H23" s="368"/>
      <c r="J23" s="369"/>
      <c r="K23" s="370"/>
      <c r="L23" s="371"/>
      <c r="M23" s="371"/>
      <c r="N23" s="370"/>
      <c r="O23" s="370"/>
      <c r="P23" s="368"/>
    </row>
    <row r="24" spans="2:16" x14ac:dyDescent="0.25">
      <c r="B24" s="57" t="s">
        <v>11</v>
      </c>
      <c r="C24" s="126"/>
      <c r="D24" s="127"/>
      <c r="E24" s="49"/>
      <c r="F24" s="44">
        <v>1.2</v>
      </c>
      <c r="G24" s="128"/>
      <c r="H24" s="49"/>
      <c r="J24" s="57" t="s">
        <v>11</v>
      </c>
      <c r="K24" s="126"/>
      <c r="L24" s="127"/>
      <c r="M24" s="49"/>
      <c r="N24" s="44">
        <v>1.2</v>
      </c>
      <c r="O24" s="128"/>
      <c r="P24" s="49"/>
    </row>
    <row r="25" spans="2:16" x14ac:dyDescent="0.25">
      <c r="B25" s="57" t="s">
        <v>12</v>
      </c>
      <c r="C25" s="126"/>
      <c r="D25" s="127"/>
      <c r="E25" s="49"/>
      <c r="F25" s="44">
        <v>1.5</v>
      </c>
      <c r="G25" s="128"/>
      <c r="H25" s="49"/>
      <c r="J25" s="57" t="s">
        <v>12</v>
      </c>
      <c r="K25" s="126"/>
      <c r="L25" s="127"/>
      <c r="M25" s="49"/>
      <c r="N25" s="44">
        <v>1.5</v>
      </c>
      <c r="O25" s="128"/>
      <c r="P25" s="49"/>
    </row>
    <row r="26" spans="2:16" x14ac:dyDescent="0.25">
      <c r="B26" s="126" t="s">
        <v>3</v>
      </c>
      <c r="C26" s="126"/>
      <c r="D26" s="127"/>
      <c r="E26" s="49"/>
      <c r="F26" s="44">
        <v>0.8</v>
      </c>
      <c r="G26" s="126"/>
      <c r="H26" s="49"/>
      <c r="J26" s="126" t="s">
        <v>3</v>
      </c>
      <c r="K26" s="126"/>
      <c r="L26" s="127"/>
      <c r="M26" s="49"/>
      <c r="N26" s="44">
        <v>0.8</v>
      </c>
      <c r="O26" s="126"/>
      <c r="P26" s="49"/>
    </row>
    <row r="27" spans="2:16" x14ac:dyDescent="0.25">
      <c r="B27" s="57" t="s">
        <v>286</v>
      </c>
      <c r="C27" s="126"/>
      <c r="D27" s="127"/>
      <c r="E27" s="49"/>
      <c r="F27" s="218">
        <v>0.01</v>
      </c>
      <c r="G27" s="126" t="s">
        <v>14</v>
      </c>
      <c r="H27" s="49"/>
      <c r="J27" s="57" t="s">
        <v>286</v>
      </c>
      <c r="K27" s="126"/>
      <c r="L27" s="127"/>
      <c r="M27" s="49"/>
      <c r="N27" s="218">
        <v>0.01</v>
      </c>
      <c r="O27" s="126" t="s">
        <v>14</v>
      </c>
      <c r="P27" s="49"/>
    </row>
    <row r="28" spans="2:16" x14ac:dyDescent="0.25">
      <c r="B28" s="117" t="s">
        <v>291</v>
      </c>
      <c r="C28" s="117"/>
      <c r="D28" s="127"/>
      <c r="E28" s="49"/>
      <c r="F28" s="44">
        <v>1</v>
      </c>
      <c r="G28" s="126" t="s">
        <v>0</v>
      </c>
      <c r="H28" s="49"/>
      <c r="J28" s="117" t="s">
        <v>291</v>
      </c>
      <c r="K28" s="117"/>
      <c r="L28" s="127"/>
      <c r="M28" s="49"/>
      <c r="N28" s="44">
        <v>1</v>
      </c>
      <c r="O28" s="126" t="s">
        <v>0</v>
      </c>
      <c r="P28" s="49"/>
    </row>
    <row r="29" spans="2:16" x14ac:dyDescent="0.25">
      <c r="B29" s="57" t="s">
        <v>287</v>
      </c>
      <c r="C29" s="126"/>
      <c r="D29" s="127"/>
      <c r="E29" s="49"/>
      <c r="F29" s="44">
        <v>1.5</v>
      </c>
      <c r="G29" s="126" t="s">
        <v>5</v>
      </c>
      <c r="H29" s="49"/>
      <c r="J29" s="57" t="s">
        <v>287</v>
      </c>
      <c r="K29" s="126"/>
      <c r="L29" s="127"/>
      <c r="M29" s="49"/>
      <c r="N29" s="44">
        <v>1.5</v>
      </c>
      <c r="O29" s="126" t="s">
        <v>5</v>
      </c>
      <c r="P29" s="49"/>
    </row>
    <row r="30" spans="2:16" x14ac:dyDescent="0.25">
      <c r="B30" s="57" t="s">
        <v>290</v>
      </c>
      <c r="C30" s="126"/>
      <c r="D30" s="127"/>
      <c r="E30" s="49"/>
      <c r="F30" s="139">
        <v>0.5</v>
      </c>
      <c r="G30" s="126" t="s">
        <v>4</v>
      </c>
      <c r="H30" s="49"/>
      <c r="J30" s="57" t="s">
        <v>290</v>
      </c>
      <c r="K30" s="126"/>
      <c r="L30" s="127"/>
      <c r="M30" s="49"/>
      <c r="N30" s="139">
        <v>0.5</v>
      </c>
      <c r="O30" s="126" t="s">
        <v>4</v>
      </c>
      <c r="P30" s="49"/>
    </row>
    <row r="31" spans="2:16" x14ac:dyDescent="0.25">
      <c r="B31" s="57" t="s">
        <v>288</v>
      </c>
      <c r="C31" s="126"/>
      <c r="D31" s="127"/>
      <c r="E31" s="49"/>
      <c r="F31" s="139">
        <v>0.75</v>
      </c>
      <c r="G31" s="126" t="s">
        <v>4</v>
      </c>
      <c r="H31" s="49"/>
      <c r="J31" s="57" t="s">
        <v>288</v>
      </c>
      <c r="K31" s="126"/>
      <c r="L31" s="127"/>
      <c r="M31" s="49"/>
      <c r="N31" s="139">
        <v>0.75</v>
      </c>
      <c r="O31" s="126" t="s">
        <v>4</v>
      </c>
      <c r="P31" s="49"/>
    </row>
    <row r="32" spans="2:16" x14ac:dyDescent="0.25">
      <c r="B32" s="57"/>
      <c r="C32" s="126"/>
      <c r="D32" s="127"/>
      <c r="E32" s="49"/>
      <c r="F32" s="49"/>
      <c r="G32" s="126"/>
      <c r="H32" s="49"/>
      <c r="J32" s="57"/>
      <c r="K32" s="126"/>
      <c r="L32" s="127"/>
      <c r="M32" s="49"/>
      <c r="N32" s="49"/>
      <c r="O32" s="126"/>
      <c r="P32" s="49"/>
    </row>
    <row r="33" spans="2:16" x14ac:dyDescent="0.25">
      <c r="B33" s="46" t="s">
        <v>289</v>
      </c>
      <c r="C33" s="128"/>
      <c r="D33" s="127"/>
      <c r="E33" s="127"/>
      <c r="F33" s="141"/>
      <c r="G33" s="128"/>
      <c r="H33" s="49"/>
      <c r="J33" s="46" t="s">
        <v>289</v>
      </c>
      <c r="K33" s="128"/>
      <c r="L33" s="127"/>
      <c r="M33" s="127"/>
      <c r="N33" s="141"/>
      <c r="O33" s="128"/>
      <c r="P33" s="49"/>
    </row>
    <row r="34" spans="2:16" x14ac:dyDescent="0.25">
      <c r="B34" s="126" t="s">
        <v>1</v>
      </c>
      <c r="C34" s="126"/>
      <c r="D34" s="127"/>
      <c r="E34" s="127"/>
      <c r="F34" s="142">
        <v>150</v>
      </c>
      <c r="G34" s="126" t="s">
        <v>2</v>
      </c>
      <c r="H34" s="49"/>
      <c r="J34" s="126" t="s">
        <v>1</v>
      </c>
      <c r="K34" s="126"/>
      <c r="L34" s="127"/>
      <c r="M34" s="127"/>
      <c r="N34" s="142">
        <v>150</v>
      </c>
      <c r="O34" s="126" t="s">
        <v>2</v>
      </c>
      <c r="P34" s="49"/>
    </row>
    <row r="35" spans="2:16" x14ac:dyDescent="0.25">
      <c r="B35" s="49"/>
      <c r="C35" s="49"/>
      <c r="D35" s="49"/>
      <c r="E35" s="49"/>
      <c r="F35" s="49"/>
      <c r="G35" s="49"/>
      <c r="H35" s="49"/>
      <c r="J35" s="49"/>
      <c r="K35" s="49"/>
      <c r="L35" s="49"/>
      <c r="M35" s="49"/>
      <c r="N35" s="49"/>
      <c r="O35" s="49"/>
      <c r="P35" s="49"/>
    </row>
    <row r="36" spans="2:16" x14ac:dyDescent="0.25">
      <c r="B36" s="46" t="s">
        <v>292</v>
      </c>
      <c r="C36" s="46"/>
      <c r="D36" s="127"/>
      <c r="E36" s="127"/>
      <c r="F36" s="140" t="s">
        <v>56</v>
      </c>
      <c r="G36" s="128"/>
      <c r="H36" s="49"/>
      <c r="J36" s="46" t="s">
        <v>292</v>
      </c>
      <c r="K36" s="46"/>
      <c r="L36" s="127"/>
      <c r="M36" s="127"/>
      <c r="N36" s="140" t="s">
        <v>56</v>
      </c>
      <c r="O36" s="128"/>
      <c r="P36" s="49"/>
    </row>
    <row r="37" spans="2:16" x14ac:dyDescent="0.25">
      <c r="B37" s="117" t="s">
        <v>293</v>
      </c>
      <c r="C37" s="295">
        <v>150</v>
      </c>
      <c r="D37" s="127"/>
      <c r="E37" s="127"/>
      <c r="F37" s="219">
        <v>4.4999999999999997E-3</v>
      </c>
      <c r="G37" s="126" t="s">
        <v>22</v>
      </c>
      <c r="H37" s="49"/>
      <c r="J37" s="117" t="s">
        <v>293</v>
      </c>
      <c r="K37" s="295">
        <v>150</v>
      </c>
      <c r="L37" s="127"/>
      <c r="M37" s="127"/>
      <c r="N37" s="219">
        <v>4.4999999999999997E-3</v>
      </c>
      <c r="O37" s="126" t="s">
        <v>22</v>
      </c>
      <c r="P37" s="49"/>
    </row>
    <row r="38" spans="2:16" x14ac:dyDescent="0.25">
      <c r="B38" s="117" t="s">
        <v>293</v>
      </c>
      <c r="C38" s="295">
        <v>200</v>
      </c>
      <c r="D38" s="127"/>
      <c r="E38" s="127"/>
      <c r="F38" s="219">
        <v>4.0000000000000001E-3</v>
      </c>
      <c r="G38" s="126" t="s">
        <v>22</v>
      </c>
      <c r="H38" s="49"/>
      <c r="J38" s="117" t="s">
        <v>293</v>
      </c>
      <c r="K38" s="295">
        <v>200</v>
      </c>
      <c r="L38" s="127"/>
      <c r="M38" s="127"/>
      <c r="N38" s="219">
        <v>4.0000000000000001E-3</v>
      </c>
      <c r="O38" s="126" t="s">
        <v>22</v>
      </c>
      <c r="P38" s="49"/>
    </row>
    <row r="39" spans="2:16" x14ac:dyDescent="0.25">
      <c r="B39" s="126" t="s">
        <v>54</v>
      </c>
      <c r="C39" s="295">
        <v>250</v>
      </c>
      <c r="D39" s="127"/>
      <c r="E39" s="127"/>
      <c r="F39" s="219">
        <v>3.5000000000000001E-3</v>
      </c>
      <c r="G39" s="126" t="s">
        <v>22</v>
      </c>
      <c r="H39" s="49"/>
      <c r="J39" s="126" t="s">
        <v>54</v>
      </c>
      <c r="K39" s="295">
        <v>250</v>
      </c>
      <c r="L39" s="127"/>
      <c r="M39" s="127"/>
      <c r="N39" s="219">
        <v>3.5000000000000001E-3</v>
      </c>
      <c r="O39" s="126" t="s">
        <v>22</v>
      </c>
      <c r="P39" s="49"/>
    </row>
    <row r="40" spans="2:16" x14ac:dyDescent="0.25">
      <c r="B40" s="126"/>
      <c r="C40" s="49"/>
      <c r="D40" s="49"/>
      <c r="E40" s="49"/>
      <c r="F40" s="49"/>
      <c r="G40" s="126"/>
      <c r="H40" s="49"/>
      <c r="J40" s="126"/>
      <c r="K40" s="49"/>
      <c r="L40" s="49"/>
      <c r="M40" s="49"/>
      <c r="N40" s="49"/>
      <c r="O40" s="126"/>
      <c r="P40" s="49"/>
    </row>
    <row r="41" spans="2:16" x14ac:dyDescent="0.25">
      <c r="B41" s="46" t="s">
        <v>23</v>
      </c>
      <c r="C41" s="46"/>
      <c r="D41" s="127"/>
      <c r="E41" s="127"/>
      <c r="F41" s="141"/>
      <c r="G41" s="128"/>
      <c r="H41" s="49"/>
      <c r="J41" s="46" t="s">
        <v>23</v>
      </c>
      <c r="K41" s="46"/>
      <c r="L41" s="127"/>
      <c r="M41" s="127"/>
      <c r="N41" s="141"/>
      <c r="O41" s="128"/>
      <c r="P41" s="49"/>
    </row>
    <row r="42" spans="2:16" x14ac:dyDescent="0.25">
      <c r="B42" s="57" t="s">
        <v>294</v>
      </c>
      <c r="C42" s="126"/>
      <c r="D42" s="127"/>
      <c r="E42" s="127"/>
      <c r="F42" s="143">
        <v>0.9</v>
      </c>
      <c r="G42" s="126" t="s">
        <v>6</v>
      </c>
      <c r="H42" s="49"/>
      <c r="J42" s="57" t="s">
        <v>294</v>
      </c>
      <c r="K42" s="126"/>
      <c r="L42" s="127"/>
      <c r="M42" s="127"/>
      <c r="N42" s="143">
        <v>0.9</v>
      </c>
      <c r="O42" s="126" t="s">
        <v>6</v>
      </c>
      <c r="P42" s="49"/>
    </row>
    <row r="43" spans="2:16" x14ac:dyDescent="0.25">
      <c r="B43" s="57" t="s">
        <v>295</v>
      </c>
      <c r="C43" s="126"/>
      <c r="D43" s="127"/>
      <c r="E43" s="127"/>
      <c r="F43" s="44">
        <v>0.65</v>
      </c>
      <c r="G43" s="126" t="s">
        <v>6</v>
      </c>
      <c r="H43" s="49"/>
      <c r="J43" s="57" t="s">
        <v>295</v>
      </c>
      <c r="K43" s="126"/>
      <c r="L43" s="127"/>
      <c r="M43" s="127"/>
      <c r="N43" s="44">
        <v>0.65</v>
      </c>
      <c r="O43" s="126" t="s">
        <v>6</v>
      </c>
      <c r="P43" s="49"/>
    </row>
    <row r="44" spans="2:16" x14ac:dyDescent="0.25">
      <c r="B44" s="57"/>
      <c r="C44" s="126"/>
      <c r="D44" s="127"/>
      <c r="E44" s="127"/>
      <c r="F44" s="126"/>
      <c r="G44" s="126"/>
      <c r="H44" s="49"/>
      <c r="J44" s="57"/>
      <c r="K44" s="126"/>
      <c r="L44" s="127"/>
      <c r="M44" s="127"/>
      <c r="N44" s="126"/>
      <c r="O44" s="126"/>
      <c r="P44" s="49"/>
    </row>
    <row r="45" spans="2:16" x14ac:dyDescent="0.25">
      <c r="B45" s="46" t="s">
        <v>296</v>
      </c>
      <c r="C45" s="127"/>
      <c r="D45" s="127"/>
      <c r="E45" s="127"/>
      <c r="F45" s="144"/>
      <c r="G45" s="127"/>
      <c r="H45" s="49"/>
      <c r="J45" s="46" t="s">
        <v>296</v>
      </c>
      <c r="K45" s="127"/>
      <c r="L45" s="127"/>
      <c r="M45" s="127"/>
      <c r="N45" s="144"/>
      <c r="O45" s="127"/>
      <c r="P45" s="49"/>
    </row>
    <row r="46" spans="2:16" x14ac:dyDescent="0.25">
      <c r="B46" s="57" t="s">
        <v>379</v>
      </c>
      <c r="C46" s="127"/>
      <c r="D46" s="127"/>
      <c r="E46" s="127"/>
      <c r="F46" s="294" t="s">
        <v>383</v>
      </c>
      <c r="G46" s="127"/>
      <c r="H46" s="49"/>
      <c r="J46" s="57" t="s">
        <v>379</v>
      </c>
      <c r="K46" s="127"/>
      <c r="L46" s="127"/>
      <c r="M46" s="127"/>
      <c r="N46" s="294" t="s">
        <v>383</v>
      </c>
      <c r="O46" s="127"/>
      <c r="P46" s="49"/>
    </row>
    <row r="47" spans="2:16" x14ac:dyDescent="0.25">
      <c r="B47" s="57"/>
      <c r="C47" s="127"/>
      <c r="D47" s="127"/>
      <c r="E47" s="127"/>
      <c r="F47" s="127"/>
      <c r="G47" s="49"/>
      <c r="H47" s="49"/>
      <c r="J47" s="57"/>
      <c r="K47" s="127"/>
      <c r="L47" s="127"/>
      <c r="M47" s="127"/>
      <c r="N47" s="127"/>
      <c r="O47" s="49"/>
      <c r="P47" s="49"/>
    </row>
    <row r="48" spans="2:16" x14ac:dyDescent="0.25">
      <c r="B48" s="229" t="s">
        <v>381</v>
      </c>
      <c r="C48" s="127"/>
      <c r="D48" s="127"/>
      <c r="E48" s="127"/>
      <c r="F48" s="144"/>
      <c r="G48" s="127"/>
      <c r="H48" s="49"/>
      <c r="J48" s="229" t="s">
        <v>381</v>
      </c>
      <c r="K48" s="127"/>
      <c r="L48" s="127"/>
      <c r="M48" s="127"/>
      <c r="N48" s="144"/>
      <c r="O48" s="127"/>
      <c r="P48" s="49"/>
    </row>
    <row r="49" spans="2:16" x14ac:dyDescent="0.25">
      <c r="B49" s="57" t="s">
        <v>392</v>
      </c>
      <c r="C49" s="356"/>
      <c r="D49" s="356"/>
      <c r="E49" s="49"/>
      <c r="F49" s="372">
        <v>0</v>
      </c>
      <c r="G49" s="355" t="s">
        <v>6</v>
      </c>
      <c r="H49" s="49"/>
      <c r="J49" s="57" t="s">
        <v>392</v>
      </c>
      <c r="K49" s="356"/>
      <c r="L49" s="356"/>
      <c r="M49" s="49"/>
      <c r="N49" s="372">
        <v>0</v>
      </c>
      <c r="O49" s="355" t="s">
        <v>6</v>
      </c>
      <c r="P49" s="49"/>
    </row>
    <row r="50" spans="2:16" x14ac:dyDescent="0.25">
      <c r="B50" s="57" t="s">
        <v>297</v>
      </c>
      <c r="C50" s="356"/>
      <c r="D50" s="356"/>
      <c r="E50" s="49"/>
      <c r="F50" s="372">
        <v>0.5</v>
      </c>
      <c r="G50" s="355" t="s">
        <v>6</v>
      </c>
      <c r="H50" s="49"/>
      <c r="J50" s="57" t="s">
        <v>297</v>
      </c>
      <c r="K50" s="356"/>
      <c r="L50" s="356"/>
      <c r="M50" s="49"/>
      <c r="N50" s="372">
        <v>0.5</v>
      </c>
      <c r="O50" s="355" t="s">
        <v>6</v>
      </c>
      <c r="P50" s="49"/>
    </row>
    <row r="51" spans="2:16" x14ac:dyDescent="0.25">
      <c r="B51" s="57" t="s">
        <v>382</v>
      </c>
      <c r="C51" s="357"/>
      <c r="D51" s="357"/>
      <c r="E51" s="357"/>
      <c r="F51" s="359">
        <v>0</v>
      </c>
      <c r="G51" s="358" t="s">
        <v>6</v>
      </c>
      <c r="H51" s="49"/>
      <c r="J51" s="57" t="s">
        <v>382</v>
      </c>
      <c r="K51" s="357"/>
      <c r="L51" s="357"/>
      <c r="M51" s="357"/>
      <c r="N51" s="359">
        <v>0</v>
      </c>
      <c r="O51" s="358" t="s">
        <v>6</v>
      </c>
      <c r="P51" s="49"/>
    </row>
    <row r="53" spans="2:16" ht="13.8" x14ac:dyDescent="0.25">
      <c r="B53" s="277" t="s">
        <v>299</v>
      </c>
      <c r="C53" s="278"/>
      <c r="D53" s="278"/>
      <c r="E53" s="279"/>
    </row>
    <row r="54" spans="2:16" ht="14.25" customHeight="1" x14ac:dyDescent="0.25">
      <c r="B54" s="456"/>
      <c r="C54" s="457"/>
      <c r="D54" s="457"/>
      <c r="E54" s="458"/>
    </row>
    <row r="55" spans="2:16" ht="13.8" x14ac:dyDescent="0.25">
      <c r="B55" s="280" t="s">
        <v>338</v>
      </c>
      <c r="C55" s="281"/>
      <c r="D55" s="282"/>
      <c r="E55" s="282"/>
    </row>
    <row r="56" spans="2:16" ht="14.25" customHeight="1" x14ac:dyDescent="0.25">
      <c r="B56" s="456"/>
      <c r="C56" s="457"/>
      <c r="D56" s="457"/>
      <c r="E56" s="458"/>
    </row>
    <row r="57" spans="2:16" ht="13.8" x14ac:dyDescent="0.25">
      <c r="B57" s="277" t="s">
        <v>301</v>
      </c>
      <c r="C57" s="278"/>
      <c r="D57" s="278"/>
      <c r="E57" s="279"/>
    </row>
    <row r="58" spans="2:16" ht="14.25" customHeight="1" x14ac:dyDescent="0.25">
      <c r="B58" s="456"/>
      <c r="C58" s="457"/>
      <c r="D58" s="457"/>
      <c r="E58" s="458"/>
    </row>
    <row r="59" spans="2:16" ht="13.8" x14ac:dyDescent="0.25">
      <c r="B59" s="283" t="s">
        <v>298</v>
      </c>
      <c r="C59" s="282"/>
      <c r="D59" s="282"/>
      <c r="E59" s="284"/>
    </row>
    <row r="60" spans="2:16" ht="15" customHeight="1" x14ac:dyDescent="0.25">
      <c r="B60" s="456"/>
      <c r="C60" s="457"/>
      <c r="D60" s="458"/>
      <c r="E60" s="285"/>
    </row>
    <row r="61" spans="2:16" ht="13.8" x14ac:dyDescent="0.25">
      <c r="B61" s="283" t="s">
        <v>300</v>
      </c>
      <c r="C61" s="282"/>
      <c r="D61" s="282"/>
      <c r="E61" s="43"/>
    </row>
    <row r="62" spans="2:16" ht="13.8" x14ac:dyDescent="0.25">
      <c r="B62" s="459"/>
      <c r="C62" s="457"/>
      <c r="D62" s="458"/>
      <c r="E62" s="43"/>
    </row>
  </sheetData>
  <mergeCells count="7">
    <mergeCell ref="B60:D60"/>
    <mergeCell ref="B62:D62"/>
    <mergeCell ref="F18:G18"/>
    <mergeCell ref="N18:O18"/>
    <mergeCell ref="B54:E54"/>
    <mergeCell ref="B56:E56"/>
    <mergeCell ref="B58:E58"/>
  </mergeCells>
  <conditionalFormatting sqref="N6:O6">
    <cfRule type="cellIs" dxfId="89" priority="50" operator="equal">
      <formula>0</formula>
    </cfRule>
  </conditionalFormatting>
  <conditionalFormatting sqref="N18">
    <cfRule type="cellIs" dxfId="88" priority="47" operator="equal">
      <formula>"Sim"</formula>
    </cfRule>
    <cfRule type="cellIs" dxfId="87" priority="48" operator="equal">
      <formula>"Não"</formula>
    </cfRule>
    <cfRule type="containsBlanks" dxfId="86" priority="49">
      <formula>LEN(TRIM(N18))=0</formula>
    </cfRule>
  </conditionalFormatting>
  <conditionalFormatting sqref="N46">
    <cfRule type="cellIs" dxfId="85" priority="41" operator="equal">
      <formula>"Si"</formula>
    </cfRule>
    <cfRule type="cellIs" dxfId="84" priority="42" operator="equal">
      <formula>"Não"</formula>
    </cfRule>
    <cfRule type="cellIs" dxfId="83" priority="43" operator="equal">
      <formula>"Sim"</formula>
    </cfRule>
    <cfRule type="cellIs" dxfId="82" priority="44" operator="equal">
      <formula>"Yes"</formula>
    </cfRule>
    <cfRule type="cellIs" dxfId="81" priority="45" operator="equal">
      <formula>"No"</formula>
    </cfRule>
    <cfRule type="containsBlanks" dxfId="80" priority="46">
      <formula>LEN(TRIM(N46))=0</formula>
    </cfRule>
  </conditionalFormatting>
  <conditionalFormatting sqref="F6:G6">
    <cfRule type="cellIs" dxfId="79" priority="10" operator="equal">
      <formula>0</formula>
    </cfRule>
  </conditionalFormatting>
  <conditionalFormatting sqref="F18">
    <cfRule type="cellIs" dxfId="78" priority="7" operator="equal">
      <formula>"Sim"</formula>
    </cfRule>
    <cfRule type="cellIs" dxfId="77" priority="8" operator="equal">
      <formula>"Não"</formula>
    </cfRule>
    <cfRule type="containsBlanks" dxfId="76" priority="9">
      <formula>LEN(TRIM(F18))=0</formula>
    </cfRule>
  </conditionalFormatting>
  <conditionalFormatting sqref="F46">
    <cfRule type="cellIs" dxfId="75" priority="1" operator="equal">
      <formula>"Si"</formula>
    </cfRule>
    <cfRule type="cellIs" dxfId="74" priority="2" operator="equal">
      <formula>"Não"</formula>
    </cfRule>
    <cfRule type="cellIs" dxfId="73" priority="3" operator="equal">
      <formula>"Sim"</formula>
    </cfRule>
    <cfRule type="cellIs" dxfId="72" priority="4" operator="equal">
      <formula>"Yes"</formula>
    </cfRule>
    <cfRule type="cellIs" dxfId="71" priority="5" operator="equal">
      <formula>"No"</formula>
    </cfRule>
    <cfRule type="containsBlanks" dxfId="70" priority="6">
      <formula>LEN(TRIM(F46))=0</formula>
    </cfRule>
  </conditionalFormatting>
  <dataValidations count="2">
    <dataValidation type="list" allowBlank="1" showInputMessage="1" showErrorMessage="1" sqref="N18 F18" xr:uid="{00000000-0002-0000-0F00-000001000000}">
      <formula1>"Não,Sim"</formula1>
    </dataValidation>
    <dataValidation type="list" allowBlank="1" showInputMessage="1" showErrorMessage="1" sqref="N46 F46" xr:uid="{9645D119-89A3-46B4-BD97-374695F93CF5}">
      <formula1>"Não, Sim"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M97"/>
  <sheetViews>
    <sheetView topLeftCell="X15" zoomScale="85" zoomScaleNormal="85" workbookViewId="0">
      <selection activeCell="AE20" sqref="AE20"/>
    </sheetView>
  </sheetViews>
  <sheetFormatPr defaultColWidth="8.88671875" defaultRowHeight="13.2" x14ac:dyDescent="0.25"/>
  <cols>
    <col min="1" max="1" width="15.88671875" style="87" bestFit="1" customWidth="1"/>
    <col min="2" max="2" width="8.88671875" style="87"/>
    <col min="3" max="3" width="9" style="87" customWidth="1"/>
    <col min="4" max="4" width="11" style="87" customWidth="1"/>
    <col min="5" max="5" width="10" style="87" bestFit="1" customWidth="1"/>
    <col min="6" max="6" width="10.44140625" style="87" bestFit="1" customWidth="1"/>
    <col min="7" max="7" width="9.44140625" style="87" bestFit="1" customWidth="1"/>
    <col min="8" max="27" width="8.88671875" style="87"/>
    <col min="28" max="28" width="10.44140625" style="87" customWidth="1"/>
    <col min="29" max="36" width="8.88671875" style="87"/>
    <col min="37" max="37" width="8.88671875" style="87" customWidth="1"/>
    <col min="38" max="39" width="8.88671875" style="87"/>
    <col min="40" max="53" width="10.6640625" style="87" customWidth="1"/>
    <col min="54" max="16384" width="8.88671875" style="87"/>
  </cols>
  <sheetData>
    <row r="2" spans="1:1495" ht="17.399999999999999" x14ac:dyDescent="0.25">
      <c r="K2" s="463">
        <f>Parametros!$B$6</f>
        <v>0</v>
      </c>
      <c r="L2" s="463"/>
      <c r="M2" s="463"/>
      <c r="N2" s="463"/>
      <c r="O2" s="463"/>
    </row>
    <row r="3" spans="1:1495" ht="17.399999999999999" x14ac:dyDescent="0.25">
      <c r="K3" s="463">
        <f>Parametros!$B$8</f>
        <v>0</v>
      </c>
      <c r="L3" s="463"/>
      <c r="M3" s="463"/>
      <c r="N3" s="463"/>
      <c r="O3" s="463"/>
    </row>
    <row r="4" spans="1:1495" ht="17.399999999999999" x14ac:dyDescent="0.25">
      <c r="K4" s="463">
        <f>Parametros!$B$10</f>
        <v>0</v>
      </c>
      <c r="L4" s="463"/>
      <c r="M4" s="463"/>
      <c r="N4" s="463"/>
      <c r="O4" s="463"/>
    </row>
    <row r="5" spans="1:1495" ht="17.399999999999999" x14ac:dyDescent="0.25">
      <c r="K5" s="463">
        <f>Parametros!$B$12</f>
        <v>0</v>
      </c>
      <c r="L5" s="463"/>
      <c r="M5" s="463"/>
      <c r="N5" s="463"/>
      <c r="O5" s="463"/>
    </row>
    <row r="6" spans="1:1495" ht="17.399999999999999" x14ac:dyDescent="0.25">
      <c r="K6" s="464">
        <f>Parametros!$B$14</f>
        <v>0</v>
      </c>
      <c r="L6" s="463"/>
      <c r="M6" s="463"/>
      <c r="N6" s="463"/>
      <c r="O6" s="463"/>
    </row>
    <row r="7" spans="1:1495" ht="17.399999999999999" x14ac:dyDescent="0.25">
      <c r="C7" s="594">
        <f>Parametros!$B$6</f>
        <v>0</v>
      </c>
      <c r="D7" s="594"/>
      <c r="E7" s="594"/>
      <c r="F7" s="594"/>
      <c r="G7" s="595"/>
    </row>
    <row r="8" spans="1:1495" ht="17.399999999999999" x14ac:dyDescent="0.25">
      <c r="C8" s="594">
        <f>Parametros!$B$8</f>
        <v>0</v>
      </c>
      <c r="D8" s="594"/>
      <c r="E8" s="594"/>
      <c r="F8" s="594"/>
      <c r="G8" s="595"/>
    </row>
    <row r="9" spans="1:1495" ht="17.399999999999999" x14ac:dyDescent="0.25">
      <c r="C9" s="594">
        <f>Parametros!$B$10</f>
        <v>0</v>
      </c>
      <c r="D9" s="594"/>
      <c r="E9" s="594"/>
      <c r="F9" s="594"/>
      <c r="G9" s="595"/>
    </row>
    <row r="10" spans="1:1495" ht="17.399999999999999" x14ac:dyDescent="0.25">
      <c r="C10" s="463">
        <f>Parametros!$B$12</f>
        <v>0</v>
      </c>
      <c r="D10" s="463"/>
      <c r="E10" s="463"/>
      <c r="F10" s="463"/>
      <c r="G10" s="595"/>
    </row>
    <row r="11" spans="1:1495" ht="17.399999999999999" x14ac:dyDescent="0.25">
      <c r="C11" s="598">
        <f>Parametros!$B$14</f>
        <v>0</v>
      </c>
      <c r="D11" s="594"/>
      <c r="E11" s="594"/>
      <c r="F11" s="594"/>
      <c r="G11" s="595"/>
      <c r="AJ11" s="286"/>
    </row>
    <row r="12" spans="1:1495" x14ac:dyDescent="0.25">
      <c r="AK12" s="394"/>
    </row>
    <row r="13" spans="1:1495" x14ac:dyDescent="0.25">
      <c r="P13" s="627" t="s">
        <v>378</v>
      </c>
      <c r="Q13" s="627"/>
      <c r="AK13" s="627" t="s">
        <v>378</v>
      </c>
      <c r="AL13" s="627"/>
      <c r="AN13" s="400" t="s">
        <v>415</v>
      </c>
      <c r="AO13" s="401"/>
      <c r="AP13" s="401"/>
      <c r="BC13" s="312" t="s">
        <v>378</v>
      </c>
    </row>
    <row r="14" spans="1:1495" x14ac:dyDescent="0.25">
      <c r="A14" s="310" t="s">
        <v>94</v>
      </c>
      <c r="AN14" s="393" t="s">
        <v>403</v>
      </c>
      <c r="AO14" s="393" t="s">
        <v>408</v>
      </c>
      <c r="AP14" s="393" t="s">
        <v>411</v>
      </c>
      <c r="AQ14" s="393" t="s">
        <v>410</v>
      </c>
      <c r="AR14" s="393" t="s">
        <v>409</v>
      </c>
      <c r="AS14" s="393" t="s">
        <v>407</v>
      </c>
      <c r="AT14" s="393" t="s">
        <v>93</v>
      </c>
      <c r="AU14" s="393" t="s">
        <v>402</v>
      </c>
      <c r="AV14" s="393" t="s">
        <v>404</v>
      </c>
      <c r="AW14" s="393" t="s">
        <v>412</v>
      </c>
      <c r="AX14" s="393" t="s">
        <v>413</v>
      </c>
      <c r="AY14" s="393" t="s">
        <v>414</v>
      </c>
      <c r="AZ14" s="393" t="s">
        <v>406</v>
      </c>
      <c r="BA14" s="393" t="s">
        <v>92</v>
      </c>
    </row>
    <row r="15" spans="1:1495" s="91" customFormat="1" ht="15" customHeight="1" x14ac:dyDescent="0.25">
      <c r="A15" s="89">
        <f>1</f>
        <v>1</v>
      </c>
      <c r="B15" s="190">
        <v>1</v>
      </c>
      <c r="C15" s="190">
        <v>0</v>
      </c>
      <c r="D15" s="191" t="s">
        <v>341</v>
      </c>
      <c r="E15" s="192" t="s">
        <v>342</v>
      </c>
      <c r="F15" s="193">
        <v>66.27</v>
      </c>
      <c r="G15" s="190"/>
      <c r="H15" s="190"/>
      <c r="I15" s="190"/>
      <c r="J15" s="190"/>
      <c r="K15" s="190"/>
      <c r="L15" s="190"/>
      <c r="M15" s="391"/>
      <c r="N15" s="391"/>
      <c r="O15" s="64">
        <f>Parametros!$F$42*F15/1000</f>
        <v>6.6270000000000001E-4</v>
      </c>
      <c r="P15" s="84">
        <f>'A1'!M15</f>
        <v>0</v>
      </c>
      <c r="Q15" s="84">
        <f>'A1'!W15</f>
        <v>0</v>
      </c>
      <c r="R15" s="166"/>
      <c r="S15" s="414"/>
      <c r="T15" s="65"/>
      <c r="U15" s="84">
        <f>'A2'!AE15</f>
        <v>0</v>
      </c>
      <c r="V15" s="67">
        <f>X15-AL15/1000</f>
        <v>0.9</v>
      </c>
      <c r="W15" s="67">
        <f>Y15-AL15/1000</f>
        <v>0.9</v>
      </c>
      <c r="X15" s="67">
        <f>IF(B15=1,IF(ISBLANK(T15),IF(R15=1,Parametros!$F$58+AL15/1000,Parametros!$F$57+AL15/1000),T15),IF(ISBLANK(T15),MAX('A2'!H15+Parametros!$F$64,U15,IF(R15=1,Parametros!$F$58+Parametros!$F$64+(AL15/1000),Parametros!$F$57+Parametros!$F$64+(AL15/1000))),MAX('A2'!H15+Parametros!$F$64,T15,U15)))</f>
        <v>1.05</v>
      </c>
      <c r="Y15" s="67">
        <f>IF(F15=0,0,IF(IF(ISBLANK(Z15),0,Z15)&gt;=0,IF(ISBLANK(Z15),MAX(AB15-(AC15-AH15*F15),IF(R15=1,Parametros!$F$58+AL15/1000,Parametros!$F$57+AL15/1000)),MAX(AB15-(AC15-AH15*F15),Z15)),IF(ISBLANK(Z15),AB15-(AC15-AH15*F15),MAX(AB15-(AC15-AH15*F15),Z15))))</f>
        <v>1.05</v>
      </c>
      <c r="Z15" s="65"/>
      <c r="AA15" s="68">
        <v>23.11</v>
      </c>
      <c r="AB15" s="68">
        <v>20.54</v>
      </c>
      <c r="AC15" s="68">
        <f t="shared" ref="AC15" si="0">IF(OR(F15=0,ISBLANK(D15)),"-",AA15-X15)</f>
        <v>22.06</v>
      </c>
      <c r="AD15" s="68">
        <f t="shared" ref="AD15" si="1">IF(OR(F15=0,ISBLANK(D15)),"-",AB15-Y15)</f>
        <v>19.489999999999998</v>
      </c>
      <c r="AE15" s="68">
        <f t="shared" ref="AE15" si="2">IF(OR(F15=0,ISBLANK(D15)),"-",AA15-V15)</f>
        <v>22.21</v>
      </c>
      <c r="AF15" s="68">
        <f t="shared" ref="AF15" si="3">IF(OR(F15=0,ISBLANK(D15)),"-",AB15-W15)</f>
        <v>19.64</v>
      </c>
      <c r="AG15" s="69">
        <f t="shared" ref="AG15" si="4">IF(F15=0,0,IF(ISBLANK(D15),0,(AA15-AB15)/F15))</f>
        <v>3.8780745435340283E-2</v>
      </c>
      <c r="AH15" s="131">
        <f>IF(F15=0,0,IF(AL15&lt;=Parametros!$C$52,Parametros!$F$52,IF(AL15&lt;=Parametros!$C$53,Parametros!$F$53,IF(AL15&gt;=Parametros!$C$54,Parametros!$F$54))))</f>
        <v>4.4999999999999997E-3</v>
      </c>
      <c r="AI15" s="70">
        <f>IF(F15=0,0,IF(AL15&lt;=Parametros!$C$52,Parametros!$F$52,IF(AL15&lt;=Parametros!$C$53,Parametros!$F$53,IF(AL15&gt;=Parametros!$C$54,Parametros!$F$54))))</f>
        <v>4.4999999999999997E-3</v>
      </c>
      <c r="AJ15" s="71">
        <f t="shared" ref="AJ15" si="5">IF(F15=0,0,IF(ISBLANK(D15),0,(AE15-AF15)/F15))</f>
        <v>3.8780745435340283E-2</v>
      </c>
      <c r="AK15" s="62" cm="1">
        <f t="array" ref="AK15">IF(INDEX(Parametros!$B$70:$B$84,MATCH(DN1mm(MAX(AO15,AV15),AJ15,AM15,Parametros!$F$46),Parametros!$B$70:$B$84,TRUE)+1)&lt;Parametros!$F$49,Parametros!$F$49,INDEX(Parametros!$B$70:$B$84,MATCH(DN1mm(MAX(AO15,AV15),AJ15,AM15,Parametros!$F$46),Parametros!$B$70:$B$84,TRUE)+1))</f>
        <v>150</v>
      </c>
      <c r="AL15" s="72">
        <f>IF(B15=1,Parametros!$F$49,AL14)</f>
        <v>150</v>
      </c>
      <c r="AM15" s="307">
        <f>IF(OR(F15=0,D15=0),0,VLOOKUP(AL15,Parametros!$B$71:$E$84,4,FALSE))</f>
        <v>1.2999999999999999E-2</v>
      </c>
      <c r="AN15" s="384">
        <f>IF(OR(ISBLANK($D15),'A1'!N15=0),0,IF('A1'!N15&lt;Parametros!$F$44,Parametros!$F$44,'A1'!N15))</f>
        <v>0</v>
      </c>
      <c r="AO15" s="73">
        <f>IF(OR(ISBLANK($D15),'A1'!O15=0),0,IF('A1'!O15&lt;Parametros!$F$44,Parametros!$F$44,'A1'!O15))</f>
        <v>0</v>
      </c>
      <c r="AP15" s="73" cm="1">
        <f t="array" ref="AP15">IF(F15=0,0,IF(ISBLANK(D15),0,ROUND(LAMINAABS(AO15,AL15,AJ15,AM15),6)))</f>
        <v>0</v>
      </c>
      <c r="AQ15" s="148" cm="1">
        <f t="array" ref="AQ15">IF(F15=0,0,IF(ISBLANK(D15),0,LAMINAREL(AO15,AL15,AJ15,AM15)))</f>
        <v>0</v>
      </c>
      <c r="AR15" s="73" cm="1">
        <f t="array" ref="AR15">IF(F15=0,0,IF(ISBLANK(D15),0,TENSTRAT(AN15,AL15,AJ15,AM15)))</f>
        <v>0</v>
      </c>
      <c r="AS15" s="73" cm="1">
        <f t="array" ref="AS15">IF(F15=0,0,IF(ISBLANK(D15),0,VELOCRIT(AO15,AL15,AJ15,AM15)))</f>
        <v>0</v>
      </c>
      <c r="AT15" s="305" cm="1">
        <f t="array" ref="AT15">IF(F15=0,0,IF(ISBLANK(D15),0,VELOCID(AO15,AL15,AJ15,AM15)))</f>
        <v>0</v>
      </c>
      <c r="AU15" s="386">
        <f>IF(OR(ISBLANK($D15),'A1'!X15=0),0,IF('A1'!X15&lt;Parametros!$F$44,Parametros!$F$44,'A1'!X15))</f>
        <v>0</v>
      </c>
      <c r="AV15" s="73">
        <f>IF(OR(ISBLANK($D15),'A1'!Y15=0),0,IF('A1'!Y15&lt;Parametros!$F$44,Parametros!$F$44,'A1'!Y15))</f>
        <v>0</v>
      </c>
      <c r="AW15" s="73" cm="1">
        <f t="array" ref="AW15">IF(F15=0,0,IF(ISBLANK(D15),0,ROUND(LAMINAABS(AV15,AL15,AJ15,AM15),6)))</f>
        <v>0</v>
      </c>
      <c r="AX15" s="148" cm="1">
        <f t="array" ref="AX15">IF(F15=0,0,IF(ISBLANK(D15),0,LAMINAREL(AV15,AL15,AJ15,AM15)))</f>
        <v>0</v>
      </c>
      <c r="AY15" s="73" cm="1">
        <f t="array" ref="AY15">IF(F15=0,0,IF(ISBLANK(D15),0,TENSTRAT(AU15,AL15,AJ15,AM15)))</f>
        <v>0</v>
      </c>
      <c r="AZ15" s="73" cm="1">
        <f t="array" ref="AZ15">IF(F15=0,0,IF(ISBLANK(D15),0,VELOCRIT(AV15,AL15,AJ15,AM15)))</f>
        <v>0</v>
      </c>
      <c r="BA15" s="305" cm="1">
        <f t="array" ref="BA15">IF(F15=0,0,IF(ISBLANK(D15),0,VELOCID(AV15,AL15,AJ15,AM15)))</f>
        <v>0</v>
      </c>
      <c r="BB15" s="308" t="s">
        <v>342</v>
      </c>
      <c r="BC15" s="66" t="str">
        <f>IF(AND(B15=1,Parametros!$F$61="Sim"),"TL",IF(AND(X15&lt;=Parametros!$C$88,AL15&lt;=Parametros!$D$88),Parametros!$B$88,IF(AND(X15&lt;=Parametros!$C$89,AL15&lt;=Parametros!$D$89),Parametros!$B$89,IF(AND(X15&lt;=Parametros!$C$90,AL15&lt;=Parametros!$D$90),Parametros!$B$90,IF(AND(X15&lt;=Parametros!$C$91,AL15&lt;=Parametros!$D$91),Parametros!$B$91,IF(AND(X15&lt;=Parametros!$C$92,AL15&lt;=Parametros!$D$92),Parametros!$B$92,Parametros!$B$93))))))</f>
        <v>CI-0.60</v>
      </c>
      <c r="BD15" s="62" t="s">
        <v>343</v>
      </c>
      <c r="BE15" s="66" t="str">
        <f t="shared" ref="BE15" si="6">IFERROR(INDEX($BC$15:$BC$10000,MATCH(BF15,$E$15:$E$10000,0)),BC15)</f>
        <v>CI-0.60</v>
      </c>
      <c r="BF15" s="190" t="s">
        <v>343</v>
      </c>
      <c r="BG15" s="122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87"/>
      <c r="CQ15" s="87"/>
      <c r="CR15" s="87"/>
      <c r="CS15" s="87"/>
      <c r="CT15" s="87"/>
      <c r="CU15" s="87"/>
      <c r="CV15" s="87"/>
      <c r="CW15" s="87"/>
      <c r="CX15" s="87"/>
      <c r="CY15" s="87"/>
      <c r="CZ15" s="87"/>
      <c r="DA15" s="87"/>
      <c r="DB15" s="87"/>
      <c r="DC15" s="87"/>
      <c r="DD15" s="87"/>
      <c r="DE15" s="87"/>
      <c r="DF15" s="87"/>
      <c r="DG15" s="87"/>
      <c r="DH15" s="87"/>
      <c r="DI15" s="87"/>
      <c r="DJ15" s="87"/>
      <c r="DK15" s="87"/>
      <c r="DL15" s="87"/>
      <c r="DM15" s="87"/>
      <c r="DN15" s="87"/>
      <c r="DO15" s="87"/>
      <c r="DP15" s="87"/>
      <c r="DQ15" s="87"/>
      <c r="DR15" s="87"/>
      <c r="DS15" s="87"/>
      <c r="DT15" s="87"/>
      <c r="DU15" s="87"/>
      <c r="DV15" s="87"/>
      <c r="DW15" s="87"/>
      <c r="DX15" s="87"/>
      <c r="DY15" s="87"/>
      <c r="DZ15" s="87"/>
      <c r="EA15" s="87"/>
      <c r="EB15" s="87"/>
      <c r="EC15" s="87"/>
      <c r="ED15" s="87"/>
      <c r="EE15" s="87"/>
      <c r="EF15" s="87"/>
      <c r="EG15" s="87"/>
      <c r="EH15" s="87"/>
      <c r="EI15" s="87"/>
      <c r="EJ15" s="87"/>
      <c r="EK15" s="87"/>
      <c r="EL15" s="87"/>
      <c r="EM15" s="87"/>
      <c r="EN15" s="87"/>
      <c r="EO15" s="87"/>
      <c r="EP15" s="87"/>
      <c r="EQ15" s="87"/>
      <c r="ER15" s="87"/>
      <c r="ES15" s="87"/>
      <c r="ET15" s="87"/>
      <c r="EU15" s="87"/>
      <c r="EV15" s="87"/>
      <c r="EW15" s="87"/>
      <c r="EX15" s="87"/>
      <c r="EY15" s="87"/>
      <c r="EZ15" s="87"/>
      <c r="FA15" s="87"/>
      <c r="FB15" s="87"/>
      <c r="FC15" s="87"/>
      <c r="FD15" s="87"/>
      <c r="FE15" s="87"/>
      <c r="FF15" s="87"/>
      <c r="FG15" s="87"/>
      <c r="FH15" s="87"/>
      <c r="FI15" s="87"/>
      <c r="FJ15" s="87"/>
      <c r="FK15" s="87"/>
      <c r="FL15" s="87"/>
      <c r="FM15" s="87"/>
      <c r="FN15" s="87"/>
      <c r="FO15" s="87"/>
      <c r="FP15" s="87"/>
      <c r="FQ15" s="87"/>
      <c r="FR15" s="87"/>
      <c r="FS15" s="87"/>
      <c r="FT15" s="87"/>
      <c r="FU15" s="87"/>
      <c r="FV15" s="87"/>
      <c r="FW15" s="87"/>
      <c r="FX15" s="87"/>
      <c r="FY15" s="87"/>
      <c r="FZ15" s="87"/>
      <c r="GA15" s="87"/>
      <c r="GB15" s="87"/>
      <c r="GC15" s="87"/>
      <c r="GD15" s="87"/>
      <c r="GE15" s="87"/>
      <c r="GF15" s="87"/>
      <c r="GG15" s="87"/>
      <c r="GH15" s="87"/>
      <c r="GI15" s="87"/>
      <c r="GJ15" s="87"/>
      <c r="GK15" s="87"/>
      <c r="GL15" s="87"/>
      <c r="GM15" s="87"/>
      <c r="GN15" s="87"/>
      <c r="GO15" s="87"/>
      <c r="GP15" s="87"/>
      <c r="GQ15" s="87"/>
      <c r="GR15" s="87"/>
      <c r="GS15" s="87"/>
      <c r="GT15" s="87"/>
      <c r="GU15" s="87"/>
      <c r="GV15" s="87"/>
      <c r="GW15" s="87"/>
      <c r="GX15" s="87"/>
      <c r="GY15" s="87"/>
      <c r="GZ15" s="87"/>
      <c r="HA15" s="87"/>
      <c r="HB15" s="87"/>
      <c r="HC15" s="87"/>
      <c r="HD15" s="87"/>
      <c r="HE15" s="87"/>
      <c r="HF15" s="87"/>
      <c r="HG15" s="87"/>
      <c r="HH15" s="87"/>
      <c r="HI15" s="87"/>
      <c r="HJ15" s="87"/>
      <c r="HK15" s="87"/>
      <c r="HL15" s="87"/>
      <c r="HM15" s="87"/>
      <c r="HN15" s="87"/>
      <c r="HO15" s="87"/>
      <c r="HP15" s="87"/>
      <c r="HQ15" s="87"/>
      <c r="HR15" s="87"/>
      <c r="HS15" s="87"/>
      <c r="HT15" s="87"/>
      <c r="HU15" s="87"/>
      <c r="HV15" s="87"/>
      <c r="HW15" s="87"/>
      <c r="HX15" s="87"/>
      <c r="HY15" s="87"/>
      <c r="HZ15" s="87"/>
      <c r="IA15" s="87"/>
      <c r="IB15" s="87"/>
      <c r="IC15" s="87"/>
      <c r="ID15" s="87"/>
      <c r="IE15" s="87"/>
      <c r="IF15" s="87"/>
      <c r="IG15" s="87"/>
      <c r="IH15" s="87"/>
      <c r="II15" s="87"/>
      <c r="IJ15" s="87"/>
      <c r="IK15" s="87"/>
      <c r="IL15" s="87"/>
      <c r="IM15" s="87"/>
      <c r="IN15" s="87"/>
      <c r="IO15" s="87"/>
      <c r="IP15" s="87"/>
      <c r="IQ15" s="87"/>
      <c r="IR15" s="87"/>
      <c r="IS15" s="87"/>
      <c r="IT15" s="87"/>
      <c r="IU15" s="87"/>
      <c r="IV15" s="87"/>
      <c r="IW15" s="87"/>
      <c r="IX15" s="87"/>
      <c r="IY15" s="87"/>
      <c r="IZ15" s="87"/>
      <c r="JA15" s="87"/>
      <c r="JB15" s="87"/>
      <c r="JC15" s="87"/>
      <c r="JD15" s="87"/>
      <c r="JE15" s="87"/>
      <c r="JF15" s="87"/>
      <c r="JG15" s="87"/>
      <c r="JH15" s="87"/>
      <c r="JI15" s="87"/>
      <c r="JJ15" s="87"/>
      <c r="JK15" s="87"/>
      <c r="JL15" s="87"/>
      <c r="JM15" s="87"/>
      <c r="JN15" s="87"/>
      <c r="JO15" s="87"/>
      <c r="JP15" s="87"/>
      <c r="JQ15" s="87"/>
      <c r="JR15" s="87"/>
      <c r="JS15" s="87"/>
      <c r="JT15" s="87"/>
      <c r="JU15" s="87"/>
      <c r="JV15" s="87"/>
      <c r="JW15" s="87"/>
      <c r="JX15" s="87"/>
      <c r="JY15" s="87"/>
      <c r="JZ15" s="87"/>
      <c r="KA15" s="87"/>
      <c r="KB15" s="87"/>
      <c r="KC15" s="87"/>
      <c r="KD15" s="87"/>
      <c r="KE15" s="87"/>
      <c r="KF15" s="87"/>
      <c r="KG15" s="87"/>
      <c r="KH15" s="87"/>
      <c r="KI15" s="87"/>
      <c r="KJ15" s="87"/>
      <c r="KK15" s="87"/>
      <c r="KL15" s="87"/>
      <c r="KM15" s="87"/>
      <c r="KN15" s="87"/>
      <c r="KO15" s="87"/>
      <c r="KP15" s="87"/>
      <c r="KQ15" s="87"/>
      <c r="KR15" s="87"/>
      <c r="KS15" s="87"/>
      <c r="KT15" s="87"/>
      <c r="KU15" s="87"/>
      <c r="KV15" s="87"/>
      <c r="KW15" s="87"/>
      <c r="KX15" s="87"/>
      <c r="KY15" s="87"/>
      <c r="KZ15" s="87"/>
      <c r="LA15" s="87"/>
      <c r="LB15" s="87"/>
      <c r="LC15" s="87"/>
      <c r="LD15" s="87"/>
      <c r="LE15" s="87"/>
      <c r="LF15" s="87"/>
      <c r="LG15" s="87"/>
      <c r="LH15" s="87"/>
      <c r="LI15" s="87"/>
      <c r="LJ15" s="87"/>
      <c r="LK15" s="87"/>
      <c r="LL15" s="87"/>
      <c r="LM15" s="87"/>
      <c r="LN15" s="87"/>
      <c r="LO15" s="87"/>
      <c r="LP15" s="87"/>
      <c r="LQ15" s="87"/>
      <c r="LR15" s="87"/>
      <c r="LS15" s="87"/>
      <c r="LT15" s="87"/>
      <c r="LU15" s="87"/>
      <c r="LV15" s="87"/>
      <c r="LW15" s="87"/>
      <c r="LX15" s="87"/>
      <c r="LY15" s="87"/>
      <c r="LZ15" s="87"/>
      <c r="MA15" s="87"/>
      <c r="MB15" s="87"/>
      <c r="MC15" s="87"/>
      <c r="MD15" s="87"/>
      <c r="ME15" s="87"/>
      <c r="MF15" s="87"/>
      <c r="MG15" s="87"/>
      <c r="MH15" s="87"/>
      <c r="MI15" s="87"/>
      <c r="MJ15" s="87"/>
      <c r="MK15" s="87"/>
      <c r="ML15" s="87"/>
      <c r="MM15" s="87"/>
      <c r="MN15" s="87"/>
      <c r="MO15" s="87"/>
      <c r="MP15" s="87"/>
      <c r="MQ15" s="87"/>
      <c r="MR15" s="87"/>
      <c r="MS15" s="87"/>
      <c r="MT15" s="87"/>
      <c r="MU15" s="87"/>
      <c r="MV15" s="87"/>
      <c r="MW15" s="87"/>
      <c r="MX15" s="87"/>
      <c r="MY15" s="87"/>
      <c r="MZ15" s="87"/>
      <c r="NA15" s="87"/>
      <c r="NB15" s="87"/>
      <c r="NC15" s="87"/>
      <c r="ND15" s="87"/>
      <c r="NE15" s="87"/>
      <c r="NF15" s="87"/>
      <c r="NG15" s="87"/>
      <c r="NH15" s="87"/>
      <c r="NI15" s="87"/>
      <c r="NJ15" s="87"/>
      <c r="NK15" s="87"/>
      <c r="NL15" s="87"/>
      <c r="NM15" s="87"/>
      <c r="NN15" s="87"/>
      <c r="NO15" s="87"/>
      <c r="NP15" s="87"/>
      <c r="NQ15" s="87"/>
      <c r="NR15" s="87"/>
      <c r="NS15" s="87"/>
      <c r="NT15" s="87"/>
      <c r="NU15" s="87"/>
      <c r="NV15" s="87"/>
      <c r="NW15" s="87"/>
      <c r="NX15" s="87"/>
      <c r="NY15" s="87"/>
      <c r="NZ15" s="87"/>
      <c r="OA15" s="87"/>
      <c r="OB15" s="87"/>
      <c r="OC15" s="87"/>
      <c r="OD15" s="87"/>
      <c r="OE15" s="87"/>
      <c r="OF15" s="87"/>
      <c r="OG15" s="87"/>
      <c r="OH15" s="87"/>
      <c r="OI15" s="87"/>
      <c r="OJ15" s="87"/>
      <c r="OK15" s="87"/>
      <c r="OL15" s="87"/>
      <c r="OM15" s="87"/>
      <c r="ON15" s="87"/>
      <c r="OO15" s="87"/>
      <c r="OP15" s="87"/>
      <c r="OQ15" s="87"/>
      <c r="OR15" s="87"/>
      <c r="OS15" s="87"/>
      <c r="OT15" s="87"/>
      <c r="OU15" s="87"/>
      <c r="OV15" s="87"/>
      <c r="OW15" s="87"/>
      <c r="OX15" s="87"/>
      <c r="OY15" s="87"/>
      <c r="OZ15" s="87"/>
      <c r="PA15" s="87"/>
      <c r="PB15" s="87"/>
      <c r="PC15" s="87"/>
      <c r="PD15" s="87"/>
      <c r="PE15" s="87"/>
      <c r="PF15" s="87"/>
      <c r="PG15" s="87"/>
      <c r="PH15" s="87"/>
      <c r="PI15" s="87"/>
      <c r="PJ15" s="87"/>
      <c r="PK15" s="87"/>
      <c r="PL15" s="87"/>
      <c r="PM15" s="87"/>
      <c r="PN15" s="87"/>
      <c r="PO15" s="87"/>
      <c r="PP15" s="87"/>
      <c r="PQ15" s="87"/>
      <c r="PR15" s="87"/>
      <c r="PS15" s="87"/>
      <c r="PT15" s="87"/>
      <c r="PU15" s="87"/>
      <c r="PV15" s="87"/>
      <c r="PW15" s="87"/>
      <c r="PX15" s="87"/>
      <c r="PY15" s="87"/>
      <c r="PZ15" s="87"/>
      <c r="QA15" s="87"/>
      <c r="QB15" s="87"/>
      <c r="QC15" s="87"/>
      <c r="QD15" s="87"/>
      <c r="QE15" s="87"/>
      <c r="QF15" s="87"/>
      <c r="QG15" s="87"/>
      <c r="QH15" s="87"/>
      <c r="QI15" s="87"/>
      <c r="QJ15" s="87"/>
      <c r="QK15" s="87"/>
      <c r="QL15" s="87"/>
      <c r="QM15" s="87"/>
      <c r="QN15" s="87"/>
      <c r="QO15" s="87"/>
      <c r="QP15" s="87"/>
      <c r="QQ15" s="87"/>
      <c r="QR15" s="87"/>
      <c r="QS15" s="87"/>
      <c r="QT15" s="87"/>
      <c r="QU15" s="87"/>
      <c r="QV15" s="87"/>
      <c r="QW15" s="87"/>
      <c r="QX15" s="87"/>
      <c r="QY15" s="87"/>
      <c r="QZ15" s="87"/>
      <c r="RA15" s="87"/>
      <c r="RB15" s="87"/>
      <c r="RC15" s="87"/>
      <c r="RD15" s="87"/>
      <c r="RE15" s="87"/>
      <c r="RF15" s="87"/>
      <c r="RG15" s="87"/>
      <c r="RH15" s="87"/>
      <c r="RI15" s="87"/>
      <c r="RJ15" s="87"/>
      <c r="RK15" s="87"/>
      <c r="RL15" s="87"/>
      <c r="RM15" s="87"/>
      <c r="RN15" s="87"/>
      <c r="RO15" s="87"/>
      <c r="RP15" s="87"/>
      <c r="RQ15" s="87"/>
      <c r="RR15" s="87"/>
      <c r="RS15" s="87"/>
      <c r="RT15" s="87"/>
      <c r="RU15" s="87"/>
      <c r="RV15" s="87"/>
      <c r="RW15" s="87"/>
      <c r="RX15" s="87"/>
      <c r="RY15" s="87"/>
      <c r="RZ15" s="87"/>
      <c r="SA15" s="87"/>
      <c r="SB15" s="87"/>
      <c r="SC15" s="87"/>
      <c r="SD15" s="87"/>
      <c r="SE15" s="87"/>
      <c r="SF15" s="87"/>
      <c r="SG15" s="87"/>
      <c r="SH15" s="87"/>
      <c r="SI15" s="87"/>
      <c r="SJ15" s="87"/>
      <c r="SK15" s="87"/>
      <c r="SL15" s="87"/>
      <c r="SM15" s="87"/>
      <c r="SN15" s="87"/>
      <c r="SO15" s="87"/>
      <c r="SP15" s="87"/>
      <c r="SQ15" s="87"/>
      <c r="SR15" s="87"/>
      <c r="SS15" s="87"/>
      <c r="ST15" s="87"/>
      <c r="SU15" s="87"/>
      <c r="SV15" s="87"/>
      <c r="SW15" s="87"/>
      <c r="SX15" s="87"/>
      <c r="SY15" s="87"/>
      <c r="SZ15" s="87"/>
      <c r="TA15" s="87"/>
      <c r="TB15" s="87"/>
      <c r="TC15" s="87"/>
      <c r="TD15" s="87"/>
      <c r="TE15" s="87"/>
      <c r="TF15" s="87"/>
      <c r="TG15" s="87"/>
      <c r="TH15" s="87"/>
      <c r="TI15" s="87"/>
      <c r="TJ15" s="87"/>
      <c r="TK15" s="87"/>
      <c r="TL15" s="87"/>
      <c r="TM15" s="87"/>
      <c r="TN15" s="87"/>
      <c r="TO15" s="87"/>
      <c r="TP15" s="87"/>
      <c r="TQ15" s="87"/>
      <c r="TR15" s="87"/>
      <c r="TS15" s="87"/>
      <c r="TT15" s="87"/>
      <c r="TU15" s="87"/>
      <c r="TV15" s="87"/>
      <c r="TW15" s="87"/>
      <c r="TX15" s="87"/>
      <c r="TY15" s="87"/>
      <c r="TZ15" s="87"/>
      <c r="UA15" s="87"/>
      <c r="UB15" s="87"/>
      <c r="UC15" s="87"/>
      <c r="UD15" s="87"/>
      <c r="UE15" s="87"/>
      <c r="UF15" s="87"/>
      <c r="UG15" s="87"/>
      <c r="UH15" s="87"/>
      <c r="UI15" s="87"/>
      <c r="UJ15" s="87"/>
      <c r="UK15" s="87"/>
      <c r="UL15" s="87"/>
      <c r="UM15" s="87"/>
      <c r="UN15" s="87"/>
      <c r="UO15" s="87"/>
      <c r="UP15" s="87"/>
      <c r="UQ15" s="87"/>
      <c r="UR15" s="87"/>
      <c r="US15" s="87"/>
      <c r="UT15" s="87"/>
      <c r="UU15" s="87"/>
      <c r="UV15" s="87"/>
      <c r="UW15" s="87"/>
      <c r="UX15" s="87"/>
      <c r="UY15" s="87"/>
      <c r="UZ15" s="87"/>
      <c r="VA15" s="87"/>
      <c r="VB15" s="87"/>
      <c r="VC15" s="87"/>
      <c r="VD15" s="87"/>
      <c r="VE15" s="87"/>
      <c r="VF15" s="87"/>
      <c r="VG15" s="87"/>
      <c r="VH15" s="87"/>
      <c r="VI15" s="87"/>
      <c r="VJ15" s="87"/>
      <c r="VK15" s="87"/>
      <c r="VL15" s="87"/>
      <c r="VM15" s="87"/>
      <c r="VN15" s="87"/>
      <c r="VO15" s="87"/>
      <c r="VP15" s="87"/>
      <c r="VQ15" s="87"/>
      <c r="VR15" s="87"/>
      <c r="VS15" s="87"/>
      <c r="VT15" s="87"/>
      <c r="VU15" s="87"/>
      <c r="VV15" s="87"/>
      <c r="VW15" s="87"/>
      <c r="VX15" s="87"/>
      <c r="VY15" s="87"/>
      <c r="VZ15" s="87"/>
      <c r="WA15" s="87"/>
      <c r="WB15" s="87"/>
      <c r="WC15" s="87"/>
      <c r="WD15" s="87"/>
      <c r="WE15" s="87"/>
      <c r="WF15" s="87"/>
      <c r="WG15" s="87"/>
      <c r="WH15" s="87"/>
      <c r="WI15" s="87"/>
      <c r="WJ15" s="87"/>
      <c r="WK15" s="87"/>
      <c r="WL15" s="87"/>
      <c r="WM15" s="87"/>
      <c r="WN15" s="87"/>
      <c r="WO15" s="87"/>
      <c r="WP15" s="87"/>
      <c r="WQ15" s="87"/>
      <c r="WR15" s="87"/>
      <c r="WS15" s="87"/>
      <c r="WT15" s="87"/>
      <c r="WU15" s="87"/>
      <c r="WV15" s="87"/>
      <c r="WW15" s="87"/>
      <c r="WX15" s="87"/>
      <c r="WY15" s="87"/>
      <c r="WZ15" s="87"/>
      <c r="XA15" s="87"/>
      <c r="XB15" s="87"/>
      <c r="XC15" s="87"/>
      <c r="XD15" s="87"/>
      <c r="XE15" s="87"/>
      <c r="XF15" s="87"/>
      <c r="XG15" s="87"/>
      <c r="XH15" s="87"/>
      <c r="XI15" s="87"/>
      <c r="XJ15" s="87"/>
      <c r="XK15" s="87"/>
      <c r="XL15" s="87"/>
      <c r="XM15" s="87"/>
      <c r="XN15" s="87"/>
      <c r="XO15" s="87"/>
      <c r="XP15" s="87"/>
      <c r="XQ15" s="87"/>
      <c r="XR15" s="87"/>
      <c r="XS15" s="87"/>
      <c r="XT15" s="87"/>
      <c r="XU15" s="87"/>
      <c r="XV15" s="87"/>
      <c r="XW15" s="87"/>
      <c r="XX15" s="87"/>
      <c r="XY15" s="87"/>
      <c r="XZ15" s="87"/>
      <c r="YA15" s="87"/>
      <c r="YB15" s="87"/>
      <c r="YC15" s="87"/>
      <c r="YD15" s="87"/>
      <c r="YE15" s="87"/>
      <c r="YF15" s="87"/>
      <c r="YG15" s="87"/>
      <c r="YH15" s="87"/>
      <c r="YI15" s="87"/>
      <c r="YJ15" s="87"/>
      <c r="YK15" s="87"/>
      <c r="YL15" s="87"/>
      <c r="YM15" s="87"/>
      <c r="YN15" s="87"/>
      <c r="YO15" s="87"/>
      <c r="YP15" s="87"/>
      <c r="YQ15" s="87"/>
      <c r="YR15" s="87"/>
      <c r="YS15" s="87"/>
      <c r="YT15" s="87"/>
      <c r="YU15" s="87"/>
      <c r="YV15" s="87"/>
      <c r="YW15" s="87"/>
      <c r="YX15" s="87"/>
      <c r="YY15" s="87"/>
      <c r="YZ15" s="87"/>
      <c r="ZA15" s="87"/>
      <c r="ZB15" s="87"/>
      <c r="ZC15" s="87"/>
      <c r="ZD15" s="87"/>
      <c r="ZE15" s="87"/>
      <c r="ZF15" s="87"/>
      <c r="ZG15" s="87"/>
      <c r="ZH15" s="87"/>
      <c r="ZI15" s="87"/>
      <c r="ZJ15" s="87"/>
      <c r="ZK15" s="87"/>
      <c r="ZL15" s="87"/>
      <c r="ZM15" s="87"/>
      <c r="ZN15" s="87"/>
      <c r="ZO15" s="87"/>
      <c r="ZP15" s="87"/>
      <c r="ZQ15" s="87"/>
      <c r="ZR15" s="87"/>
      <c r="ZS15" s="87"/>
      <c r="ZT15" s="87"/>
      <c r="ZU15" s="87"/>
      <c r="ZV15" s="87"/>
      <c r="ZW15" s="87"/>
      <c r="ZX15" s="87"/>
      <c r="ZY15" s="87"/>
      <c r="ZZ15" s="87"/>
      <c r="AAA15" s="87"/>
      <c r="AAB15" s="87"/>
      <c r="AAC15" s="87"/>
      <c r="AAD15" s="87"/>
      <c r="AAE15" s="87"/>
      <c r="AAF15" s="87"/>
      <c r="AAG15" s="87"/>
      <c r="AAH15" s="87"/>
      <c r="AAI15" s="87"/>
      <c r="AAJ15" s="87"/>
      <c r="AAK15" s="87"/>
      <c r="AAL15" s="87"/>
      <c r="AAM15" s="87"/>
      <c r="AAN15" s="87"/>
      <c r="AAO15" s="87"/>
      <c r="AAP15" s="87"/>
      <c r="AAQ15" s="87"/>
      <c r="AAR15" s="87"/>
      <c r="AAS15" s="87"/>
      <c r="AAT15" s="87"/>
      <c r="AAU15" s="87"/>
      <c r="AAV15" s="87"/>
      <c r="AAW15" s="87"/>
      <c r="AAX15" s="87"/>
      <c r="AAY15" s="87"/>
      <c r="AAZ15" s="87"/>
      <c r="ABA15" s="87"/>
      <c r="ABB15" s="87"/>
      <c r="ABC15" s="87"/>
      <c r="ABD15" s="87"/>
      <c r="ABE15" s="87"/>
      <c r="ABF15" s="87"/>
      <c r="ABG15" s="87"/>
      <c r="ABH15" s="87"/>
      <c r="ABI15" s="87"/>
      <c r="ABJ15" s="87"/>
      <c r="ABK15" s="87"/>
      <c r="ABL15" s="87"/>
      <c r="ABM15" s="87"/>
      <c r="ABN15" s="87"/>
      <c r="ABO15" s="87"/>
      <c r="ABP15" s="87"/>
      <c r="ABQ15" s="87"/>
      <c r="ABR15" s="87"/>
      <c r="ABS15" s="87"/>
      <c r="ABT15" s="87"/>
      <c r="ABU15" s="87"/>
      <c r="ABV15" s="87"/>
      <c r="ABW15" s="87"/>
      <c r="ABX15" s="87"/>
      <c r="ABY15" s="87"/>
      <c r="ABZ15" s="87"/>
      <c r="ACA15" s="87"/>
      <c r="ACB15" s="87"/>
      <c r="ACC15" s="87"/>
      <c r="ACD15" s="87"/>
      <c r="ACE15" s="87"/>
      <c r="ACF15" s="87"/>
      <c r="ACG15" s="87"/>
      <c r="ACH15" s="87"/>
      <c r="ACI15" s="87"/>
      <c r="ACJ15" s="87"/>
      <c r="ACK15" s="87"/>
      <c r="ACL15" s="87"/>
      <c r="ACM15" s="87"/>
      <c r="ACN15" s="87"/>
      <c r="ACO15" s="87"/>
      <c r="ACP15" s="87"/>
      <c r="ACQ15" s="87"/>
      <c r="ACR15" s="87"/>
      <c r="ACS15" s="87"/>
      <c r="ACT15" s="87"/>
      <c r="ACU15" s="87"/>
      <c r="ACV15" s="87"/>
      <c r="ACW15" s="87"/>
      <c r="ACX15" s="87"/>
      <c r="ACY15" s="87"/>
      <c r="ACZ15" s="87"/>
      <c r="ADA15" s="87"/>
      <c r="ADB15" s="87"/>
      <c r="ADC15" s="87"/>
      <c r="ADD15" s="87"/>
      <c r="ADE15" s="87"/>
      <c r="ADF15" s="87"/>
      <c r="ADG15" s="87"/>
      <c r="ADH15" s="87"/>
      <c r="ADI15" s="87"/>
      <c r="ADJ15" s="87"/>
      <c r="ADK15" s="87"/>
      <c r="ADL15" s="87"/>
      <c r="ADM15" s="87"/>
      <c r="ADN15" s="87"/>
      <c r="ADO15" s="87"/>
      <c r="ADP15" s="87"/>
      <c r="ADQ15" s="87"/>
      <c r="ADR15" s="87"/>
      <c r="ADS15" s="87"/>
      <c r="ADT15" s="87"/>
      <c r="ADU15" s="87"/>
      <c r="ADV15" s="87"/>
      <c r="ADW15" s="87"/>
      <c r="ADX15" s="87"/>
      <c r="ADY15" s="87"/>
      <c r="ADZ15" s="87"/>
      <c r="AEA15" s="87"/>
      <c r="AEB15" s="87"/>
      <c r="AEC15" s="87"/>
      <c r="AED15" s="87"/>
      <c r="AEE15" s="87"/>
      <c r="AEF15" s="87"/>
      <c r="AEG15" s="87"/>
      <c r="AEH15" s="87"/>
      <c r="AEI15" s="87"/>
      <c r="AEJ15" s="87"/>
      <c r="AEK15" s="87"/>
      <c r="AEL15" s="87"/>
      <c r="AEM15" s="87"/>
      <c r="AEN15" s="87"/>
      <c r="AEO15" s="87"/>
      <c r="AEP15" s="87"/>
      <c r="AEQ15" s="87"/>
      <c r="AER15" s="87"/>
      <c r="AES15" s="87"/>
      <c r="AET15" s="87"/>
      <c r="AEU15" s="87"/>
      <c r="AEV15" s="87"/>
      <c r="AEW15" s="87"/>
      <c r="AEX15" s="87"/>
      <c r="AEY15" s="87"/>
      <c r="AEZ15" s="87"/>
      <c r="AFA15" s="87"/>
      <c r="AFB15" s="87"/>
      <c r="AFC15" s="87"/>
      <c r="AFD15" s="87"/>
      <c r="AFE15" s="87"/>
      <c r="AFF15" s="87"/>
      <c r="AFG15" s="87"/>
      <c r="AFH15" s="87"/>
      <c r="AFI15" s="87"/>
      <c r="AFJ15" s="87"/>
      <c r="AFK15" s="87"/>
      <c r="AFL15" s="87"/>
      <c r="AFM15" s="87"/>
      <c r="AFN15" s="87"/>
      <c r="AFO15" s="87"/>
      <c r="AFP15" s="87"/>
      <c r="AFQ15" s="87"/>
      <c r="AFR15" s="87"/>
      <c r="AFS15" s="87"/>
      <c r="AFT15" s="87"/>
      <c r="AFU15" s="87"/>
      <c r="AFV15" s="87"/>
      <c r="AFW15" s="87"/>
      <c r="AFX15" s="87"/>
      <c r="AFY15" s="87"/>
      <c r="AFZ15" s="87"/>
      <c r="AGA15" s="87"/>
      <c r="AGB15" s="87"/>
      <c r="AGC15" s="87"/>
      <c r="AGD15" s="87"/>
      <c r="AGE15" s="87"/>
      <c r="AGF15" s="87"/>
      <c r="AGG15" s="87"/>
      <c r="AGH15" s="87"/>
      <c r="AGI15" s="87"/>
      <c r="AGJ15" s="87"/>
      <c r="AGK15" s="87"/>
      <c r="AGL15" s="87"/>
      <c r="AGM15" s="87"/>
      <c r="AGN15" s="87"/>
      <c r="AGO15" s="87"/>
      <c r="AGP15" s="87"/>
      <c r="AGQ15" s="87"/>
      <c r="AGR15" s="87"/>
      <c r="AGS15" s="87"/>
      <c r="AGT15" s="87"/>
      <c r="AGU15" s="87"/>
      <c r="AGV15" s="87"/>
      <c r="AGW15" s="87"/>
      <c r="AGX15" s="87"/>
      <c r="AGY15" s="87"/>
      <c r="AGZ15" s="87"/>
      <c r="AHA15" s="87"/>
      <c r="AHB15" s="87"/>
      <c r="AHC15" s="87"/>
      <c r="AHD15" s="87"/>
      <c r="AHE15" s="87"/>
      <c r="AHF15" s="87"/>
      <c r="AHG15" s="87"/>
      <c r="AHH15" s="87"/>
      <c r="AHI15" s="87"/>
      <c r="AHJ15" s="87"/>
      <c r="AHK15" s="87"/>
      <c r="AHL15" s="87"/>
      <c r="AHM15" s="87"/>
      <c r="AHN15" s="87"/>
      <c r="AHO15" s="87"/>
      <c r="AHP15" s="87"/>
      <c r="AHQ15" s="87"/>
      <c r="AHR15" s="87"/>
      <c r="AHS15" s="87"/>
      <c r="AHT15" s="87"/>
      <c r="AHU15" s="87"/>
      <c r="AHV15" s="87"/>
      <c r="AHW15" s="87"/>
      <c r="AHX15" s="87"/>
      <c r="AHY15" s="87"/>
      <c r="AHZ15" s="87"/>
      <c r="AIA15" s="87"/>
      <c r="AIB15" s="87"/>
      <c r="AIC15" s="87"/>
      <c r="AID15" s="87"/>
      <c r="AIE15" s="87"/>
      <c r="AIF15" s="87"/>
      <c r="AIG15" s="87"/>
      <c r="AIH15" s="87"/>
      <c r="AII15" s="87"/>
      <c r="AIJ15" s="87"/>
      <c r="AIK15" s="87"/>
      <c r="AIL15" s="87"/>
      <c r="AIM15" s="87"/>
      <c r="AIN15" s="87"/>
      <c r="AIO15" s="87"/>
      <c r="AIP15" s="87"/>
      <c r="AIQ15" s="87"/>
      <c r="AIR15" s="87"/>
      <c r="AIS15" s="87"/>
      <c r="AIT15" s="87"/>
      <c r="AIU15" s="87"/>
      <c r="AIV15" s="87"/>
      <c r="AIW15" s="87"/>
      <c r="AIX15" s="87"/>
      <c r="AIY15" s="87"/>
      <c r="AIZ15" s="87"/>
      <c r="AJA15" s="87"/>
      <c r="AJB15" s="87"/>
      <c r="AJC15" s="87"/>
      <c r="AJD15" s="87"/>
      <c r="AJE15" s="87"/>
      <c r="AJF15" s="87"/>
      <c r="AJG15" s="87"/>
      <c r="AJH15" s="87"/>
      <c r="AJI15" s="87"/>
      <c r="AJJ15" s="87"/>
      <c r="AJK15" s="87"/>
      <c r="AJL15" s="87"/>
      <c r="AJM15" s="87"/>
      <c r="AJN15" s="87"/>
      <c r="AJO15" s="87"/>
      <c r="AJP15" s="87"/>
      <c r="AJQ15" s="87"/>
      <c r="AJR15" s="87"/>
      <c r="AJS15" s="87"/>
      <c r="AJT15" s="87"/>
      <c r="AJU15" s="87"/>
      <c r="AJV15" s="87"/>
      <c r="AJW15" s="87"/>
      <c r="AJX15" s="87"/>
      <c r="AJY15" s="87"/>
      <c r="AJZ15" s="87"/>
      <c r="AKA15" s="87"/>
      <c r="AKB15" s="87"/>
      <c r="AKC15" s="87"/>
      <c r="AKD15" s="87"/>
      <c r="AKE15" s="87"/>
      <c r="AKF15" s="87"/>
      <c r="AKG15" s="87"/>
      <c r="AKH15" s="87"/>
      <c r="AKI15" s="87"/>
      <c r="AKJ15" s="87"/>
      <c r="AKK15" s="87"/>
      <c r="AKL15" s="87"/>
      <c r="AKM15" s="87"/>
      <c r="AKN15" s="87"/>
      <c r="AKO15" s="87"/>
      <c r="AKP15" s="87"/>
      <c r="AKQ15" s="87"/>
      <c r="AKR15" s="87"/>
      <c r="AKS15" s="87"/>
      <c r="AKT15" s="87"/>
      <c r="AKU15" s="87"/>
      <c r="AKV15" s="87"/>
      <c r="AKW15" s="87"/>
      <c r="AKX15" s="87"/>
      <c r="AKY15" s="87"/>
      <c r="AKZ15" s="87"/>
      <c r="ALA15" s="87"/>
      <c r="ALB15" s="87"/>
      <c r="ALC15" s="87"/>
      <c r="ALD15" s="87"/>
      <c r="ALE15" s="87"/>
      <c r="ALF15" s="87"/>
      <c r="ALG15" s="87"/>
      <c r="ALH15" s="87"/>
      <c r="ALI15" s="87"/>
      <c r="ALJ15" s="87"/>
      <c r="ALK15" s="87"/>
      <c r="ALL15" s="87"/>
      <c r="ALM15" s="87"/>
      <c r="ALN15" s="87"/>
      <c r="ALO15" s="87"/>
      <c r="ALP15" s="87"/>
      <c r="ALQ15" s="87"/>
      <c r="ALR15" s="87"/>
      <c r="ALS15" s="87"/>
      <c r="ALT15" s="87"/>
      <c r="ALU15" s="87"/>
      <c r="ALV15" s="87"/>
      <c r="ALW15" s="87"/>
      <c r="ALX15" s="87"/>
      <c r="ALY15" s="87"/>
      <c r="ALZ15" s="87"/>
      <c r="AMA15" s="87"/>
      <c r="AMB15" s="87"/>
      <c r="AMC15" s="87"/>
      <c r="AMD15" s="87"/>
      <c r="AME15" s="87"/>
      <c r="AMF15" s="87"/>
      <c r="AMG15" s="87"/>
      <c r="AMH15" s="87"/>
      <c r="AMI15" s="87"/>
      <c r="AMJ15" s="87"/>
      <c r="AMK15" s="87"/>
      <c r="AML15" s="87"/>
      <c r="AMM15" s="87"/>
      <c r="AMN15" s="87"/>
      <c r="AMO15" s="87"/>
      <c r="AMP15" s="87"/>
      <c r="AMQ15" s="87"/>
      <c r="AMR15" s="87"/>
      <c r="AMS15" s="87"/>
      <c r="AMT15" s="87"/>
      <c r="AMU15" s="87"/>
      <c r="AMV15" s="87"/>
      <c r="AMW15" s="87"/>
      <c r="AMX15" s="87"/>
      <c r="AMY15" s="87"/>
      <c r="AMZ15" s="87"/>
      <c r="ANA15" s="87"/>
      <c r="ANB15" s="87"/>
      <c r="ANC15" s="87"/>
      <c r="AND15" s="87"/>
      <c r="ANE15" s="87"/>
      <c r="ANF15" s="87"/>
      <c r="ANG15" s="87"/>
      <c r="ANH15" s="87"/>
      <c r="ANI15" s="87"/>
      <c r="ANJ15" s="87"/>
      <c r="ANK15" s="87"/>
      <c r="ANL15" s="87"/>
      <c r="ANM15" s="87"/>
      <c r="ANN15" s="87"/>
      <c r="ANO15" s="87"/>
      <c r="ANP15" s="87"/>
      <c r="ANQ15" s="87"/>
      <c r="ANR15" s="87"/>
      <c r="ANS15" s="87"/>
      <c r="ANT15" s="87"/>
      <c r="ANU15" s="87"/>
      <c r="ANV15" s="87"/>
      <c r="ANW15" s="87"/>
      <c r="ANX15" s="87"/>
      <c r="ANY15" s="87"/>
      <c r="ANZ15" s="87"/>
      <c r="AOA15" s="87"/>
      <c r="AOB15" s="87"/>
      <c r="AOC15" s="87"/>
      <c r="AOD15" s="87"/>
      <c r="AOE15" s="87"/>
      <c r="AOF15" s="87"/>
      <c r="AOG15" s="87"/>
      <c r="AOH15" s="87"/>
      <c r="AOI15" s="87"/>
      <c r="AOJ15" s="87"/>
      <c r="AOK15" s="87"/>
      <c r="AOL15" s="87"/>
      <c r="AOM15" s="87"/>
      <c r="AON15" s="87"/>
      <c r="AOO15" s="87"/>
      <c r="AOP15" s="87"/>
      <c r="AOQ15" s="87"/>
      <c r="AOR15" s="87"/>
      <c r="AOS15" s="87"/>
      <c r="AOT15" s="87"/>
      <c r="AOU15" s="87"/>
      <c r="AOV15" s="87"/>
      <c r="AOW15" s="87"/>
      <c r="AOX15" s="87"/>
      <c r="AOY15" s="87"/>
      <c r="AOZ15" s="87"/>
      <c r="APA15" s="87"/>
      <c r="APB15" s="87"/>
      <c r="APC15" s="87"/>
      <c r="APD15" s="87"/>
      <c r="APE15" s="87"/>
      <c r="APF15" s="87"/>
      <c r="APG15" s="87"/>
      <c r="APH15" s="87"/>
      <c r="API15" s="87"/>
      <c r="APJ15" s="87"/>
      <c r="APK15" s="87"/>
      <c r="APL15" s="87"/>
      <c r="APM15" s="87"/>
      <c r="APN15" s="87"/>
      <c r="APO15" s="87"/>
      <c r="APP15" s="87"/>
      <c r="APQ15" s="87"/>
      <c r="APR15" s="87"/>
      <c r="APS15" s="87"/>
      <c r="APT15" s="87"/>
      <c r="APU15" s="87"/>
      <c r="APV15" s="87"/>
      <c r="APW15" s="87"/>
      <c r="APX15" s="87"/>
      <c r="APY15" s="87"/>
      <c r="APZ15" s="87"/>
      <c r="AQA15" s="87"/>
      <c r="AQB15" s="87"/>
      <c r="AQC15" s="87"/>
      <c r="AQD15" s="87"/>
      <c r="AQE15" s="87"/>
      <c r="AQF15" s="87"/>
      <c r="AQG15" s="87"/>
      <c r="AQH15" s="87"/>
      <c r="AQI15" s="87"/>
      <c r="AQJ15" s="87"/>
      <c r="AQK15" s="87"/>
      <c r="AQL15" s="87"/>
      <c r="AQM15" s="87"/>
      <c r="AQN15" s="87"/>
      <c r="AQO15" s="87"/>
      <c r="AQP15" s="87"/>
      <c r="AQQ15" s="87"/>
      <c r="AQR15" s="87"/>
      <c r="AQS15" s="87"/>
      <c r="AQT15" s="87"/>
      <c r="AQU15" s="87"/>
      <c r="AQV15" s="87"/>
      <c r="AQW15" s="87"/>
      <c r="AQX15" s="87"/>
      <c r="AQY15" s="87"/>
      <c r="AQZ15" s="87"/>
      <c r="ARA15" s="87"/>
      <c r="ARB15" s="87"/>
      <c r="ARC15" s="87"/>
      <c r="ARD15" s="87"/>
      <c r="ARE15" s="87"/>
      <c r="ARF15" s="87"/>
      <c r="ARG15" s="87"/>
      <c r="ARH15" s="87"/>
      <c r="ARI15" s="87"/>
      <c r="ARJ15" s="87"/>
      <c r="ARK15" s="87"/>
      <c r="ARL15" s="87"/>
      <c r="ARM15" s="87"/>
      <c r="ARN15" s="87"/>
      <c r="ARO15" s="87"/>
      <c r="ARP15" s="87"/>
      <c r="ARQ15" s="87"/>
      <c r="ARR15" s="87"/>
      <c r="ARS15" s="87"/>
      <c r="ART15" s="87"/>
      <c r="ARU15" s="87"/>
      <c r="ARV15" s="87"/>
      <c r="ARW15" s="87"/>
      <c r="ARX15" s="87"/>
      <c r="ARY15" s="87"/>
      <c r="ARZ15" s="87"/>
      <c r="ASA15" s="87"/>
      <c r="ASB15" s="87"/>
      <c r="ASC15" s="87"/>
      <c r="ASD15" s="87"/>
      <c r="ASE15" s="87"/>
      <c r="ASF15" s="87"/>
      <c r="ASG15" s="87"/>
      <c r="ASH15" s="87"/>
      <c r="ASI15" s="87"/>
      <c r="ASJ15" s="87"/>
      <c r="ASK15" s="87"/>
      <c r="ASL15" s="87"/>
      <c r="ASM15" s="87"/>
      <c r="ASN15" s="87"/>
      <c r="ASO15" s="87"/>
      <c r="ASP15" s="87"/>
      <c r="ASQ15" s="87"/>
      <c r="ASR15" s="87"/>
      <c r="ASS15" s="87"/>
      <c r="AST15" s="87"/>
      <c r="ASU15" s="87"/>
      <c r="ASV15" s="87"/>
      <c r="ASW15" s="87"/>
      <c r="ASX15" s="87"/>
      <c r="ASY15" s="87"/>
      <c r="ASZ15" s="87"/>
      <c r="ATA15" s="87"/>
      <c r="ATB15" s="87"/>
      <c r="ATC15" s="87"/>
      <c r="ATD15" s="87"/>
      <c r="ATE15" s="87"/>
      <c r="ATF15" s="87"/>
      <c r="ATG15" s="87"/>
      <c r="ATH15" s="87"/>
      <c r="ATI15" s="87"/>
      <c r="ATJ15" s="87"/>
      <c r="ATK15" s="87"/>
      <c r="ATL15" s="87"/>
      <c r="ATM15" s="87"/>
      <c r="ATN15" s="87"/>
      <c r="ATO15" s="87"/>
      <c r="ATP15" s="87"/>
      <c r="ATQ15" s="87"/>
      <c r="ATR15" s="87"/>
      <c r="ATS15" s="87"/>
      <c r="ATT15" s="87"/>
      <c r="ATU15" s="87"/>
      <c r="ATV15" s="87"/>
      <c r="ATW15" s="87"/>
      <c r="ATX15" s="87"/>
      <c r="ATY15" s="87"/>
      <c r="ATZ15" s="87"/>
      <c r="AUA15" s="87"/>
      <c r="AUB15" s="87"/>
      <c r="AUC15" s="87"/>
      <c r="AUD15" s="87"/>
      <c r="AUE15" s="87"/>
      <c r="AUF15" s="87"/>
      <c r="AUG15" s="87"/>
      <c r="AUH15" s="87"/>
      <c r="AUI15" s="87"/>
      <c r="AUJ15" s="87"/>
      <c r="AUK15" s="87"/>
      <c r="AUL15" s="87"/>
      <c r="AUM15" s="87"/>
      <c r="AUN15" s="87"/>
      <c r="AUO15" s="87"/>
      <c r="AUP15" s="87"/>
      <c r="AUQ15" s="87"/>
      <c r="AUR15" s="87"/>
      <c r="AUS15" s="87"/>
      <c r="AUT15" s="87"/>
      <c r="AUU15" s="87"/>
      <c r="AUV15" s="87"/>
      <c r="AUW15" s="87"/>
      <c r="AUX15" s="87"/>
      <c r="AUY15" s="87"/>
      <c r="AUZ15" s="87"/>
      <c r="AVA15" s="87"/>
      <c r="AVB15" s="87"/>
      <c r="AVC15" s="87"/>
      <c r="AVD15" s="87"/>
      <c r="AVE15" s="87"/>
      <c r="AVF15" s="87"/>
      <c r="AVG15" s="87"/>
      <c r="AVH15" s="87"/>
      <c r="AVI15" s="87"/>
      <c r="AVJ15" s="87"/>
      <c r="AVK15" s="87"/>
      <c r="AVL15" s="87"/>
      <c r="AVM15" s="87"/>
      <c r="AVN15" s="87"/>
      <c r="AVO15" s="87"/>
      <c r="AVP15" s="87"/>
      <c r="AVQ15" s="87"/>
      <c r="AVR15" s="87"/>
      <c r="AVS15" s="87"/>
      <c r="AVT15" s="87"/>
      <c r="AVU15" s="87"/>
      <c r="AVV15" s="87"/>
      <c r="AVW15" s="87"/>
      <c r="AVX15" s="87"/>
      <c r="AVY15" s="87"/>
      <c r="AVZ15" s="87"/>
      <c r="AWA15" s="87"/>
      <c r="AWB15" s="87"/>
      <c r="AWC15" s="87"/>
      <c r="AWD15" s="87"/>
      <c r="AWE15" s="87"/>
      <c r="AWF15" s="87"/>
      <c r="AWG15" s="87"/>
      <c r="AWH15" s="87"/>
      <c r="AWI15" s="87"/>
      <c r="AWJ15" s="87"/>
      <c r="AWK15" s="87"/>
      <c r="AWL15" s="87"/>
      <c r="AWM15" s="87"/>
      <c r="AWN15" s="87"/>
      <c r="AWO15" s="87"/>
      <c r="AWP15" s="87"/>
      <c r="AWQ15" s="87"/>
      <c r="AWR15" s="87"/>
      <c r="AWS15" s="87"/>
      <c r="AWT15" s="87"/>
      <c r="AWU15" s="87"/>
      <c r="AWV15" s="87"/>
      <c r="AWW15" s="87"/>
      <c r="AWX15" s="87"/>
      <c r="AWY15" s="87"/>
      <c r="AWZ15" s="87"/>
      <c r="AXA15" s="87"/>
      <c r="AXB15" s="87"/>
      <c r="AXC15" s="87"/>
      <c r="AXD15" s="87"/>
      <c r="AXE15" s="87"/>
      <c r="AXF15" s="87"/>
      <c r="AXG15" s="87"/>
      <c r="AXH15" s="87"/>
      <c r="AXI15" s="87"/>
      <c r="AXJ15" s="87"/>
      <c r="AXK15" s="87"/>
      <c r="AXL15" s="87"/>
      <c r="AXM15" s="87"/>
      <c r="AXN15" s="87"/>
      <c r="AXO15" s="87"/>
      <c r="AXP15" s="87"/>
      <c r="AXQ15" s="87"/>
      <c r="AXR15" s="87"/>
      <c r="AXS15" s="87"/>
      <c r="AXT15" s="87"/>
      <c r="AXU15" s="87"/>
      <c r="AXV15" s="87"/>
      <c r="AXW15" s="87"/>
      <c r="AXX15" s="87"/>
      <c r="AXY15" s="87"/>
      <c r="AXZ15" s="87"/>
      <c r="AYA15" s="87"/>
      <c r="AYB15" s="87"/>
      <c r="AYC15" s="87"/>
      <c r="AYD15" s="87"/>
      <c r="AYE15" s="87"/>
      <c r="AYF15" s="87"/>
      <c r="AYG15" s="87"/>
      <c r="AYH15" s="87"/>
      <c r="AYI15" s="87"/>
      <c r="AYJ15" s="87"/>
      <c r="AYK15" s="87"/>
      <c r="AYL15" s="87"/>
      <c r="AYM15" s="87"/>
      <c r="AYN15" s="87"/>
      <c r="AYO15" s="87"/>
      <c r="AYP15" s="87"/>
      <c r="AYQ15" s="87"/>
      <c r="AYR15" s="87"/>
      <c r="AYS15" s="87"/>
      <c r="AYT15" s="87"/>
      <c r="AYU15" s="87"/>
      <c r="AYV15" s="87"/>
      <c r="AYW15" s="87"/>
      <c r="AYX15" s="87"/>
      <c r="AYY15" s="87"/>
      <c r="AYZ15" s="87"/>
      <c r="AZA15" s="87"/>
      <c r="AZB15" s="87"/>
      <c r="AZC15" s="87"/>
      <c r="AZD15" s="87"/>
      <c r="AZE15" s="87"/>
      <c r="AZF15" s="87"/>
      <c r="AZG15" s="87"/>
      <c r="AZH15" s="87"/>
      <c r="AZI15" s="87"/>
      <c r="AZJ15" s="87"/>
      <c r="AZK15" s="87"/>
      <c r="AZL15" s="87"/>
      <c r="AZM15" s="87"/>
      <c r="AZN15" s="87"/>
      <c r="AZO15" s="87"/>
      <c r="AZP15" s="87"/>
      <c r="AZQ15" s="87"/>
      <c r="AZR15" s="87"/>
      <c r="AZS15" s="87"/>
      <c r="AZT15" s="87"/>
      <c r="AZU15" s="87"/>
      <c r="AZV15" s="87"/>
      <c r="AZW15" s="87"/>
      <c r="AZX15" s="87"/>
      <c r="AZY15" s="87"/>
      <c r="AZZ15" s="87"/>
      <c r="BAA15" s="87"/>
      <c r="BAB15" s="87"/>
      <c r="BAC15" s="87"/>
      <c r="BAD15" s="87"/>
      <c r="BAE15" s="87"/>
      <c r="BAF15" s="87"/>
      <c r="BAG15" s="87"/>
      <c r="BAH15" s="87"/>
      <c r="BAI15" s="87"/>
      <c r="BAJ15" s="87"/>
      <c r="BAK15" s="87"/>
      <c r="BAL15" s="87"/>
      <c r="BAM15" s="87"/>
      <c r="BAN15" s="87"/>
      <c r="BAO15" s="87"/>
      <c r="BAP15" s="87"/>
      <c r="BAQ15" s="87"/>
      <c r="BAR15" s="87"/>
      <c r="BAS15" s="87"/>
      <c r="BAT15" s="87"/>
      <c r="BAU15" s="87"/>
      <c r="BAV15" s="87"/>
      <c r="BAW15" s="87"/>
      <c r="BAX15" s="87"/>
      <c r="BAY15" s="87"/>
      <c r="BAZ15" s="87"/>
      <c r="BBA15" s="87"/>
      <c r="BBB15" s="87"/>
      <c r="BBC15" s="87"/>
      <c r="BBD15" s="87"/>
      <c r="BBE15" s="87"/>
      <c r="BBF15" s="87"/>
      <c r="BBG15" s="87"/>
      <c r="BBH15" s="87"/>
      <c r="BBI15" s="87"/>
      <c r="BBJ15" s="87"/>
      <c r="BBK15" s="87"/>
      <c r="BBL15" s="87"/>
      <c r="BBM15" s="87"/>
      <c r="BBN15" s="87"/>
      <c r="BBO15" s="87"/>
      <c r="BBP15" s="87"/>
      <c r="BBQ15" s="87"/>
      <c r="BBR15" s="87"/>
      <c r="BBS15" s="87"/>
      <c r="BBT15" s="87"/>
      <c r="BBU15" s="87"/>
      <c r="BBV15" s="87"/>
      <c r="BBW15" s="87"/>
      <c r="BBX15" s="87"/>
      <c r="BBY15" s="87"/>
      <c r="BBZ15" s="87"/>
      <c r="BCA15" s="87"/>
      <c r="BCB15" s="87"/>
      <c r="BCC15" s="87"/>
      <c r="BCD15" s="87"/>
      <c r="BCE15" s="87"/>
      <c r="BCF15" s="87"/>
      <c r="BCG15" s="87"/>
      <c r="BCH15" s="87"/>
      <c r="BCI15" s="87"/>
      <c r="BCJ15" s="87"/>
      <c r="BCK15" s="87"/>
      <c r="BCL15" s="87"/>
      <c r="BCM15" s="87"/>
      <c r="BCN15" s="87"/>
      <c r="BCO15" s="87"/>
      <c r="BCP15" s="87"/>
      <c r="BCQ15" s="87"/>
      <c r="BCR15" s="87"/>
      <c r="BCS15" s="87"/>
      <c r="BCT15" s="87"/>
      <c r="BCU15" s="87"/>
      <c r="BCV15" s="87"/>
      <c r="BCW15" s="87"/>
      <c r="BCX15" s="87"/>
      <c r="BCY15" s="87"/>
      <c r="BCZ15" s="87"/>
      <c r="BDA15" s="87"/>
      <c r="BDB15" s="87"/>
      <c r="BDC15" s="87"/>
      <c r="BDD15" s="87"/>
      <c r="BDE15" s="87"/>
      <c r="BDF15" s="87"/>
      <c r="BDG15" s="87"/>
      <c r="BDH15" s="87"/>
      <c r="BDI15" s="87"/>
      <c r="BDJ15" s="87"/>
      <c r="BDK15" s="87"/>
      <c r="BDL15" s="87"/>
      <c r="BDM15" s="87"/>
      <c r="BDN15" s="87"/>
      <c r="BDO15" s="87"/>
      <c r="BDP15" s="87"/>
      <c r="BDQ15" s="87"/>
      <c r="BDR15" s="87"/>
      <c r="BDS15" s="87"/>
      <c r="BDT15" s="87"/>
      <c r="BDU15" s="87"/>
      <c r="BDV15" s="87"/>
      <c r="BDW15" s="87"/>
      <c r="BDX15" s="87"/>
      <c r="BDY15" s="87"/>
      <c r="BDZ15" s="87"/>
      <c r="BEA15" s="87"/>
      <c r="BEB15" s="87"/>
      <c r="BEC15" s="87"/>
      <c r="BED15" s="87"/>
      <c r="BEE15" s="87"/>
      <c r="BEF15" s="87"/>
      <c r="BEG15" s="87"/>
      <c r="BEH15" s="87"/>
      <c r="BEI15" s="87"/>
      <c r="BEJ15" s="87"/>
      <c r="BEK15" s="87"/>
      <c r="BEL15" s="87"/>
      <c r="BEM15" s="87"/>
    </row>
    <row r="18" spans="1:1493" customFormat="1" x14ac:dyDescent="0.25"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  <c r="CZ18" s="87"/>
      <c r="DA18" s="87"/>
      <c r="DB18" s="87"/>
      <c r="DC18" s="87"/>
      <c r="DD18" s="87"/>
      <c r="DE18" s="87"/>
      <c r="DF18" s="87"/>
      <c r="DG18" s="87"/>
      <c r="DH18" s="87"/>
      <c r="DI18" s="87"/>
      <c r="DJ18" s="87"/>
      <c r="DK18" s="87"/>
      <c r="DL18" s="87"/>
      <c r="DM18" s="87"/>
      <c r="DN18" s="87"/>
      <c r="DO18" s="87"/>
      <c r="DP18" s="87"/>
      <c r="DQ18" s="87"/>
      <c r="DR18" s="87"/>
      <c r="DS18" s="87"/>
      <c r="DT18" s="87"/>
      <c r="DU18" s="87"/>
      <c r="DV18" s="87"/>
      <c r="DW18" s="87"/>
      <c r="DX18" s="87"/>
      <c r="DY18" s="87"/>
      <c r="DZ18" s="87"/>
      <c r="EA18" s="87"/>
      <c r="EB18" s="87"/>
      <c r="EC18" s="87"/>
      <c r="ED18" s="87"/>
      <c r="EE18" s="87"/>
      <c r="EF18" s="87"/>
      <c r="EG18" s="87"/>
      <c r="EH18" s="87"/>
      <c r="EI18" s="87"/>
      <c r="EJ18" s="87"/>
      <c r="EK18" s="87"/>
      <c r="EL18" s="87"/>
      <c r="EM18" s="87"/>
      <c r="EN18" s="87"/>
      <c r="EO18" s="87"/>
      <c r="EP18" s="87"/>
      <c r="EQ18" s="87"/>
      <c r="ER18" s="87"/>
      <c r="ES18" s="87"/>
      <c r="ET18" s="87"/>
      <c r="EU18" s="87"/>
      <c r="EV18" s="87"/>
      <c r="EW18" s="87"/>
      <c r="EX18" s="87"/>
      <c r="EY18" s="87"/>
      <c r="EZ18" s="87"/>
      <c r="FA18" s="87"/>
      <c r="FB18" s="87"/>
      <c r="FC18" s="87"/>
      <c r="FD18" s="87"/>
      <c r="FE18" s="87"/>
      <c r="FF18" s="87"/>
      <c r="FG18" s="87"/>
      <c r="FH18" s="87"/>
      <c r="FI18" s="87"/>
      <c r="FJ18" s="87"/>
      <c r="FK18" s="87"/>
      <c r="FL18" s="87"/>
      <c r="FM18" s="87"/>
      <c r="FN18" s="87"/>
      <c r="FO18" s="87"/>
      <c r="FP18" s="87"/>
      <c r="FQ18" s="87"/>
      <c r="FR18" s="87"/>
      <c r="FS18" s="87"/>
      <c r="FT18" s="87"/>
      <c r="FU18" s="87"/>
      <c r="FV18" s="87"/>
      <c r="FW18" s="87"/>
      <c r="FX18" s="87"/>
      <c r="FY18" s="87"/>
      <c r="FZ18" s="87"/>
      <c r="GA18" s="87"/>
      <c r="GB18" s="87"/>
      <c r="GC18" s="87"/>
      <c r="GD18" s="87"/>
      <c r="GE18" s="87"/>
      <c r="GF18" s="87"/>
      <c r="GG18" s="87"/>
      <c r="GH18" s="87"/>
      <c r="GI18" s="87"/>
      <c r="GJ18" s="87"/>
      <c r="GK18" s="87"/>
      <c r="GL18" s="87"/>
      <c r="GM18" s="87"/>
      <c r="GN18" s="87"/>
      <c r="GO18" s="87"/>
      <c r="GP18" s="87"/>
      <c r="GQ18" s="87"/>
      <c r="GR18" s="87"/>
      <c r="GS18" s="87"/>
      <c r="GT18" s="87"/>
      <c r="GU18" s="87"/>
      <c r="GV18" s="87"/>
      <c r="GW18" s="87"/>
      <c r="GX18" s="87"/>
      <c r="GY18" s="87"/>
      <c r="GZ18" s="87"/>
      <c r="HA18" s="87"/>
      <c r="HB18" s="87"/>
      <c r="HC18" s="87"/>
      <c r="HD18" s="87"/>
      <c r="HE18" s="87"/>
      <c r="HF18" s="87"/>
      <c r="HG18" s="87"/>
      <c r="HH18" s="87"/>
      <c r="HI18" s="87"/>
      <c r="HJ18" s="87"/>
      <c r="HK18" s="87"/>
      <c r="HL18" s="87"/>
      <c r="HM18" s="87"/>
      <c r="HN18" s="87"/>
      <c r="HO18" s="87"/>
      <c r="HP18" s="87"/>
      <c r="HQ18" s="87"/>
      <c r="HR18" s="87"/>
      <c r="HS18" s="87"/>
      <c r="HT18" s="87"/>
      <c r="HU18" s="87"/>
      <c r="HV18" s="87"/>
      <c r="HW18" s="87"/>
      <c r="HX18" s="87"/>
      <c r="HY18" s="87"/>
      <c r="HZ18" s="87"/>
      <c r="IA18" s="87"/>
      <c r="IB18" s="87"/>
      <c r="IC18" s="87"/>
      <c r="ID18" s="87"/>
      <c r="IE18" s="87"/>
      <c r="IF18" s="87"/>
      <c r="IG18" s="87"/>
      <c r="IH18" s="87"/>
      <c r="II18" s="87"/>
      <c r="IJ18" s="87"/>
      <c r="IK18" s="87"/>
      <c r="IL18" s="87"/>
      <c r="IM18" s="87"/>
      <c r="IN18" s="87"/>
      <c r="IO18" s="87"/>
      <c r="IP18" s="87"/>
      <c r="IQ18" s="87"/>
      <c r="IR18" s="87"/>
      <c r="IS18" s="87"/>
      <c r="IT18" s="87"/>
      <c r="IU18" s="87"/>
      <c r="IV18" s="87"/>
      <c r="IW18" s="87"/>
      <c r="IX18" s="87"/>
      <c r="IY18" s="87"/>
      <c r="IZ18" s="87"/>
      <c r="JA18" s="87"/>
      <c r="JB18" s="87"/>
      <c r="JC18" s="87"/>
      <c r="JD18" s="87"/>
      <c r="JE18" s="87"/>
      <c r="JF18" s="87"/>
      <c r="JG18" s="87"/>
      <c r="JH18" s="87"/>
      <c r="JI18" s="87"/>
      <c r="JJ18" s="87"/>
      <c r="JK18" s="87"/>
      <c r="JL18" s="87"/>
      <c r="JM18" s="87"/>
      <c r="JN18" s="87"/>
      <c r="JO18" s="87"/>
      <c r="JP18" s="87"/>
      <c r="JQ18" s="87"/>
      <c r="JR18" s="87"/>
      <c r="JS18" s="87"/>
      <c r="JT18" s="87"/>
      <c r="JU18" s="87"/>
      <c r="JV18" s="87"/>
      <c r="JW18" s="87"/>
      <c r="JX18" s="87"/>
      <c r="JY18" s="87"/>
      <c r="JZ18" s="87"/>
      <c r="KA18" s="87"/>
      <c r="KB18" s="87"/>
      <c r="KC18" s="87"/>
      <c r="KD18" s="87"/>
      <c r="KE18" s="87"/>
      <c r="KF18" s="87"/>
      <c r="KG18" s="87"/>
      <c r="KH18" s="87"/>
      <c r="KI18" s="87"/>
      <c r="KJ18" s="87"/>
      <c r="KK18" s="87"/>
      <c r="KL18" s="87"/>
      <c r="KM18" s="87"/>
      <c r="KN18" s="87"/>
      <c r="KO18" s="87"/>
      <c r="KP18" s="87"/>
      <c r="KQ18" s="87"/>
      <c r="KR18" s="87"/>
      <c r="KS18" s="87"/>
      <c r="KT18" s="87"/>
      <c r="KU18" s="87"/>
      <c r="KV18" s="87"/>
      <c r="KW18" s="87"/>
      <c r="KX18" s="87"/>
      <c r="KY18" s="87"/>
      <c r="KZ18" s="87"/>
      <c r="LA18" s="87"/>
      <c r="LB18" s="87"/>
      <c r="LC18" s="87"/>
      <c r="LD18" s="87"/>
      <c r="LE18" s="87"/>
      <c r="LF18" s="87"/>
      <c r="LG18" s="87"/>
      <c r="LH18" s="87"/>
      <c r="LI18" s="87"/>
      <c r="LJ18" s="87"/>
      <c r="LK18" s="87"/>
      <c r="LL18" s="87"/>
      <c r="LM18" s="87"/>
      <c r="LN18" s="87"/>
      <c r="LO18" s="87"/>
      <c r="LP18" s="87"/>
      <c r="LQ18" s="87"/>
      <c r="LR18" s="87"/>
      <c r="LS18" s="87"/>
      <c r="LT18" s="87"/>
      <c r="LU18" s="87"/>
      <c r="LV18" s="87"/>
      <c r="LW18" s="87"/>
      <c r="LX18" s="87"/>
      <c r="LY18" s="87"/>
      <c r="LZ18" s="87"/>
      <c r="MA18" s="87"/>
      <c r="MB18" s="87"/>
      <c r="MC18" s="87"/>
      <c r="MD18" s="87"/>
      <c r="ME18" s="87"/>
      <c r="MF18" s="87"/>
      <c r="MG18" s="87"/>
      <c r="MH18" s="87"/>
      <c r="MI18" s="87"/>
      <c r="MJ18" s="87"/>
      <c r="MK18" s="87"/>
      <c r="ML18" s="87"/>
      <c r="MM18" s="87"/>
      <c r="MN18" s="87"/>
      <c r="MO18" s="87"/>
      <c r="MP18" s="87"/>
      <c r="MQ18" s="87"/>
      <c r="MR18" s="87"/>
      <c r="MS18" s="87"/>
      <c r="MT18" s="87"/>
      <c r="MU18" s="87"/>
      <c r="MV18" s="87"/>
      <c r="MW18" s="87"/>
      <c r="MX18" s="87"/>
      <c r="MY18" s="87"/>
      <c r="MZ18" s="87"/>
      <c r="NA18" s="87"/>
      <c r="NB18" s="87"/>
      <c r="NC18" s="87"/>
      <c r="ND18" s="87"/>
      <c r="NE18" s="87"/>
      <c r="NF18" s="87"/>
      <c r="NG18" s="87"/>
      <c r="NH18" s="87"/>
      <c r="NI18" s="87"/>
      <c r="NJ18" s="87"/>
      <c r="NK18" s="87"/>
      <c r="NL18" s="87"/>
      <c r="NM18" s="87"/>
      <c r="NN18" s="87"/>
      <c r="NO18" s="87"/>
      <c r="NP18" s="87"/>
      <c r="NQ18" s="87"/>
      <c r="NR18" s="87"/>
      <c r="NS18" s="87"/>
      <c r="NT18" s="87"/>
      <c r="NU18" s="87"/>
      <c r="NV18" s="87"/>
      <c r="NW18" s="87"/>
      <c r="NX18" s="87"/>
      <c r="NY18" s="87"/>
      <c r="NZ18" s="87"/>
      <c r="OA18" s="87"/>
      <c r="OB18" s="87"/>
      <c r="OC18" s="87"/>
      <c r="OD18" s="87"/>
      <c r="OE18" s="87"/>
      <c r="OF18" s="87"/>
      <c r="OG18" s="87"/>
      <c r="OH18" s="87"/>
      <c r="OI18" s="87"/>
      <c r="OJ18" s="87"/>
      <c r="OK18" s="87"/>
      <c r="OL18" s="87"/>
      <c r="OM18" s="87"/>
      <c r="ON18" s="87"/>
      <c r="OO18" s="87"/>
      <c r="OP18" s="87"/>
      <c r="OQ18" s="87"/>
      <c r="OR18" s="87"/>
      <c r="OS18" s="87"/>
      <c r="OT18" s="87"/>
      <c r="OU18" s="87"/>
      <c r="OV18" s="87"/>
      <c r="OW18" s="87"/>
      <c r="OX18" s="87"/>
      <c r="OY18" s="87"/>
      <c r="OZ18" s="87"/>
      <c r="PA18" s="87"/>
      <c r="PB18" s="87"/>
      <c r="PC18" s="87"/>
      <c r="PD18" s="87"/>
      <c r="PE18" s="87"/>
      <c r="PF18" s="87"/>
      <c r="PG18" s="87"/>
      <c r="PH18" s="87"/>
      <c r="PI18" s="87"/>
      <c r="PJ18" s="87"/>
      <c r="PK18" s="87"/>
      <c r="PL18" s="87"/>
      <c r="PM18" s="87"/>
      <c r="PN18" s="87"/>
      <c r="PO18" s="87"/>
      <c r="PP18" s="87"/>
      <c r="PQ18" s="87"/>
      <c r="PR18" s="87"/>
      <c r="PS18" s="87"/>
      <c r="PT18" s="87"/>
      <c r="PU18" s="87"/>
      <c r="PV18" s="87"/>
      <c r="PW18" s="87"/>
      <c r="PX18" s="87"/>
      <c r="PY18" s="87"/>
      <c r="PZ18" s="87"/>
      <c r="QA18" s="87"/>
      <c r="QB18" s="87"/>
      <c r="QC18" s="87"/>
      <c r="QD18" s="87"/>
      <c r="QE18" s="87"/>
      <c r="QF18" s="87"/>
      <c r="QG18" s="87"/>
      <c r="QH18" s="87"/>
      <c r="QI18" s="87"/>
      <c r="QJ18" s="87"/>
      <c r="QK18" s="87"/>
      <c r="QL18" s="87"/>
      <c r="QM18" s="87"/>
      <c r="QN18" s="87"/>
      <c r="QO18" s="87"/>
      <c r="QP18" s="87"/>
      <c r="QQ18" s="87"/>
      <c r="QR18" s="87"/>
      <c r="QS18" s="87"/>
      <c r="QT18" s="87"/>
      <c r="QU18" s="87"/>
      <c r="QV18" s="87"/>
      <c r="QW18" s="87"/>
      <c r="QX18" s="87"/>
      <c r="QY18" s="87"/>
      <c r="QZ18" s="87"/>
      <c r="RA18" s="87"/>
      <c r="RB18" s="87"/>
      <c r="RC18" s="87"/>
      <c r="RD18" s="87"/>
      <c r="RE18" s="87"/>
      <c r="RF18" s="87"/>
      <c r="RG18" s="87"/>
      <c r="RH18" s="87"/>
      <c r="RI18" s="87"/>
      <c r="RJ18" s="87"/>
      <c r="RK18" s="87"/>
      <c r="RL18" s="87"/>
      <c r="RM18" s="87"/>
      <c r="RN18" s="87"/>
      <c r="RO18" s="87"/>
      <c r="RP18" s="87"/>
      <c r="RQ18" s="87"/>
      <c r="RR18" s="87"/>
      <c r="RS18" s="87"/>
      <c r="RT18" s="87"/>
      <c r="RU18" s="87"/>
      <c r="RV18" s="87"/>
      <c r="RW18" s="87"/>
      <c r="RX18" s="87"/>
      <c r="RY18" s="87"/>
      <c r="RZ18" s="87"/>
      <c r="SA18" s="87"/>
      <c r="SB18" s="87"/>
      <c r="SC18" s="87"/>
      <c r="SD18" s="87"/>
      <c r="SE18" s="87"/>
      <c r="SF18" s="87"/>
      <c r="SG18" s="87"/>
      <c r="SH18" s="87"/>
      <c r="SI18" s="87"/>
      <c r="SJ18" s="87"/>
      <c r="SK18" s="87"/>
      <c r="SL18" s="87"/>
      <c r="SM18" s="87"/>
      <c r="SN18" s="87"/>
      <c r="SO18" s="87"/>
      <c r="SP18" s="87"/>
      <c r="SQ18" s="87"/>
      <c r="SR18" s="87"/>
      <c r="SS18" s="87"/>
      <c r="ST18" s="87"/>
      <c r="SU18" s="87"/>
      <c r="SV18" s="87"/>
      <c r="SW18" s="87"/>
      <c r="SX18" s="87"/>
      <c r="SY18" s="87"/>
      <c r="SZ18" s="87"/>
      <c r="TA18" s="87"/>
      <c r="TB18" s="87"/>
      <c r="TC18" s="87"/>
      <c r="TD18" s="87"/>
      <c r="TE18" s="87"/>
      <c r="TF18" s="87"/>
      <c r="TG18" s="87"/>
      <c r="TH18" s="87"/>
      <c r="TI18" s="87"/>
      <c r="TJ18" s="87"/>
      <c r="TK18" s="87"/>
      <c r="TL18" s="87"/>
      <c r="TM18" s="87"/>
      <c r="TN18" s="87"/>
      <c r="TO18" s="87"/>
      <c r="TP18" s="87"/>
      <c r="TQ18" s="87"/>
      <c r="TR18" s="87"/>
      <c r="TS18" s="87"/>
      <c r="TT18" s="87"/>
      <c r="TU18" s="87"/>
      <c r="TV18" s="87"/>
      <c r="TW18" s="87"/>
      <c r="TX18" s="87"/>
      <c r="TY18" s="87"/>
      <c r="TZ18" s="87"/>
      <c r="UA18" s="87"/>
      <c r="UB18" s="87"/>
      <c r="UC18" s="87"/>
      <c r="UD18" s="87"/>
      <c r="UE18" s="87"/>
      <c r="UF18" s="87"/>
      <c r="UG18" s="87"/>
      <c r="UH18" s="87"/>
      <c r="UI18" s="87"/>
      <c r="UJ18" s="87"/>
      <c r="UK18" s="87"/>
      <c r="UL18" s="87"/>
      <c r="UM18" s="87"/>
      <c r="UN18" s="87"/>
      <c r="UO18" s="87"/>
      <c r="UP18" s="87"/>
      <c r="UQ18" s="87"/>
      <c r="UR18" s="87"/>
      <c r="US18" s="87"/>
      <c r="UT18" s="87"/>
      <c r="UU18" s="87"/>
      <c r="UV18" s="87"/>
      <c r="UW18" s="87"/>
      <c r="UX18" s="87"/>
      <c r="UY18" s="87"/>
      <c r="UZ18" s="87"/>
      <c r="VA18" s="87"/>
      <c r="VB18" s="87"/>
      <c r="VC18" s="87"/>
      <c r="VD18" s="87"/>
      <c r="VE18" s="87"/>
      <c r="VF18" s="87"/>
      <c r="VG18" s="87"/>
      <c r="VH18" s="87"/>
      <c r="VI18" s="87"/>
      <c r="VJ18" s="87"/>
      <c r="VK18" s="87"/>
      <c r="VL18" s="87"/>
      <c r="VM18" s="87"/>
      <c r="VN18" s="87"/>
      <c r="VO18" s="87"/>
      <c r="VP18" s="87"/>
      <c r="VQ18" s="87"/>
      <c r="VR18" s="87"/>
      <c r="VS18" s="87"/>
      <c r="VT18" s="87"/>
      <c r="VU18" s="87"/>
      <c r="VV18" s="87"/>
      <c r="VW18" s="87"/>
      <c r="VX18" s="87"/>
      <c r="VY18" s="87"/>
      <c r="VZ18" s="87"/>
      <c r="WA18" s="87"/>
      <c r="WB18" s="87"/>
      <c r="WC18" s="87"/>
      <c r="WD18" s="87"/>
      <c r="WE18" s="87"/>
      <c r="WF18" s="87"/>
      <c r="WG18" s="87"/>
      <c r="WH18" s="87"/>
      <c r="WI18" s="87"/>
      <c r="WJ18" s="87"/>
      <c r="WK18" s="87"/>
      <c r="WL18" s="87"/>
      <c r="WM18" s="87"/>
      <c r="WN18" s="87"/>
      <c r="WO18" s="87"/>
      <c r="WP18" s="87"/>
      <c r="WQ18" s="87"/>
      <c r="WR18" s="87"/>
      <c r="WS18" s="87"/>
      <c r="WT18" s="87"/>
      <c r="WU18" s="87"/>
      <c r="WV18" s="87"/>
      <c r="WW18" s="87"/>
      <c r="WX18" s="87"/>
      <c r="WY18" s="87"/>
      <c r="WZ18" s="87"/>
      <c r="XA18" s="87"/>
      <c r="XB18" s="87"/>
      <c r="XC18" s="87"/>
      <c r="XD18" s="87"/>
      <c r="XE18" s="87"/>
      <c r="XF18" s="87"/>
      <c r="XG18" s="87"/>
      <c r="XH18" s="87"/>
      <c r="XI18" s="87"/>
      <c r="XJ18" s="87"/>
      <c r="XK18" s="87"/>
      <c r="XL18" s="87"/>
      <c r="XM18" s="87"/>
      <c r="XN18" s="87"/>
      <c r="XO18" s="87"/>
      <c r="XP18" s="87"/>
      <c r="XQ18" s="87"/>
      <c r="XR18" s="87"/>
      <c r="XS18" s="87"/>
      <c r="XT18" s="87"/>
      <c r="XU18" s="87"/>
      <c r="XV18" s="87"/>
      <c r="XW18" s="87"/>
      <c r="XX18" s="87"/>
      <c r="XY18" s="87"/>
      <c r="XZ18" s="87"/>
      <c r="YA18" s="87"/>
      <c r="YB18" s="87"/>
      <c r="YC18" s="87"/>
      <c r="YD18" s="87"/>
      <c r="YE18" s="87"/>
      <c r="YF18" s="87"/>
      <c r="YG18" s="87"/>
      <c r="YH18" s="87"/>
      <c r="YI18" s="87"/>
      <c r="YJ18" s="87"/>
      <c r="YK18" s="87"/>
      <c r="YL18" s="87"/>
      <c r="YM18" s="87"/>
      <c r="YN18" s="87"/>
      <c r="YO18" s="87"/>
      <c r="YP18" s="87"/>
      <c r="YQ18" s="87"/>
      <c r="YR18" s="87"/>
      <c r="YS18" s="87"/>
      <c r="YT18" s="87"/>
      <c r="YU18" s="87"/>
      <c r="YV18" s="87"/>
      <c r="YW18" s="87"/>
      <c r="YX18" s="87"/>
      <c r="YY18" s="87"/>
      <c r="YZ18" s="87"/>
      <c r="ZA18" s="87"/>
      <c r="ZB18" s="87"/>
      <c r="ZC18" s="87"/>
      <c r="ZD18" s="87"/>
      <c r="ZE18" s="87"/>
      <c r="ZF18" s="87"/>
      <c r="ZG18" s="87"/>
      <c r="ZH18" s="87"/>
      <c r="ZI18" s="87"/>
      <c r="ZJ18" s="87"/>
      <c r="ZK18" s="87"/>
      <c r="ZL18" s="87"/>
      <c r="ZM18" s="87"/>
      <c r="ZN18" s="87"/>
      <c r="ZO18" s="87"/>
      <c r="ZP18" s="87"/>
      <c r="ZQ18" s="87"/>
      <c r="ZR18" s="87"/>
      <c r="ZS18" s="87"/>
      <c r="ZT18" s="87"/>
      <c r="ZU18" s="87"/>
      <c r="ZV18" s="87"/>
      <c r="ZW18" s="87"/>
      <c r="ZX18" s="87"/>
      <c r="ZY18" s="87"/>
      <c r="ZZ18" s="87"/>
      <c r="AAA18" s="87"/>
      <c r="AAB18" s="87"/>
      <c r="AAC18" s="87"/>
      <c r="AAD18" s="87"/>
      <c r="AAE18" s="87"/>
      <c r="AAF18" s="87"/>
      <c r="AAG18" s="87"/>
      <c r="AAH18" s="87"/>
      <c r="AAI18" s="87"/>
      <c r="AAJ18" s="87"/>
      <c r="AAK18" s="87"/>
      <c r="AAL18" s="87"/>
      <c r="AAM18" s="87"/>
      <c r="AAN18" s="87"/>
      <c r="AAO18" s="87"/>
      <c r="AAP18" s="87"/>
      <c r="AAQ18" s="87"/>
      <c r="AAR18" s="87"/>
      <c r="AAS18" s="87"/>
      <c r="AAT18" s="87"/>
      <c r="AAU18" s="87"/>
      <c r="AAV18" s="87"/>
      <c r="AAW18" s="87"/>
      <c r="AAX18" s="87"/>
      <c r="AAY18" s="87"/>
      <c r="AAZ18" s="87"/>
      <c r="ABA18" s="87"/>
      <c r="ABB18" s="87"/>
      <c r="ABC18" s="87"/>
      <c r="ABD18" s="87"/>
      <c r="ABE18" s="87"/>
      <c r="ABF18" s="87"/>
      <c r="ABG18" s="87"/>
      <c r="ABH18" s="87"/>
      <c r="ABI18" s="87"/>
      <c r="ABJ18" s="87"/>
      <c r="ABK18" s="87"/>
      <c r="ABL18" s="87"/>
      <c r="ABM18" s="87"/>
      <c r="ABN18" s="87"/>
      <c r="ABO18" s="87"/>
      <c r="ABP18" s="87"/>
      <c r="ABQ18" s="87"/>
      <c r="ABR18" s="87"/>
      <c r="ABS18" s="87"/>
      <c r="ABT18" s="87"/>
      <c r="ABU18" s="87"/>
      <c r="ABV18" s="87"/>
      <c r="ABW18" s="87"/>
      <c r="ABX18" s="87"/>
      <c r="ABY18" s="87"/>
      <c r="ABZ18" s="87"/>
      <c r="ACA18" s="87"/>
      <c r="ACB18" s="87"/>
      <c r="ACC18" s="87"/>
      <c r="ACD18" s="87"/>
      <c r="ACE18" s="87"/>
      <c r="ACF18" s="87"/>
      <c r="ACG18" s="87"/>
      <c r="ACH18" s="87"/>
      <c r="ACI18" s="87"/>
      <c r="ACJ18" s="87"/>
      <c r="ACK18" s="87"/>
      <c r="ACL18" s="87"/>
      <c r="ACM18" s="87"/>
      <c r="ACN18" s="87"/>
      <c r="ACO18" s="87"/>
      <c r="ACP18" s="87"/>
      <c r="ACQ18" s="87"/>
      <c r="ACR18" s="87"/>
      <c r="ACS18" s="87"/>
      <c r="ACT18" s="87"/>
      <c r="ACU18" s="87"/>
      <c r="ACV18" s="87"/>
      <c r="ACW18" s="87"/>
      <c r="ACX18" s="87"/>
      <c r="ACY18" s="87"/>
      <c r="ACZ18" s="87"/>
      <c r="ADA18" s="87"/>
      <c r="ADB18" s="87"/>
      <c r="ADC18" s="87"/>
      <c r="ADD18" s="87"/>
      <c r="ADE18" s="87"/>
      <c r="ADF18" s="87"/>
      <c r="ADG18" s="87"/>
      <c r="ADH18" s="87"/>
      <c r="ADI18" s="87"/>
      <c r="ADJ18" s="87"/>
      <c r="ADK18" s="87"/>
      <c r="ADL18" s="87"/>
      <c r="ADM18" s="87"/>
      <c r="ADN18" s="87"/>
      <c r="ADO18" s="87"/>
      <c r="ADP18" s="87"/>
      <c r="ADQ18" s="87"/>
      <c r="ADR18" s="87"/>
      <c r="ADS18" s="87"/>
      <c r="ADT18" s="87"/>
      <c r="ADU18" s="87"/>
      <c r="ADV18" s="87"/>
      <c r="ADW18" s="87"/>
      <c r="ADX18" s="87"/>
      <c r="ADY18" s="87"/>
      <c r="ADZ18" s="87"/>
      <c r="AEA18" s="87"/>
      <c r="AEB18" s="87"/>
      <c r="AEC18" s="87"/>
      <c r="AED18" s="87"/>
      <c r="AEE18" s="87"/>
      <c r="AEF18" s="87"/>
      <c r="AEG18" s="87"/>
      <c r="AEH18" s="87"/>
      <c r="AEI18" s="87"/>
      <c r="AEJ18" s="87"/>
      <c r="AEK18" s="87"/>
      <c r="AEL18" s="87"/>
      <c r="AEM18" s="87"/>
      <c r="AEN18" s="87"/>
      <c r="AEO18" s="87"/>
      <c r="AEP18" s="87"/>
      <c r="AEQ18" s="87"/>
      <c r="AER18" s="87"/>
      <c r="AES18" s="87"/>
      <c r="AET18" s="87"/>
      <c r="AEU18" s="87"/>
      <c r="AEV18" s="87"/>
      <c r="AEW18" s="87"/>
      <c r="AEX18" s="87"/>
      <c r="AEY18" s="87"/>
      <c r="AEZ18" s="87"/>
      <c r="AFA18" s="87"/>
      <c r="AFB18" s="87"/>
      <c r="AFC18" s="87"/>
      <c r="AFD18" s="87"/>
      <c r="AFE18" s="87"/>
      <c r="AFF18" s="87"/>
      <c r="AFG18" s="87"/>
      <c r="AFH18" s="87"/>
      <c r="AFI18" s="87"/>
      <c r="AFJ18" s="87"/>
      <c r="AFK18" s="87"/>
      <c r="AFL18" s="87"/>
      <c r="AFM18" s="87"/>
      <c r="AFN18" s="87"/>
      <c r="AFO18" s="87"/>
      <c r="AFP18" s="87"/>
      <c r="AFQ18" s="87"/>
      <c r="AFR18" s="87"/>
      <c r="AFS18" s="87"/>
      <c r="AFT18" s="87"/>
      <c r="AFU18" s="87"/>
      <c r="AFV18" s="87"/>
      <c r="AFW18" s="87"/>
      <c r="AFX18" s="87"/>
      <c r="AFY18" s="87"/>
      <c r="AFZ18" s="87"/>
      <c r="AGA18" s="87"/>
      <c r="AGB18" s="87"/>
      <c r="AGC18" s="87"/>
      <c r="AGD18" s="87"/>
      <c r="AGE18" s="87"/>
      <c r="AGF18" s="87"/>
      <c r="AGG18" s="87"/>
      <c r="AGH18" s="87"/>
      <c r="AGI18" s="87"/>
      <c r="AGJ18" s="87"/>
      <c r="AGK18" s="87"/>
      <c r="AGL18" s="87"/>
      <c r="AGM18" s="87"/>
      <c r="AGN18" s="87"/>
      <c r="AGO18" s="87"/>
      <c r="AGP18" s="87"/>
      <c r="AGQ18" s="87"/>
      <c r="AGR18" s="87"/>
      <c r="AGS18" s="87"/>
      <c r="AGT18" s="87"/>
      <c r="AGU18" s="87"/>
      <c r="AGV18" s="87"/>
      <c r="AGW18" s="87"/>
      <c r="AGX18" s="87"/>
      <c r="AGY18" s="87"/>
      <c r="AGZ18" s="87"/>
      <c r="AHA18" s="87"/>
      <c r="AHB18" s="87"/>
      <c r="AHC18" s="87"/>
      <c r="AHD18" s="87"/>
      <c r="AHE18" s="87"/>
      <c r="AHF18" s="87"/>
      <c r="AHG18" s="87"/>
      <c r="AHH18" s="87"/>
      <c r="AHI18" s="87"/>
      <c r="AHJ18" s="87"/>
      <c r="AHK18" s="87"/>
      <c r="AHL18" s="87"/>
      <c r="AHM18" s="87"/>
      <c r="AHN18" s="87"/>
      <c r="AHO18" s="87"/>
      <c r="AHP18" s="87"/>
      <c r="AHQ18" s="87"/>
      <c r="AHR18" s="87"/>
      <c r="AHS18" s="87"/>
      <c r="AHT18" s="87"/>
      <c r="AHU18" s="87"/>
      <c r="AHV18" s="87"/>
      <c r="AHW18" s="87"/>
      <c r="AHX18" s="87"/>
      <c r="AHY18" s="87"/>
      <c r="AHZ18" s="87"/>
      <c r="AIA18" s="87"/>
      <c r="AIB18" s="87"/>
      <c r="AIC18" s="87"/>
      <c r="AID18" s="87"/>
      <c r="AIE18" s="87"/>
      <c r="AIF18" s="87"/>
      <c r="AIG18" s="87"/>
      <c r="AIH18" s="87"/>
      <c r="AII18" s="87"/>
      <c r="AIJ18" s="87"/>
      <c r="AIK18" s="87"/>
      <c r="AIL18" s="87"/>
      <c r="AIM18" s="87"/>
      <c r="AIN18" s="87"/>
      <c r="AIO18" s="87"/>
      <c r="AIP18" s="87"/>
      <c r="AIQ18" s="87"/>
      <c r="AIR18" s="87"/>
      <c r="AIS18" s="87"/>
      <c r="AIT18" s="87"/>
      <c r="AIU18" s="87"/>
      <c r="AIV18" s="87"/>
      <c r="AIW18" s="87"/>
      <c r="AIX18" s="87"/>
      <c r="AIY18" s="87"/>
      <c r="AIZ18" s="87"/>
      <c r="AJA18" s="87"/>
      <c r="AJB18" s="87"/>
      <c r="AJC18" s="87"/>
      <c r="AJD18" s="87"/>
      <c r="AJE18" s="87"/>
      <c r="AJF18" s="87"/>
      <c r="AJG18" s="87"/>
      <c r="AJH18" s="87"/>
      <c r="AJI18" s="87"/>
      <c r="AJJ18" s="87"/>
      <c r="AJK18" s="87"/>
      <c r="AJL18" s="87"/>
      <c r="AJM18" s="87"/>
      <c r="AJN18" s="87"/>
      <c r="AJO18" s="87"/>
      <c r="AJP18" s="87"/>
      <c r="AJQ18" s="87"/>
      <c r="AJR18" s="87"/>
      <c r="AJS18" s="87"/>
      <c r="AJT18" s="87"/>
      <c r="AJU18" s="87"/>
      <c r="AJV18" s="87"/>
      <c r="AJW18" s="87"/>
      <c r="AJX18" s="87"/>
      <c r="AJY18" s="87"/>
      <c r="AJZ18" s="87"/>
      <c r="AKA18" s="87"/>
      <c r="AKB18" s="87"/>
      <c r="AKC18" s="87"/>
      <c r="AKD18" s="87"/>
      <c r="AKE18" s="87"/>
      <c r="AKF18" s="87"/>
      <c r="AKG18" s="87"/>
      <c r="AKH18" s="87"/>
      <c r="AKI18" s="87"/>
      <c r="AKJ18" s="87"/>
      <c r="AKK18" s="87"/>
      <c r="AKL18" s="87"/>
      <c r="AKM18" s="87"/>
      <c r="AKN18" s="87"/>
      <c r="AKO18" s="87"/>
      <c r="AKP18" s="87"/>
      <c r="AKQ18" s="87"/>
      <c r="AKR18" s="87"/>
      <c r="AKS18" s="87"/>
      <c r="AKT18" s="87"/>
      <c r="AKU18" s="87"/>
      <c r="AKV18" s="87"/>
      <c r="AKW18" s="87"/>
      <c r="AKX18" s="87"/>
      <c r="AKY18" s="87"/>
      <c r="AKZ18" s="87"/>
      <c r="ALA18" s="87"/>
      <c r="ALB18" s="87"/>
      <c r="ALC18" s="87"/>
      <c r="ALD18" s="87"/>
      <c r="ALE18" s="87"/>
      <c r="ALF18" s="87"/>
      <c r="ALG18" s="87"/>
      <c r="ALH18" s="87"/>
      <c r="ALI18" s="87"/>
      <c r="ALJ18" s="87"/>
      <c r="ALK18" s="87"/>
      <c r="ALL18" s="87"/>
      <c r="ALM18" s="87"/>
      <c r="ALN18" s="87"/>
      <c r="ALO18" s="87"/>
      <c r="ALP18" s="87"/>
      <c r="ALQ18" s="87"/>
      <c r="ALR18" s="87"/>
      <c r="ALS18" s="87"/>
      <c r="ALT18" s="87"/>
      <c r="ALU18" s="87"/>
      <c r="ALV18" s="87"/>
      <c r="ALW18" s="87"/>
      <c r="ALX18" s="87"/>
      <c r="ALY18" s="87"/>
      <c r="ALZ18" s="87"/>
      <c r="AMA18" s="87"/>
      <c r="AMB18" s="87"/>
      <c r="AMC18" s="87"/>
      <c r="AMD18" s="87"/>
      <c r="AME18" s="87"/>
      <c r="AMF18" s="87"/>
      <c r="AMG18" s="87"/>
      <c r="AMH18" s="87"/>
      <c r="AMI18" s="87"/>
      <c r="AMJ18" s="87"/>
      <c r="AMK18" s="87"/>
      <c r="AML18" s="87"/>
      <c r="AMM18" s="87"/>
      <c r="AMN18" s="87"/>
      <c r="AMO18" s="87"/>
      <c r="AMP18" s="87"/>
      <c r="AMQ18" s="87"/>
      <c r="AMR18" s="87"/>
      <c r="AMS18" s="87"/>
      <c r="AMT18" s="87"/>
      <c r="AMU18" s="87"/>
      <c r="AMV18" s="87"/>
      <c r="AMW18" s="87"/>
      <c r="AMX18" s="87"/>
      <c r="AMY18" s="87"/>
      <c r="AMZ18" s="87"/>
      <c r="ANA18" s="87"/>
      <c r="ANB18" s="87"/>
      <c r="ANC18" s="87"/>
      <c r="AND18" s="87"/>
      <c r="ANE18" s="87"/>
      <c r="ANF18" s="87"/>
      <c r="ANG18" s="87"/>
      <c r="ANH18" s="87"/>
      <c r="ANI18" s="87"/>
      <c r="ANJ18" s="87"/>
      <c r="ANK18" s="87"/>
      <c r="ANL18" s="87"/>
      <c r="ANM18" s="87"/>
      <c r="ANN18" s="87"/>
      <c r="ANO18" s="87"/>
      <c r="ANP18" s="87"/>
      <c r="ANQ18" s="87"/>
      <c r="ANR18" s="87"/>
      <c r="ANS18" s="87"/>
      <c r="ANT18" s="87"/>
      <c r="ANU18" s="87"/>
      <c r="ANV18" s="87"/>
      <c r="ANW18" s="87"/>
      <c r="ANX18" s="87"/>
      <c r="ANY18" s="87"/>
      <c r="ANZ18" s="87"/>
      <c r="AOA18" s="87"/>
      <c r="AOB18" s="87"/>
      <c r="AOC18" s="87"/>
      <c r="AOD18" s="87"/>
      <c r="AOE18" s="87"/>
      <c r="AOF18" s="87"/>
      <c r="AOG18" s="87"/>
      <c r="AOH18" s="87"/>
      <c r="AOI18" s="87"/>
      <c r="AOJ18" s="87"/>
      <c r="AOK18" s="87"/>
      <c r="AOL18" s="87"/>
      <c r="AOM18" s="87"/>
      <c r="AON18" s="87"/>
      <c r="AOO18" s="87"/>
      <c r="AOP18" s="87"/>
      <c r="AOQ18" s="87"/>
      <c r="AOR18" s="87"/>
      <c r="AOS18" s="87"/>
      <c r="AOT18" s="87"/>
      <c r="AOU18" s="87"/>
      <c r="AOV18" s="87"/>
      <c r="AOW18" s="87"/>
      <c r="AOX18" s="87"/>
      <c r="AOY18" s="87"/>
      <c r="AOZ18" s="87"/>
      <c r="APA18" s="87"/>
      <c r="APB18" s="87"/>
      <c r="APC18" s="87"/>
      <c r="APD18" s="87"/>
      <c r="APE18" s="87"/>
      <c r="APF18" s="87"/>
      <c r="APG18" s="87"/>
      <c r="APH18" s="87"/>
      <c r="API18" s="87"/>
      <c r="APJ18" s="87"/>
      <c r="APK18" s="87"/>
      <c r="APL18" s="87"/>
      <c r="APM18" s="87"/>
      <c r="APN18" s="87"/>
      <c r="APO18" s="87"/>
      <c r="APP18" s="87"/>
      <c r="APQ18" s="87"/>
      <c r="APR18" s="87"/>
      <c r="APS18" s="87"/>
      <c r="APT18" s="87"/>
      <c r="APU18" s="87"/>
      <c r="APV18" s="87"/>
      <c r="APW18" s="87"/>
      <c r="APX18" s="87"/>
      <c r="APY18" s="87"/>
      <c r="APZ18" s="87"/>
      <c r="AQA18" s="87"/>
      <c r="AQB18" s="87"/>
      <c r="AQC18" s="87"/>
      <c r="AQD18" s="87"/>
      <c r="AQE18" s="87"/>
      <c r="AQF18" s="87"/>
      <c r="AQG18" s="87"/>
      <c r="AQH18" s="87"/>
      <c r="AQI18" s="87"/>
      <c r="AQJ18" s="87"/>
      <c r="AQK18" s="87"/>
      <c r="AQL18" s="87"/>
      <c r="AQM18" s="87"/>
      <c r="AQN18" s="87"/>
      <c r="AQO18" s="87"/>
      <c r="AQP18" s="87"/>
      <c r="AQQ18" s="87"/>
      <c r="AQR18" s="87"/>
      <c r="AQS18" s="87"/>
      <c r="AQT18" s="87"/>
      <c r="AQU18" s="87"/>
      <c r="AQV18" s="87"/>
      <c r="AQW18" s="87"/>
      <c r="AQX18" s="87"/>
      <c r="AQY18" s="87"/>
      <c r="AQZ18" s="87"/>
      <c r="ARA18" s="87"/>
      <c r="ARB18" s="87"/>
      <c r="ARC18" s="87"/>
      <c r="ARD18" s="87"/>
      <c r="ARE18" s="87"/>
      <c r="ARF18" s="87"/>
      <c r="ARG18" s="87"/>
      <c r="ARH18" s="87"/>
      <c r="ARI18" s="87"/>
      <c r="ARJ18" s="87"/>
      <c r="ARK18" s="87"/>
      <c r="ARL18" s="87"/>
      <c r="ARM18" s="87"/>
      <c r="ARN18" s="87"/>
      <c r="ARO18" s="87"/>
      <c r="ARP18" s="87"/>
      <c r="ARQ18" s="87"/>
      <c r="ARR18" s="87"/>
      <c r="ARS18" s="87"/>
      <c r="ART18" s="87"/>
      <c r="ARU18" s="87"/>
      <c r="ARV18" s="87"/>
      <c r="ARW18" s="87"/>
      <c r="ARX18" s="87"/>
      <c r="ARY18" s="87"/>
      <c r="ARZ18" s="87"/>
      <c r="ASA18" s="87"/>
      <c r="ASB18" s="87"/>
      <c r="ASC18" s="87"/>
      <c r="ASD18" s="87"/>
      <c r="ASE18" s="87"/>
      <c r="ASF18" s="87"/>
      <c r="ASG18" s="87"/>
      <c r="ASH18" s="87"/>
      <c r="ASI18" s="87"/>
      <c r="ASJ18" s="87"/>
      <c r="ASK18" s="87"/>
      <c r="ASL18" s="87"/>
      <c r="ASM18" s="87"/>
      <c r="ASN18" s="87"/>
      <c r="ASO18" s="87"/>
      <c r="ASP18" s="87"/>
      <c r="ASQ18" s="87"/>
      <c r="ASR18" s="87"/>
      <c r="ASS18" s="87"/>
      <c r="AST18" s="87"/>
      <c r="ASU18" s="87"/>
      <c r="ASV18" s="87"/>
      <c r="ASW18" s="87"/>
      <c r="ASX18" s="87"/>
      <c r="ASY18" s="87"/>
      <c r="ASZ18" s="87"/>
      <c r="ATA18" s="87"/>
      <c r="ATB18" s="87"/>
      <c r="ATC18" s="87"/>
      <c r="ATD18" s="87"/>
      <c r="ATE18" s="87"/>
      <c r="ATF18" s="87"/>
      <c r="ATG18" s="87"/>
      <c r="ATH18" s="87"/>
      <c r="ATI18" s="87"/>
      <c r="ATJ18" s="87"/>
      <c r="ATK18" s="87"/>
      <c r="ATL18" s="87"/>
      <c r="ATM18" s="87"/>
      <c r="ATN18" s="87"/>
      <c r="ATO18" s="87"/>
      <c r="ATP18" s="87"/>
      <c r="ATQ18" s="87"/>
      <c r="ATR18" s="87"/>
      <c r="ATS18" s="87"/>
      <c r="ATT18" s="87"/>
      <c r="ATU18" s="87"/>
      <c r="ATV18" s="87"/>
      <c r="ATW18" s="87"/>
      <c r="ATX18" s="87"/>
      <c r="ATY18" s="87"/>
      <c r="ATZ18" s="87"/>
      <c r="AUA18" s="87"/>
      <c r="AUB18" s="87"/>
      <c r="AUC18" s="87"/>
      <c r="AUD18" s="87"/>
      <c r="AUE18" s="87"/>
      <c r="AUF18" s="87"/>
      <c r="AUG18" s="87"/>
      <c r="AUH18" s="87"/>
      <c r="AUI18" s="87"/>
      <c r="AUJ18" s="87"/>
      <c r="AUK18" s="87"/>
      <c r="AUL18" s="87"/>
      <c r="AUM18" s="87"/>
      <c r="AUN18" s="87"/>
      <c r="AUO18" s="87"/>
      <c r="AUP18" s="87"/>
      <c r="AUQ18" s="87"/>
      <c r="AUR18" s="87"/>
      <c r="AUS18" s="87"/>
      <c r="AUT18" s="87"/>
      <c r="AUU18" s="87"/>
      <c r="AUV18" s="87"/>
      <c r="AUW18" s="87"/>
      <c r="AUX18" s="87"/>
      <c r="AUY18" s="87"/>
      <c r="AUZ18" s="87"/>
      <c r="AVA18" s="87"/>
      <c r="AVB18" s="87"/>
      <c r="AVC18" s="87"/>
      <c r="AVD18" s="87"/>
      <c r="AVE18" s="87"/>
      <c r="AVF18" s="87"/>
      <c r="AVG18" s="87"/>
      <c r="AVH18" s="87"/>
      <c r="AVI18" s="87"/>
      <c r="AVJ18" s="87"/>
      <c r="AVK18" s="87"/>
      <c r="AVL18" s="87"/>
      <c r="AVM18" s="87"/>
      <c r="AVN18" s="87"/>
      <c r="AVO18" s="87"/>
      <c r="AVP18" s="87"/>
      <c r="AVQ18" s="87"/>
      <c r="AVR18" s="87"/>
      <c r="AVS18" s="87"/>
      <c r="AVT18" s="87"/>
      <c r="AVU18" s="87"/>
      <c r="AVV18" s="87"/>
      <c r="AVW18" s="87"/>
      <c r="AVX18" s="87"/>
      <c r="AVY18" s="87"/>
      <c r="AVZ18" s="87"/>
      <c r="AWA18" s="87"/>
      <c r="AWB18" s="87"/>
      <c r="AWC18" s="87"/>
      <c r="AWD18" s="87"/>
      <c r="AWE18" s="87"/>
      <c r="AWF18" s="87"/>
      <c r="AWG18" s="87"/>
      <c r="AWH18" s="87"/>
      <c r="AWI18" s="87"/>
      <c r="AWJ18" s="87"/>
      <c r="AWK18" s="87"/>
      <c r="AWL18" s="87"/>
      <c r="AWM18" s="87"/>
      <c r="AWN18" s="87"/>
      <c r="AWO18" s="87"/>
      <c r="AWP18" s="87"/>
      <c r="AWQ18" s="87"/>
      <c r="AWR18" s="87"/>
      <c r="AWS18" s="87"/>
      <c r="AWT18" s="87"/>
      <c r="AWU18" s="87"/>
      <c r="AWV18" s="87"/>
      <c r="AWW18" s="87"/>
      <c r="AWX18" s="87"/>
      <c r="AWY18" s="87"/>
      <c r="AWZ18" s="87"/>
      <c r="AXA18" s="87"/>
      <c r="AXB18" s="87"/>
      <c r="AXC18" s="87"/>
      <c r="AXD18" s="87"/>
      <c r="AXE18" s="87"/>
      <c r="AXF18" s="87"/>
      <c r="AXG18" s="87"/>
      <c r="AXH18" s="87"/>
      <c r="AXI18" s="87"/>
      <c r="AXJ18" s="87"/>
      <c r="AXK18" s="87"/>
      <c r="AXL18" s="87"/>
      <c r="AXM18" s="87"/>
      <c r="AXN18" s="87"/>
      <c r="AXO18" s="87"/>
      <c r="AXP18" s="87"/>
      <c r="AXQ18" s="87"/>
      <c r="AXR18" s="87"/>
      <c r="AXS18" s="87"/>
      <c r="AXT18" s="87"/>
      <c r="AXU18" s="87"/>
      <c r="AXV18" s="87"/>
      <c r="AXW18" s="87"/>
      <c r="AXX18" s="87"/>
      <c r="AXY18" s="87"/>
      <c r="AXZ18" s="87"/>
      <c r="AYA18" s="87"/>
      <c r="AYB18" s="87"/>
      <c r="AYC18" s="87"/>
      <c r="AYD18" s="87"/>
      <c r="AYE18" s="87"/>
      <c r="AYF18" s="87"/>
      <c r="AYG18" s="87"/>
      <c r="AYH18" s="87"/>
      <c r="AYI18" s="87"/>
      <c r="AYJ18" s="87"/>
      <c r="AYK18" s="87"/>
      <c r="AYL18" s="87"/>
      <c r="AYM18" s="87"/>
      <c r="AYN18" s="87"/>
      <c r="AYO18" s="87"/>
      <c r="AYP18" s="87"/>
      <c r="AYQ18" s="87"/>
      <c r="AYR18" s="87"/>
      <c r="AYS18" s="87"/>
      <c r="AYT18" s="87"/>
      <c r="AYU18" s="87"/>
      <c r="AYV18" s="87"/>
      <c r="AYW18" s="87"/>
      <c r="AYX18" s="87"/>
      <c r="AYY18" s="87"/>
      <c r="AYZ18" s="87"/>
      <c r="AZA18" s="87"/>
      <c r="AZB18" s="87"/>
      <c r="AZC18" s="87"/>
      <c r="AZD18" s="87"/>
      <c r="AZE18" s="87"/>
      <c r="AZF18" s="87"/>
      <c r="AZG18" s="87"/>
      <c r="AZH18" s="87"/>
      <c r="AZI18" s="87"/>
      <c r="AZJ18" s="87"/>
      <c r="AZK18" s="87"/>
      <c r="AZL18" s="87"/>
      <c r="AZM18" s="87"/>
      <c r="AZN18" s="87"/>
      <c r="AZO18" s="87"/>
      <c r="AZP18" s="87"/>
      <c r="AZQ18" s="87"/>
      <c r="AZR18" s="87"/>
      <c r="AZS18" s="87"/>
      <c r="AZT18" s="87"/>
      <c r="AZU18" s="87"/>
      <c r="AZV18" s="87"/>
      <c r="AZW18" s="87"/>
      <c r="AZX18" s="87"/>
      <c r="AZY18" s="87"/>
      <c r="AZZ18" s="87"/>
      <c r="BAA18" s="87"/>
      <c r="BAB18" s="87"/>
      <c r="BAC18" s="87"/>
      <c r="BAD18" s="87"/>
      <c r="BAE18" s="87"/>
      <c r="BAF18" s="87"/>
      <c r="BAG18" s="87"/>
      <c r="BAH18" s="87"/>
      <c r="BAI18" s="87"/>
      <c r="BAJ18" s="87"/>
      <c r="BAK18" s="87"/>
      <c r="BAL18" s="87"/>
      <c r="BAM18" s="87"/>
      <c r="BAN18" s="87"/>
      <c r="BAO18" s="87"/>
      <c r="BAP18" s="87"/>
      <c r="BAQ18" s="87"/>
      <c r="BAR18" s="87"/>
      <c r="BAS18" s="87"/>
      <c r="BAT18" s="87"/>
      <c r="BAU18" s="87"/>
      <c r="BAV18" s="87"/>
      <c r="BAW18" s="87"/>
      <c r="BAX18" s="87"/>
      <c r="BAY18" s="87"/>
      <c r="BAZ18" s="87"/>
      <c r="BBA18" s="87"/>
      <c r="BBB18" s="87"/>
      <c r="BBC18" s="87"/>
      <c r="BBD18" s="87"/>
      <c r="BBE18" s="87"/>
      <c r="BBF18" s="87"/>
      <c r="BBG18" s="87"/>
      <c r="BBH18" s="87"/>
      <c r="BBI18" s="87"/>
      <c r="BBJ18" s="87"/>
      <c r="BBK18" s="87"/>
      <c r="BBL18" s="87"/>
      <c r="BBM18" s="87"/>
      <c r="BBN18" s="87"/>
      <c r="BBO18" s="87"/>
      <c r="BBP18" s="87"/>
      <c r="BBQ18" s="87"/>
      <c r="BBR18" s="87"/>
      <c r="BBS18" s="87"/>
      <c r="BBT18" s="87"/>
      <c r="BBU18" s="87"/>
      <c r="BBV18" s="87"/>
      <c r="BBW18" s="87"/>
      <c r="BBX18" s="87"/>
      <c r="BBY18" s="87"/>
      <c r="BBZ18" s="87"/>
      <c r="BCA18" s="87"/>
      <c r="BCB18" s="87"/>
      <c r="BCC18" s="87"/>
      <c r="BCD18" s="87"/>
      <c r="BCE18" s="87"/>
      <c r="BCF18" s="87"/>
      <c r="BCG18" s="87"/>
      <c r="BCH18" s="87"/>
      <c r="BCI18" s="87"/>
      <c r="BCJ18" s="87"/>
      <c r="BCK18" s="87"/>
      <c r="BCL18" s="87"/>
      <c r="BCM18" s="87"/>
      <c r="BCN18" s="87"/>
      <c r="BCO18" s="87"/>
      <c r="BCP18" s="87"/>
      <c r="BCQ18" s="87"/>
      <c r="BCR18" s="87"/>
      <c r="BCS18" s="87"/>
      <c r="BCT18" s="87"/>
      <c r="BCU18" s="87"/>
      <c r="BCV18" s="87"/>
      <c r="BCW18" s="87"/>
      <c r="BCX18" s="87"/>
      <c r="BCY18" s="87"/>
      <c r="BCZ18" s="87"/>
      <c r="BDA18" s="87"/>
      <c r="BDB18" s="87"/>
      <c r="BDC18" s="87"/>
      <c r="BDD18" s="87"/>
      <c r="BDE18" s="87"/>
      <c r="BDF18" s="87"/>
      <c r="BDG18" s="87"/>
      <c r="BDH18" s="87"/>
      <c r="BDI18" s="87"/>
      <c r="BDJ18" s="87"/>
      <c r="BDK18" s="87"/>
      <c r="BDL18" s="87"/>
      <c r="BDM18" s="87"/>
      <c r="BDN18" s="87"/>
      <c r="BDO18" s="87"/>
      <c r="BDP18" s="87"/>
      <c r="BDQ18" s="87"/>
      <c r="BDR18" s="87"/>
      <c r="BDS18" s="87"/>
      <c r="BDT18" s="87"/>
      <c r="BDU18" s="87"/>
      <c r="BDV18" s="87"/>
      <c r="BDW18" s="87"/>
      <c r="BDX18" s="87"/>
      <c r="BDY18" s="87"/>
      <c r="BDZ18" s="87"/>
      <c r="BEA18" s="87"/>
      <c r="BEB18" s="87"/>
      <c r="BEC18" s="87"/>
      <c r="BED18" s="87"/>
      <c r="BEE18" s="87"/>
      <c r="BEF18" s="87"/>
      <c r="BEG18" s="87"/>
      <c r="BEH18" s="87"/>
      <c r="BEI18" s="87"/>
      <c r="BEJ18" s="87"/>
      <c r="BEK18" s="87"/>
    </row>
    <row r="19" spans="1:1493" customFormat="1" x14ac:dyDescent="0.25"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87"/>
      <c r="BQ19" s="87"/>
      <c r="BR19" s="87"/>
      <c r="BS19" s="87"/>
      <c r="BT19" s="87"/>
      <c r="BU19" s="87"/>
      <c r="BV19" s="87"/>
      <c r="BW19" s="87"/>
      <c r="BX19" s="87"/>
      <c r="BY19" s="87"/>
      <c r="BZ19" s="87"/>
      <c r="CA19" s="87"/>
      <c r="CB19" s="87"/>
      <c r="CC19" s="87"/>
      <c r="CD19" s="87"/>
      <c r="CE19" s="87"/>
      <c r="CF19" s="87"/>
      <c r="CG19" s="87"/>
      <c r="CH19" s="87"/>
      <c r="CI19" s="87"/>
      <c r="CJ19" s="87"/>
      <c r="CK19" s="87"/>
      <c r="CL19" s="87"/>
      <c r="CM19" s="87"/>
      <c r="CN19" s="87"/>
      <c r="CO19" s="87"/>
      <c r="CP19" s="87"/>
      <c r="CQ19" s="87"/>
      <c r="CR19" s="87"/>
      <c r="CS19" s="87"/>
      <c r="CT19" s="87"/>
      <c r="CU19" s="87"/>
      <c r="CV19" s="87"/>
      <c r="CW19" s="87"/>
      <c r="CX19" s="87"/>
      <c r="CY19" s="87"/>
      <c r="CZ19" s="87"/>
      <c r="DA19" s="87"/>
      <c r="DB19" s="87"/>
      <c r="DC19" s="87"/>
      <c r="DD19" s="87"/>
      <c r="DE19" s="87"/>
      <c r="DF19" s="87"/>
      <c r="DG19" s="87"/>
      <c r="DH19" s="87"/>
      <c r="DI19" s="87"/>
      <c r="DJ19" s="87"/>
      <c r="DK19" s="87"/>
      <c r="DL19" s="87"/>
      <c r="DM19" s="87"/>
      <c r="DN19" s="87"/>
      <c r="DO19" s="87"/>
      <c r="DP19" s="87"/>
      <c r="DQ19" s="87"/>
      <c r="DR19" s="87"/>
      <c r="DS19" s="87"/>
      <c r="DT19" s="87"/>
      <c r="DU19" s="87"/>
      <c r="DV19" s="87"/>
      <c r="DW19" s="87"/>
      <c r="DX19" s="87"/>
      <c r="DY19" s="87"/>
      <c r="DZ19" s="87"/>
      <c r="EA19" s="87"/>
      <c r="EB19" s="87"/>
      <c r="EC19" s="87"/>
      <c r="ED19" s="87"/>
      <c r="EE19" s="87"/>
      <c r="EF19" s="87"/>
      <c r="EG19" s="87"/>
      <c r="EH19" s="87"/>
      <c r="EI19" s="87"/>
      <c r="EJ19" s="87"/>
      <c r="EK19" s="87"/>
      <c r="EL19" s="87"/>
      <c r="EM19" s="87"/>
      <c r="EN19" s="87"/>
      <c r="EO19" s="87"/>
      <c r="EP19" s="87"/>
      <c r="EQ19" s="87"/>
      <c r="ER19" s="87"/>
      <c r="ES19" s="87"/>
      <c r="ET19" s="87"/>
      <c r="EU19" s="87"/>
      <c r="EV19" s="87"/>
      <c r="EW19" s="87"/>
      <c r="EX19" s="87"/>
      <c r="EY19" s="87"/>
      <c r="EZ19" s="87"/>
      <c r="FA19" s="87"/>
      <c r="FB19" s="87"/>
      <c r="FC19" s="87"/>
      <c r="FD19" s="87"/>
      <c r="FE19" s="87"/>
      <c r="FF19" s="87"/>
      <c r="FG19" s="87"/>
      <c r="FH19" s="87"/>
      <c r="FI19" s="87"/>
      <c r="FJ19" s="87"/>
      <c r="FK19" s="87"/>
      <c r="FL19" s="87"/>
      <c r="FM19" s="87"/>
      <c r="FN19" s="87"/>
      <c r="FO19" s="87"/>
      <c r="FP19" s="87"/>
      <c r="FQ19" s="87"/>
      <c r="FR19" s="87"/>
      <c r="FS19" s="87"/>
      <c r="FT19" s="87"/>
      <c r="FU19" s="87"/>
      <c r="FV19" s="87"/>
      <c r="FW19" s="87"/>
      <c r="FX19" s="87"/>
      <c r="FY19" s="87"/>
      <c r="FZ19" s="87"/>
      <c r="GA19" s="87"/>
      <c r="GB19" s="87"/>
      <c r="GC19" s="87"/>
      <c r="GD19" s="87"/>
      <c r="GE19" s="87"/>
      <c r="GF19" s="87"/>
      <c r="GG19" s="87"/>
      <c r="GH19" s="87"/>
      <c r="GI19" s="87"/>
      <c r="GJ19" s="87"/>
      <c r="GK19" s="87"/>
      <c r="GL19" s="87"/>
      <c r="GM19" s="87"/>
      <c r="GN19" s="87"/>
      <c r="GO19" s="87"/>
      <c r="GP19" s="87"/>
      <c r="GQ19" s="87"/>
      <c r="GR19" s="87"/>
      <c r="GS19" s="87"/>
      <c r="GT19" s="87"/>
      <c r="GU19" s="87"/>
      <c r="GV19" s="87"/>
      <c r="GW19" s="87"/>
      <c r="GX19" s="87"/>
      <c r="GY19" s="87"/>
      <c r="GZ19" s="87"/>
      <c r="HA19" s="87"/>
      <c r="HB19" s="87"/>
      <c r="HC19" s="87"/>
      <c r="HD19" s="87"/>
      <c r="HE19" s="87"/>
      <c r="HF19" s="87"/>
      <c r="HG19" s="87"/>
      <c r="HH19" s="87"/>
      <c r="HI19" s="87"/>
      <c r="HJ19" s="87"/>
      <c r="HK19" s="87"/>
      <c r="HL19" s="87"/>
      <c r="HM19" s="87"/>
      <c r="HN19" s="87"/>
      <c r="HO19" s="87"/>
      <c r="HP19" s="87"/>
      <c r="HQ19" s="87"/>
      <c r="HR19" s="87"/>
      <c r="HS19" s="87"/>
      <c r="HT19" s="87"/>
      <c r="HU19" s="87"/>
      <c r="HV19" s="87"/>
      <c r="HW19" s="87"/>
      <c r="HX19" s="87"/>
      <c r="HY19" s="87"/>
      <c r="HZ19" s="87"/>
      <c r="IA19" s="87"/>
      <c r="IB19" s="87"/>
      <c r="IC19" s="87"/>
      <c r="ID19" s="87"/>
      <c r="IE19" s="87"/>
      <c r="IF19" s="87"/>
      <c r="IG19" s="87"/>
      <c r="IH19" s="87"/>
      <c r="II19" s="87"/>
      <c r="IJ19" s="87"/>
      <c r="IK19" s="87"/>
      <c r="IL19" s="87"/>
      <c r="IM19" s="87"/>
      <c r="IN19" s="87"/>
      <c r="IO19" s="87"/>
      <c r="IP19" s="87"/>
      <c r="IQ19" s="87"/>
      <c r="IR19" s="87"/>
      <c r="IS19" s="87"/>
      <c r="IT19" s="87"/>
      <c r="IU19" s="87"/>
      <c r="IV19" s="87"/>
      <c r="IW19" s="87"/>
      <c r="IX19" s="87"/>
      <c r="IY19" s="87"/>
      <c r="IZ19" s="87"/>
      <c r="JA19" s="87"/>
      <c r="JB19" s="87"/>
      <c r="JC19" s="87"/>
      <c r="JD19" s="87"/>
      <c r="JE19" s="87"/>
      <c r="JF19" s="87"/>
      <c r="JG19" s="87"/>
      <c r="JH19" s="87"/>
      <c r="JI19" s="87"/>
      <c r="JJ19" s="87"/>
      <c r="JK19" s="87"/>
      <c r="JL19" s="87"/>
      <c r="JM19" s="87"/>
      <c r="JN19" s="87"/>
      <c r="JO19" s="87"/>
      <c r="JP19" s="87"/>
      <c r="JQ19" s="87"/>
      <c r="JR19" s="87"/>
      <c r="JS19" s="87"/>
      <c r="JT19" s="87"/>
      <c r="JU19" s="87"/>
      <c r="JV19" s="87"/>
      <c r="JW19" s="87"/>
      <c r="JX19" s="87"/>
      <c r="JY19" s="87"/>
      <c r="JZ19" s="87"/>
      <c r="KA19" s="87"/>
      <c r="KB19" s="87"/>
      <c r="KC19" s="87"/>
      <c r="KD19" s="87"/>
      <c r="KE19" s="87"/>
      <c r="KF19" s="87"/>
      <c r="KG19" s="87"/>
      <c r="KH19" s="87"/>
      <c r="KI19" s="87"/>
      <c r="KJ19" s="87"/>
      <c r="KK19" s="87"/>
      <c r="KL19" s="87"/>
      <c r="KM19" s="87"/>
      <c r="KN19" s="87"/>
      <c r="KO19" s="87"/>
      <c r="KP19" s="87"/>
      <c r="KQ19" s="87"/>
      <c r="KR19" s="87"/>
      <c r="KS19" s="87"/>
      <c r="KT19" s="87"/>
      <c r="KU19" s="87"/>
      <c r="KV19" s="87"/>
      <c r="KW19" s="87"/>
      <c r="KX19" s="87"/>
      <c r="KY19" s="87"/>
      <c r="KZ19" s="87"/>
      <c r="LA19" s="87"/>
      <c r="LB19" s="87"/>
      <c r="LC19" s="87"/>
      <c r="LD19" s="87"/>
      <c r="LE19" s="87"/>
      <c r="LF19" s="87"/>
      <c r="LG19" s="87"/>
      <c r="LH19" s="87"/>
      <c r="LI19" s="87"/>
      <c r="LJ19" s="87"/>
      <c r="LK19" s="87"/>
      <c r="LL19" s="87"/>
      <c r="LM19" s="87"/>
      <c r="LN19" s="87"/>
      <c r="LO19" s="87"/>
      <c r="LP19" s="87"/>
      <c r="LQ19" s="87"/>
      <c r="LR19" s="87"/>
      <c r="LS19" s="87"/>
      <c r="LT19" s="87"/>
      <c r="LU19" s="87"/>
      <c r="LV19" s="87"/>
      <c r="LW19" s="87"/>
      <c r="LX19" s="87"/>
      <c r="LY19" s="87"/>
      <c r="LZ19" s="87"/>
      <c r="MA19" s="87"/>
      <c r="MB19" s="87"/>
      <c r="MC19" s="87"/>
      <c r="MD19" s="87"/>
      <c r="ME19" s="87"/>
      <c r="MF19" s="87"/>
      <c r="MG19" s="87"/>
      <c r="MH19" s="87"/>
      <c r="MI19" s="87"/>
      <c r="MJ19" s="87"/>
      <c r="MK19" s="87"/>
      <c r="ML19" s="87"/>
      <c r="MM19" s="87"/>
      <c r="MN19" s="87"/>
      <c r="MO19" s="87"/>
      <c r="MP19" s="87"/>
      <c r="MQ19" s="87"/>
      <c r="MR19" s="87"/>
      <c r="MS19" s="87"/>
      <c r="MT19" s="87"/>
      <c r="MU19" s="87"/>
      <c r="MV19" s="87"/>
      <c r="MW19" s="87"/>
      <c r="MX19" s="87"/>
      <c r="MY19" s="87"/>
      <c r="MZ19" s="87"/>
      <c r="NA19" s="87"/>
      <c r="NB19" s="87"/>
      <c r="NC19" s="87"/>
      <c r="ND19" s="87"/>
      <c r="NE19" s="87"/>
      <c r="NF19" s="87"/>
      <c r="NG19" s="87"/>
      <c r="NH19" s="87"/>
      <c r="NI19" s="87"/>
      <c r="NJ19" s="87"/>
      <c r="NK19" s="87"/>
      <c r="NL19" s="87"/>
      <c r="NM19" s="87"/>
      <c r="NN19" s="87"/>
      <c r="NO19" s="87"/>
      <c r="NP19" s="87"/>
      <c r="NQ19" s="87"/>
      <c r="NR19" s="87"/>
      <c r="NS19" s="87"/>
      <c r="NT19" s="87"/>
      <c r="NU19" s="87"/>
      <c r="NV19" s="87"/>
      <c r="NW19" s="87"/>
      <c r="NX19" s="87"/>
      <c r="NY19" s="87"/>
      <c r="NZ19" s="87"/>
      <c r="OA19" s="87"/>
      <c r="OB19" s="87"/>
      <c r="OC19" s="87"/>
      <c r="OD19" s="87"/>
      <c r="OE19" s="87"/>
      <c r="OF19" s="87"/>
      <c r="OG19" s="87"/>
      <c r="OH19" s="87"/>
      <c r="OI19" s="87"/>
      <c r="OJ19" s="87"/>
      <c r="OK19" s="87"/>
      <c r="OL19" s="87"/>
      <c r="OM19" s="87"/>
      <c r="ON19" s="87"/>
      <c r="OO19" s="87"/>
      <c r="OP19" s="87"/>
      <c r="OQ19" s="87"/>
      <c r="OR19" s="87"/>
      <c r="OS19" s="87"/>
      <c r="OT19" s="87"/>
      <c r="OU19" s="87"/>
      <c r="OV19" s="87"/>
      <c r="OW19" s="87"/>
      <c r="OX19" s="87"/>
      <c r="OY19" s="87"/>
      <c r="OZ19" s="87"/>
      <c r="PA19" s="87"/>
      <c r="PB19" s="87"/>
      <c r="PC19" s="87"/>
      <c r="PD19" s="87"/>
      <c r="PE19" s="87"/>
      <c r="PF19" s="87"/>
      <c r="PG19" s="87"/>
      <c r="PH19" s="87"/>
      <c r="PI19" s="87"/>
      <c r="PJ19" s="87"/>
      <c r="PK19" s="87"/>
      <c r="PL19" s="87"/>
      <c r="PM19" s="87"/>
      <c r="PN19" s="87"/>
      <c r="PO19" s="87"/>
      <c r="PP19" s="87"/>
      <c r="PQ19" s="87"/>
      <c r="PR19" s="87"/>
      <c r="PS19" s="87"/>
      <c r="PT19" s="87"/>
      <c r="PU19" s="87"/>
      <c r="PV19" s="87"/>
      <c r="PW19" s="87"/>
      <c r="PX19" s="87"/>
      <c r="PY19" s="87"/>
      <c r="PZ19" s="87"/>
      <c r="QA19" s="87"/>
      <c r="QB19" s="87"/>
      <c r="QC19" s="87"/>
      <c r="QD19" s="87"/>
      <c r="QE19" s="87"/>
      <c r="QF19" s="87"/>
      <c r="QG19" s="87"/>
      <c r="QH19" s="87"/>
      <c r="QI19" s="87"/>
      <c r="QJ19" s="87"/>
      <c r="QK19" s="87"/>
      <c r="QL19" s="87"/>
      <c r="QM19" s="87"/>
      <c r="QN19" s="87"/>
      <c r="QO19" s="87"/>
      <c r="QP19" s="87"/>
      <c r="QQ19" s="87"/>
      <c r="QR19" s="87"/>
      <c r="QS19" s="87"/>
      <c r="QT19" s="87"/>
      <c r="QU19" s="87"/>
      <c r="QV19" s="87"/>
      <c r="QW19" s="87"/>
      <c r="QX19" s="87"/>
      <c r="QY19" s="87"/>
      <c r="QZ19" s="87"/>
      <c r="RA19" s="87"/>
      <c r="RB19" s="87"/>
      <c r="RC19" s="87"/>
      <c r="RD19" s="87"/>
      <c r="RE19" s="87"/>
      <c r="RF19" s="87"/>
      <c r="RG19" s="87"/>
      <c r="RH19" s="87"/>
      <c r="RI19" s="87"/>
      <c r="RJ19" s="87"/>
      <c r="RK19" s="87"/>
      <c r="RL19" s="87"/>
      <c r="RM19" s="87"/>
      <c r="RN19" s="87"/>
      <c r="RO19" s="87"/>
      <c r="RP19" s="87"/>
      <c r="RQ19" s="87"/>
      <c r="RR19" s="87"/>
      <c r="RS19" s="87"/>
      <c r="RT19" s="87"/>
      <c r="RU19" s="87"/>
      <c r="RV19" s="87"/>
      <c r="RW19" s="87"/>
      <c r="RX19" s="87"/>
      <c r="RY19" s="87"/>
      <c r="RZ19" s="87"/>
      <c r="SA19" s="87"/>
      <c r="SB19" s="87"/>
      <c r="SC19" s="87"/>
      <c r="SD19" s="87"/>
      <c r="SE19" s="87"/>
      <c r="SF19" s="87"/>
      <c r="SG19" s="87"/>
      <c r="SH19" s="87"/>
      <c r="SI19" s="87"/>
      <c r="SJ19" s="87"/>
      <c r="SK19" s="87"/>
      <c r="SL19" s="87"/>
      <c r="SM19" s="87"/>
      <c r="SN19" s="87"/>
      <c r="SO19" s="87"/>
      <c r="SP19" s="87"/>
      <c r="SQ19" s="87"/>
      <c r="SR19" s="87"/>
      <c r="SS19" s="87"/>
      <c r="ST19" s="87"/>
      <c r="SU19" s="87"/>
      <c r="SV19" s="87"/>
      <c r="SW19" s="87"/>
      <c r="SX19" s="87"/>
      <c r="SY19" s="87"/>
      <c r="SZ19" s="87"/>
      <c r="TA19" s="87"/>
      <c r="TB19" s="87"/>
      <c r="TC19" s="87"/>
      <c r="TD19" s="87"/>
      <c r="TE19" s="87"/>
      <c r="TF19" s="87"/>
      <c r="TG19" s="87"/>
      <c r="TH19" s="87"/>
      <c r="TI19" s="87"/>
      <c r="TJ19" s="87"/>
      <c r="TK19" s="87"/>
      <c r="TL19" s="87"/>
      <c r="TM19" s="87"/>
      <c r="TN19" s="87"/>
      <c r="TO19" s="87"/>
      <c r="TP19" s="87"/>
      <c r="TQ19" s="87"/>
      <c r="TR19" s="87"/>
      <c r="TS19" s="87"/>
      <c r="TT19" s="87"/>
      <c r="TU19" s="87"/>
      <c r="TV19" s="87"/>
      <c r="TW19" s="87"/>
      <c r="TX19" s="87"/>
      <c r="TY19" s="87"/>
      <c r="TZ19" s="87"/>
      <c r="UA19" s="87"/>
      <c r="UB19" s="87"/>
      <c r="UC19" s="87"/>
      <c r="UD19" s="87"/>
      <c r="UE19" s="87"/>
      <c r="UF19" s="87"/>
      <c r="UG19" s="87"/>
      <c r="UH19" s="87"/>
      <c r="UI19" s="87"/>
      <c r="UJ19" s="87"/>
      <c r="UK19" s="87"/>
      <c r="UL19" s="87"/>
      <c r="UM19" s="87"/>
      <c r="UN19" s="87"/>
      <c r="UO19" s="87"/>
      <c r="UP19" s="87"/>
      <c r="UQ19" s="87"/>
      <c r="UR19" s="87"/>
      <c r="US19" s="87"/>
      <c r="UT19" s="87"/>
      <c r="UU19" s="87"/>
      <c r="UV19" s="87"/>
      <c r="UW19" s="87"/>
      <c r="UX19" s="87"/>
      <c r="UY19" s="87"/>
      <c r="UZ19" s="87"/>
      <c r="VA19" s="87"/>
      <c r="VB19" s="87"/>
      <c r="VC19" s="87"/>
      <c r="VD19" s="87"/>
      <c r="VE19" s="87"/>
      <c r="VF19" s="87"/>
      <c r="VG19" s="87"/>
      <c r="VH19" s="87"/>
      <c r="VI19" s="87"/>
      <c r="VJ19" s="87"/>
      <c r="VK19" s="87"/>
      <c r="VL19" s="87"/>
      <c r="VM19" s="87"/>
      <c r="VN19" s="87"/>
      <c r="VO19" s="87"/>
      <c r="VP19" s="87"/>
      <c r="VQ19" s="87"/>
      <c r="VR19" s="87"/>
      <c r="VS19" s="87"/>
      <c r="VT19" s="87"/>
      <c r="VU19" s="87"/>
      <c r="VV19" s="87"/>
      <c r="VW19" s="87"/>
      <c r="VX19" s="87"/>
      <c r="VY19" s="87"/>
      <c r="VZ19" s="87"/>
      <c r="WA19" s="87"/>
      <c r="WB19" s="87"/>
      <c r="WC19" s="87"/>
      <c r="WD19" s="87"/>
      <c r="WE19" s="87"/>
      <c r="WF19" s="87"/>
      <c r="WG19" s="87"/>
      <c r="WH19" s="87"/>
      <c r="WI19" s="87"/>
      <c r="WJ19" s="87"/>
      <c r="WK19" s="87"/>
      <c r="WL19" s="87"/>
      <c r="WM19" s="87"/>
      <c r="WN19" s="87"/>
      <c r="WO19" s="87"/>
      <c r="WP19" s="87"/>
      <c r="WQ19" s="87"/>
      <c r="WR19" s="87"/>
      <c r="WS19" s="87"/>
      <c r="WT19" s="87"/>
      <c r="WU19" s="87"/>
      <c r="WV19" s="87"/>
      <c r="WW19" s="87"/>
      <c r="WX19" s="87"/>
      <c r="WY19" s="87"/>
      <c r="WZ19" s="87"/>
      <c r="XA19" s="87"/>
      <c r="XB19" s="87"/>
      <c r="XC19" s="87"/>
      <c r="XD19" s="87"/>
      <c r="XE19" s="87"/>
      <c r="XF19" s="87"/>
      <c r="XG19" s="87"/>
      <c r="XH19" s="87"/>
      <c r="XI19" s="87"/>
      <c r="XJ19" s="87"/>
      <c r="XK19" s="87"/>
      <c r="XL19" s="87"/>
      <c r="XM19" s="87"/>
      <c r="XN19" s="87"/>
      <c r="XO19" s="87"/>
      <c r="XP19" s="87"/>
      <c r="XQ19" s="87"/>
      <c r="XR19" s="87"/>
      <c r="XS19" s="87"/>
      <c r="XT19" s="87"/>
      <c r="XU19" s="87"/>
      <c r="XV19" s="87"/>
      <c r="XW19" s="87"/>
      <c r="XX19" s="87"/>
      <c r="XY19" s="87"/>
      <c r="XZ19" s="87"/>
      <c r="YA19" s="87"/>
      <c r="YB19" s="87"/>
      <c r="YC19" s="87"/>
      <c r="YD19" s="87"/>
      <c r="YE19" s="87"/>
      <c r="YF19" s="87"/>
      <c r="YG19" s="87"/>
      <c r="YH19" s="87"/>
      <c r="YI19" s="87"/>
      <c r="YJ19" s="87"/>
      <c r="YK19" s="87"/>
      <c r="YL19" s="87"/>
      <c r="YM19" s="87"/>
      <c r="YN19" s="87"/>
      <c r="YO19" s="87"/>
      <c r="YP19" s="87"/>
      <c r="YQ19" s="87"/>
      <c r="YR19" s="87"/>
      <c r="YS19" s="87"/>
      <c r="YT19" s="87"/>
      <c r="YU19" s="87"/>
      <c r="YV19" s="87"/>
      <c r="YW19" s="87"/>
      <c r="YX19" s="87"/>
      <c r="YY19" s="87"/>
      <c r="YZ19" s="87"/>
      <c r="ZA19" s="87"/>
      <c r="ZB19" s="87"/>
      <c r="ZC19" s="87"/>
      <c r="ZD19" s="87"/>
      <c r="ZE19" s="87"/>
      <c r="ZF19" s="87"/>
      <c r="ZG19" s="87"/>
      <c r="ZH19" s="87"/>
      <c r="ZI19" s="87"/>
      <c r="ZJ19" s="87"/>
      <c r="ZK19" s="87"/>
      <c r="ZL19" s="87"/>
      <c r="ZM19" s="87"/>
      <c r="ZN19" s="87"/>
      <c r="ZO19" s="87"/>
      <c r="ZP19" s="87"/>
      <c r="ZQ19" s="87"/>
      <c r="ZR19" s="87"/>
      <c r="ZS19" s="87"/>
      <c r="ZT19" s="87"/>
      <c r="ZU19" s="87"/>
      <c r="ZV19" s="87"/>
      <c r="ZW19" s="87"/>
      <c r="ZX19" s="87"/>
      <c r="ZY19" s="87"/>
      <c r="ZZ19" s="87"/>
      <c r="AAA19" s="87"/>
      <c r="AAB19" s="87"/>
      <c r="AAC19" s="87"/>
      <c r="AAD19" s="87"/>
      <c r="AAE19" s="87"/>
      <c r="AAF19" s="87"/>
      <c r="AAG19" s="87"/>
      <c r="AAH19" s="87"/>
      <c r="AAI19" s="87"/>
      <c r="AAJ19" s="87"/>
      <c r="AAK19" s="87"/>
      <c r="AAL19" s="87"/>
      <c r="AAM19" s="87"/>
      <c r="AAN19" s="87"/>
      <c r="AAO19" s="87"/>
      <c r="AAP19" s="87"/>
      <c r="AAQ19" s="87"/>
      <c r="AAR19" s="87"/>
      <c r="AAS19" s="87"/>
      <c r="AAT19" s="87"/>
      <c r="AAU19" s="87"/>
      <c r="AAV19" s="87"/>
      <c r="AAW19" s="87"/>
      <c r="AAX19" s="87"/>
      <c r="AAY19" s="87"/>
      <c r="AAZ19" s="87"/>
      <c r="ABA19" s="87"/>
      <c r="ABB19" s="87"/>
      <c r="ABC19" s="87"/>
      <c r="ABD19" s="87"/>
      <c r="ABE19" s="87"/>
      <c r="ABF19" s="87"/>
      <c r="ABG19" s="87"/>
      <c r="ABH19" s="87"/>
      <c r="ABI19" s="87"/>
      <c r="ABJ19" s="87"/>
      <c r="ABK19" s="87"/>
      <c r="ABL19" s="87"/>
      <c r="ABM19" s="87"/>
      <c r="ABN19" s="87"/>
      <c r="ABO19" s="87"/>
      <c r="ABP19" s="87"/>
      <c r="ABQ19" s="87"/>
      <c r="ABR19" s="87"/>
      <c r="ABS19" s="87"/>
      <c r="ABT19" s="87"/>
      <c r="ABU19" s="87"/>
      <c r="ABV19" s="87"/>
      <c r="ABW19" s="87"/>
      <c r="ABX19" s="87"/>
      <c r="ABY19" s="87"/>
      <c r="ABZ19" s="87"/>
      <c r="ACA19" s="87"/>
      <c r="ACB19" s="87"/>
      <c r="ACC19" s="87"/>
      <c r="ACD19" s="87"/>
      <c r="ACE19" s="87"/>
      <c r="ACF19" s="87"/>
      <c r="ACG19" s="87"/>
      <c r="ACH19" s="87"/>
      <c r="ACI19" s="87"/>
      <c r="ACJ19" s="87"/>
      <c r="ACK19" s="87"/>
      <c r="ACL19" s="87"/>
      <c r="ACM19" s="87"/>
      <c r="ACN19" s="87"/>
      <c r="ACO19" s="87"/>
      <c r="ACP19" s="87"/>
      <c r="ACQ19" s="87"/>
      <c r="ACR19" s="87"/>
      <c r="ACS19" s="87"/>
      <c r="ACT19" s="87"/>
      <c r="ACU19" s="87"/>
      <c r="ACV19" s="87"/>
      <c r="ACW19" s="87"/>
      <c r="ACX19" s="87"/>
      <c r="ACY19" s="87"/>
      <c r="ACZ19" s="87"/>
      <c r="ADA19" s="87"/>
      <c r="ADB19" s="87"/>
      <c r="ADC19" s="87"/>
      <c r="ADD19" s="87"/>
      <c r="ADE19" s="87"/>
      <c r="ADF19" s="87"/>
      <c r="ADG19" s="87"/>
      <c r="ADH19" s="87"/>
      <c r="ADI19" s="87"/>
      <c r="ADJ19" s="87"/>
      <c r="ADK19" s="87"/>
      <c r="ADL19" s="87"/>
      <c r="ADM19" s="87"/>
      <c r="ADN19" s="87"/>
      <c r="ADO19" s="87"/>
      <c r="ADP19" s="87"/>
      <c r="ADQ19" s="87"/>
      <c r="ADR19" s="87"/>
      <c r="ADS19" s="87"/>
      <c r="ADT19" s="87"/>
      <c r="ADU19" s="87"/>
      <c r="ADV19" s="87"/>
      <c r="ADW19" s="87"/>
      <c r="ADX19" s="87"/>
      <c r="ADY19" s="87"/>
      <c r="ADZ19" s="87"/>
      <c r="AEA19" s="87"/>
      <c r="AEB19" s="87"/>
      <c r="AEC19" s="87"/>
      <c r="AED19" s="87"/>
      <c r="AEE19" s="87"/>
      <c r="AEF19" s="87"/>
      <c r="AEG19" s="87"/>
      <c r="AEH19" s="87"/>
      <c r="AEI19" s="87"/>
      <c r="AEJ19" s="87"/>
      <c r="AEK19" s="87"/>
      <c r="AEL19" s="87"/>
      <c r="AEM19" s="87"/>
      <c r="AEN19" s="87"/>
      <c r="AEO19" s="87"/>
      <c r="AEP19" s="87"/>
      <c r="AEQ19" s="87"/>
      <c r="AER19" s="87"/>
      <c r="AES19" s="87"/>
      <c r="AET19" s="87"/>
      <c r="AEU19" s="87"/>
      <c r="AEV19" s="87"/>
      <c r="AEW19" s="87"/>
      <c r="AEX19" s="87"/>
      <c r="AEY19" s="87"/>
      <c r="AEZ19" s="87"/>
      <c r="AFA19" s="87"/>
      <c r="AFB19" s="87"/>
      <c r="AFC19" s="87"/>
      <c r="AFD19" s="87"/>
      <c r="AFE19" s="87"/>
      <c r="AFF19" s="87"/>
      <c r="AFG19" s="87"/>
      <c r="AFH19" s="87"/>
      <c r="AFI19" s="87"/>
      <c r="AFJ19" s="87"/>
      <c r="AFK19" s="87"/>
      <c r="AFL19" s="87"/>
      <c r="AFM19" s="87"/>
      <c r="AFN19" s="87"/>
      <c r="AFO19" s="87"/>
      <c r="AFP19" s="87"/>
      <c r="AFQ19" s="87"/>
      <c r="AFR19" s="87"/>
      <c r="AFS19" s="87"/>
      <c r="AFT19" s="87"/>
      <c r="AFU19" s="87"/>
      <c r="AFV19" s="87"/>
      <c r="AFW19" s="87"/>
      <c r="AFX19" s="87"/>
      <c r="AFY19" s="87"/>
      <c r="AFZ19" s="87"/>
      <c r="AGA19" s="87"/>
      <c r="AGB19" s="87"/>
      <c r="AGC19" s="87"/>
      <c r="AGD19" s="87"/>
      <c r="AGE19" s="87"/>
      <c r="AGF19" s="87"/>
      <c r="AGG19" s="87"/>
      <c r="AGH19" s="87"/>
      <c r="AGI19" s="87"/>
      <c r="AGJ19" s="87"/>
      <c r="AGK19" s="87"/>
      <c r="AGL19" s="87"/>
      <c r="AGM19" s="87"/>
      <c r="AGN19" s="87"/>
      <c r="AGO19" s="87"/>
      <c r="AGP19" s="87"/>
      <c r="AGQ19" s="87"/>
      <c r="AGR19" s="87"/>
      <c r="AGS19" s="87"/>
      <c r="AGT19" s="87"/>
      <c r="AGU19" s="87"/>
      <c r="AGV19" s="87"/>
      <c r="AGW19" s="87"/>
      <c r="AGX19" s="87"/>
      <c r="AGY19" s="87"/>
      <c r="AGZ19" s="87"/>
      <c r="AHA19" s="87"/>
      <c r="AHB19" s="87"/>
      <c r="AHC19" s="87"/>
      <c r="AHD19" s="87"/>
      <c r="AHE19" s="87"/>
      <c r="AHF19" s="87"/>
      <c r="AHG19" s="87"/>
      <c r="AHH19" s="87"/>
      <c r="AHI19" s="87"/>
      <c r="AHJ19" s="87"/>
      <c r="AHK19" s="87"/>
      <c r="AHL19" s="87"/>
      <c r="AHM19" s="87"/>
      <c r="AHN19" s="87"/>
      <c r="AHO19" s="87"/>
      <c r="AHP19" s="87"/>
      <c r="AHQ19" s="87"/>
      <c r="AHR19" s="87"/>
      <c r="AHS19" s="87"/>
      <c r="AHT19" s="87"/>
      <c r="AHU19" s="87"/>
      <c r="AHV19" s="87"/>
      <c r="AHW19" s="87"/>
      <c r="AHX19" s="87"/>
      <c r="AHY19" s="87"/>
      <c r="AHZ19" s="87"/>
      <c r="AIA19" s="87"/>
      <c r="AIB19" s="87"/>
      <c r="AIC19" s="87"/>
      <c r="AID19" s="87"/>
      <c r="AIE19" s="87"/>
      <c r="AIF19" s="87"/>
      <c r="AIG19" s="87"/>
      <c r="AIH19" s="87"/>
      <c r="AII19" s="87"/>
      <c r="AIJ19" s="87"/>
      <c r="AIK19" s="87"/>
      <c r="AIL19" s="87"/>
      <c r="AIM19" s="87"/>
      <c r="AIN19" s="87"/>
      <c r="AIO19" s="87"/>
      <c r="AIP19" s="87"/>
      <c r="AIQ19" s="87"/>
      <c r="AIR19" s="87"/>
      <c r="AIS19" s="87"/>
      <c r="AIT19" s="87"/>
      <c r="AIU19" s="87"/>
      <c r="AIV19" s="87"/>
      <c r="AIW19" s="87"/>
      <c r="AIX19" s="87"/>
      <c r="AIY19" s="87"/>
      <c r="AIZ19" s="87"/>
      <c r="AJA19" s="87"/>
      <c r="AJB19" s="87"/>
      <c r="AJC19" s="87"/>
      <c r="AJD19" s="87"/>
      <c r="AJE19" s="87"/>
      <c r="AJF19" s="87"/>
      <c r="AJG19" s="87"/>
      <c r="AJH19" s="87"/>
      <c r="AJI19" s="87"/>
      <c r="AJJ19" s="87"/>
      <c r="AJK19" s="87"/>
      <c r="AJL19" s="87"/>
      <c r="AJM19" s="87"/>
      <c r="AJN19" s="87"/>
      <c r="AJO19" s="87"/>
      <c r="AJP19" s="87"/>
      <c r="AJQ19" s="87"/>
      <c r="AJR19" s="87"/>
      <c r="AJS19" s="87"/>
      <c r="AJT19" s="87"/>
      <c r="AJU19" s="87"/>
      <c r="AJV19" s="87"/>
      <c r="AJW19" s="87"/>
      <c r="AJX19" s="87"/>
      <c r="AJY19" s="87"/>
      <c r="AJZ19" s="87"/>
      <c r="AKA19" s="87"/>
      <c r="AKB19" s="87"/>
      <c r="AKC19" s="87"/>
      <c r="AKD19" s="87"/>
      <c r="AKE19" s="87"/>
      <c r="AKF19" s="87"/>
      <c r="AKG19" s="87"/>
      <c r="AKH19" s="87"/>
      <c r="AKI19" s="87"/>
      <c r="AKJ19" s="87"/>
      <c r="AKK19" s="87"/>
      <c r="AKL19" s="87"/>
      <c r="AKM19" s="87"/>
      <c r="AKN19" s="87"/>
      <c r="AKO19" s="87"/>
      <c r="AKP19" s="87"/>
      <c r="AKQ19" s="87"/>
      <c r="AKR19" s="87"/>
      <c r="AKS19" s="87"/>
      <c r="AKT19" s="87"/>
      <c r="AKU19" s="87"/>
      <c r="AKV19" s="87"/>
      <c r="AKW19" s="87"/>
      <c r="AKX19" s="87"/>
      <c r="AKY19" s="87"/>
      <c r="AKZ19" s="87"/>
      <c r="ALA19" s="87"/>
      <c r="ALB19" s="87"/>
      <c r="ALC19" s="87"/>
      <c r="ALD19" s="87"/>
      <c r="ALE19" s="87"/>
      <c r="ALF19" s="87"/>
      <c r="ALG19" s="87"/>
      <c r="ALH19" s="87"/>
      <c r="ALI19" s="87"/>
      <c r="ALJ19" s="87"/>
      <c r="ALK19" s="87"/>
      <c r="ALL19" s="87"/>
      <c r="ALM19" s="87"/>
      <c r="ALN19" s="87"/>
      <c r="ALO19" s="87"/>
      <c r="ALP19" s="87"/>
      <c r="ALQ19" s="87"/>
      <c r="ALR19" s="87"/>
      <c r="ALS19" s="87"/>
      <c r="ALT19" s="87"/>
      <c r="ALU19" s="87"/>
      <c r="ALV19" s="87"/>
      <c r="ALW19" s="87"/>
      <c r="ALX19" s="87"/>
      <c r="ALY19" s="87"/>
      <c r="ALZ19" s="87"/>
      <c r="AMA19" s="87"/>
      <c r="AMB19" s="87"/>
      <c r="AMC19" s="87"/>
      <c r="AMD19" s="87"/>
      <c r="AME19" s="87"/>
      <c r="AMF19" s="87"/>
      <c r="AMG19" s="87"/>
      <c r="AMH19" s="87"/>
      <c r="AMI19" s="87"/>
      <c r="AMJ19" s="87"/>
      <c r="AMK19" s="87"/>
      <c r="AML19" s="87"/>
      <c r="AMM19" s="87"/>
      <c r="AMN19" s="87"/>
      <c r="AMO19" s="87"/>
      <c r="AMP19" s="87"/>
      <c r="AMQ19" s="87"/>
      <c r="AMR19" s="87"/>
      <c r="AMS19" s="87"/>
      <c r="AMT19" s="87"/>
      <c r="AMU19" s="87"/>
      <c r="AMV19" s="87"/>
      <c r="AMW19" s="87"/>
      <c r="AMX19" s="87"/>
      <c r="AMY19" s="87"/>
      <c r="AMZ19" s="87"/>
      <c r="ANA19" s="87"/>
      <c r="ANB19" s="87"/>
      <c r="ANC19" s="87"/>
      <c r="AND19" s="87"/>
      <c r="ANE19" s="87"/>
      <c r="ANF19" s="87"/>
      <c r="ANG19" s="87"/>
      <c r="ANH19" s="87"/>
      <c r="ANI19" s="87"/>
      <c r="ANJ19" s="87"/>
      <c r="ANK19" s="87"/>
      <c r="ANL19" s="87"/>
      <c r="ANM19" s="87"/>
      <c r="ANN19" s="87"/>
      <c r="ANO19" s="87"/>
      <c r="ANP19" s="87"/>
      <c r="ANQ19" s="87"/>
      <c r="ANR19" s="87"/>
      <c r="ANS19" s="87"/>
      <c r="ANT19" s="87"/>
      <c r="ANU19" s="87"/>
      <c r="ANV19" s="87"/>
      <c r="ANW19" s="87"/>
      <c r="ANX19" s="87"/>
      <c r="ANY19" s="87"/>
      <c r="ANZ19" s="87"/>
      <c r="AOA19" s="87"/>
      <c r="AOB19" s="87"/>
      <c r="AOC19" s="87"/>
      <c r="AOD19" s="87"/>
      <c r="AOE19" s="87"/>
      <c r="AOF19" s="87"/>
      <c r="AOG19" s="87"/>
      <c r="AOH19" s="87"/>
      <c r="AOI19" s="87"/>
      <c r="AOJ19" s="87"/>
      <c r="AOK19" s="87"/>
      <c r="AOL19" s="87"/>
      <c r="AOM19" s="87"/>
      <c r="AON19" s="87"/>
      <c r="AOO19" s="87"/>
      <c r="AOP19" s="87"/>
      <c r="AOQ19" s="87"/>
      <c r="AOR19" s="87"/>
      <c r="AOS19" s="87"/>
      <c r="AOT19" s="87"/>
      <c r="AOU19" s="87"/>
      <c r="AOV19" s="87"/>
      <c r="AOW19" s="87"/>
      <c r="AOX19" s="87"/>
      <c r="AOY19" s="87"/>
      <c r="AOZ19" s="87"/>
      <c r="APA19" s="87"/>
      <c r="APB19" s="87"/>
      <c r="APC19" s="87"/>
      <c r="APD19" s="87"/>
      <c r="APE19" s="87"/>
      <c r="APF19" s="87"/>
      <c r="APG19" s="87"/>
      <c r="APH19" s="87"/>
      <c r="API19" s="87"/>
      <c r="APJ19" s="87"/>
      <c r="APK19" s="87"/>
      <c r="APL19" s="87"/>
      <c r="APM19" s="87"/>
      <c r="APN19" s="87"/>
      <c r="APO19" s="87"/>
      <c r="APP19" s="87"/>
      <c r="APQ19" s="87"/>
      <c r="APR19" s="87"/>
      <c r="APS19" s="87"/>
      <c r="APT19" s="87"/>
      <c r="APU19" s="87"/>
      <c r="APV19" s="87"/>
      <c r="APW19" s="87"/>
      <c r="APX19" s="87"/>
      <c r="APY19" s="87"/>
      <c r="APZ19" s="87"/>
      <c r="AQA19" s="87"/>
      <c r="AQB19" s="87"/>
      <c r="AQC19" s="87"/>
      <c r="AQD19" s="87"/>
      <c r="AQE19" s="87"/>
      <c r="AQF19" s="87"/>
      <c r="AQG19" s="87"/>
      <c r="AQH19" s="87"/>
      <c r="AQI19" s="87"/>
      <c r="AQJ19" s="87"/>
      <c r="AQK19" s="87"/>
      <c r="AQL19" s="87"/>
      <c r="AQM19" s="87"/>
      <c r="AQN19" s="87"/>
      <c r="AQO19" s="87"/>
      <c r="AQP19" s="87"/>
      <c r="AQQ19" s="87"/>
      <c r="AQR19" s="87"/>
      <c r="AQS19" s="87"/>
      <c r="AQT19" s="87"/>
      <c r="AQU19" s="87"/>
      <c r="AQV19" s="87"/>
      <c r="AQW19" s="87"/>
      <c r="AQX19" s="87"/>
      <c r="AQY19" s="87"/>
      <c r="AQZ19" s="87"/>
      <c r="ARA19" s="87"/>
      <c r="ARB19" s="87"/>
      <c r="ARC19" s="87"/>
      <c r="ARD19" s="87"/>
      <c r="ARE19" s="87"/>
      <c r="ARF19" s="87"/>
      <c r="ARG19" s="87"/>
      <c r="ARH19" s="87"/>
      <c r="ARI19" s="87"/>
      <c r="ARJ19" s="87"/>
      <c r="ARK19" s="87"/>
      <c r="ARL19" s="87"/>
      <c r="ARM19" s="87"/>
      <c r="ARN19" s="87"/>
      <c r="ARO19" s="87"/>
      <c r="ARP19" s="87"/>
      <c r="ARQ19" s="87"/>
      <c r="ARR19" s="87"/>
      <c r="ARS19" s="87"/>
      <c r="ART19" s="87"/>
      <c r="ARU19" s="87"/>
      <c r="ARV19" s="87"/>
      <c r="ARW19" s="87"/>
      <c r="ARX19" s="87"/>
      <c r="ARY19" s="87"/>
      <c r="ARZ19" s="87"/>
      <c r="ASA19" s="87"/>
      <c r="ASB19" s="87"/>
      <c r="ASC19" s="87"/>
      <c r="ASD19" s="87"/>
      <c r="ASE19" s="87"/>
      <c r="ASF19" s="87"/>
      <c r="ASG19" s="87"/>
      <c r="ASH19" s="87"/>
      <c r="ASI19" s="87"/>
      <c r="ASJ19" s="87"/>
      <c r="ASK19" s="87"/>
      <c r="ASL19" s="87"/>
      <c r="ASM19" s="87"/>
      <c r="ASN19" s="87"/>
      <c r="ASO19" s="87"/>
      <c r="ASP19" s="87"/>
      <c r="ASQ19" s="87"/>
      <c r="ASR19" s="87"/>
      <c r="ASS19" s="87"/>
      <c r="AST19" s="87"/>
      <c r="ASU19" s="87"/>
      <c r="ASV19" s="87"/>
      <c r="ASW19" s="87"/>
      <c r="ASX19" s="87"/>
      <c r="ASY19" s="87"/>
      <c r="ASZ19" s="87"/>
      <c r="ATA19" s="87"/>
      <c r="ATB19" s="87"/>
      <c r="ATC19" s="87"/>
      <c r="ATD19" s="87"/>
      <c r="ATE19" s="87"/>
      <c r="ATF19" s="87"/>
      <c r="ATG19" s="87"/>
      <c r="ATH19" s="87"/>
      <c r="ATI19" s="87"/>
      <c r="ATJ19" s="87"/>
      <c r="ATK19" s="87"/>
      <c r="ATL19" s="87"/>
      <c r="ATM19" s="87"/>
      <c r="ATN19" s="87"/>
      <c r="ATO19" s="87"/>
      <c r="ATP19" s="87"/>
      <c r="ATQ19" s="87"/>
      <c r="ATR19" s="87"/>
      <c r="ATS19" s="87"/>
      <c r="ATT19" s="87"/>
      <c r="ATU19" s="87"/>
      <c r="ATV19" s="87"/>
      <c r="ATW19" s="87"/>
      <c r="ATX19" s="87"/>
      <c r="ATY19" s="87"/>
      <c r="ATZ19" s="87"/>
      <c r="AUA19" s="87"/>
      <c r="AUB19" s="87"/>
      <c r="AUC19" s="87"/>
      <c r="AUD19" s="87"/>
      <c r="AUE19" s="87"/>
      <c r="AUF19" s="87"/>
      <c r="AUG19" s="87"/>
      <c r="AUH19" s="87"/>
      <c r="AUI19" s="87"/>
      <c r="AUJ19" s="87"/>
      <c r="AUK19" s="87"/>
      <c r="AUL19" s="87"/>
      <c r="AUM19" s="87"/>
      <c r="AUN19" s="87"/>
      <c r="AUO19" s="87"/>
      <c r="AUP19" s="87"/>
      <c r="AUQ19" s="87"/>
      <c r="AUR19" s="87"/>
      <c r="AUS19" s="87"/>
      <c r="AUT19" s="87"/>
      <c r="AUU19" s="87"/>
      <c r="AUV19" s="87"/>
      <c r="AUW19" s="87"/>
      <c r="AUX19" s="87"/>
      <c r="AUY19" s="87"/>
      <c r="AUZ19" s="87"/>
      <c r="AVA19" s="87"/>
      <c r="AVB19" s="87"/>
      <c r="AVC19" s="87"/>
      <c r="AVD19" s="87"/>
      <c r="AVE19" s="87"/>
      <c r="AVF19" s="87"/>
      <c r="AVG19" s="87"/>
      <c r="AVH19" s="87"/>
      <c r="AVI19" s="87"/>
      <c r="AVJ19" s="87"/>
      <c r="AVK19" s="87"/>
      <c r="AVL19" s="87"/>
      <c r="AVM19" s="87"/>
      <c r="AVN19" s="87"/>
      <c r="AVO19" s="87"/>
      <c r="AVP19" s="87"/>
      <c r="AVQ19" s="87"/>
      <c r="AVR19" s="87"/>
      <c r="AVS19" s="87"/>
      <c r="AVT19" s="87"/>
      <c r="AVU19" s="87"/>
      <c r="AVV19" s="87"/>
      <c r="AVW19" s="87"/>
      <c r="AVX19" s="87"/>
      <c r="AVY19" s="87"/>
      <c r="AVZ19" s="87"/>
      <c r="AWA19" s="87"/>
      <c r="AWB19" s="87"/>
      <c r="AWC19" s="87"/>
      <c r="AWD19" s="87"/>
      <c r="AWE19" s="87"/>
      <c r="AWF19" s="87"/>
      <c r="AWG19" s="87"/>
      <c r="AWH19" s="87"/>
      <c r="AWI19" s="87"/>
      <c r="AWJ19" s="87"/>
      <c r="AWK19" s="87"/>
      <c r="AWL19" s="87"/>
      <c r="AWM19" s="87"/>
      <c r="AWN19" s="87"/>
      <c r="AWO19" s="87"/>
      <c r="AWP19" s="87"/>
      <c r="AWQ19" s="87"/>
      <c r="AWR19" s="87"/>
      <c r="AWS19" s="87"/>
      <c r="AWT19" s="87"/>
      <c r="AWU19" s="87"/>
      <c r="AWV19" s="87"/>
      <c r="AWW19" s="87"/>
      <c r="AWX19" s="87"/>
      <c r="AWY19" s="87"/>
      <c r="AWZ19" s="87"/>
      <c r="AXA19" s="87"/>
      <c r="AXB19" s="87"/>
      <c r="AXC19" s="87"/>
      <c r="AXD19" s="87"/>
      <c r="AXE19" s="87"/>
      <c r="AXF19" s="87"/>
      <c r="AXG19" s="87"/>
      <c r="AXH19" s="87"/>
      <c r="AXI19" s="87"/>
      <c r="AXJ19" s="87"/>
      <c r="AXK19" s="87"/>
      <c r="AXL19" s="87"/>
      <c r="AXM19" s="87"/>
      <c r="AXN19" s="87"/>
      <c r="AXO19" s="87"/>
      <c r="AXP19" s="87"/>
      <c r="AXQ19" s="87"/>
      <c r="AXR19" s="87"/>
      <c r="AXS19" s="87"/>
      <c r="AXT19" s="87"/>
      <c r="AXU19" s="87"/>
      <c r="AXV19" s="87"/>
      <c r="AXW19" s="87"/>
      <c r="AXX19" s="87"/>
      <c r="AXY19" s="87"/>
      <c r="AXZ19" s="87"/>
      <c r="AYA19" s="87"/>
      <c r="AYB19" s="87"/>
      <c r="AYC19" s="87"/>
      <c r="AYD19" s="87"/>
      <c r="AYE19" s="87"/>
      <c r="AYF19" s="87"/>
      <c r="AYG19" s="87"/>
      <c r="AYH19" s="87"/>
      <c r="AYI19" s="87"/>
      <c r="AYJ19" s="87"/>
      <c r="AYK19" s="87"/>
      <c r="AYL19" s="87"/>
      <c r="AYM19" s="87"/>
      <c r="AYN19" s="87"/>
      <c r="AYO19" s="87"/>
      <c r="AYP19" s="87"/>
      <c r="AYQ19" s="87"/>
      <c r="AYR19" s="87"/>
      <c r="AYS19" s="87"/>
      <c r="AYT19" s="87"/>
      <c r="AYU19" s="87"/>
      <c r="AYV19" s="87"/>
      <c r="AYW19" s="87"/>
      <c r="AYX19" s="87"/>
      <c r="AYY19" s="87"/>
      <c r="AYZ19" s="87"/>
      <c r="AZA19" s="87"/>
      <c r="AZB19" s="87"/>
      <c r="AZC19" s="87"/>
      <c r="AZD19" s="87"/>
      <c r="AZE19" s="87"/>
      <c r="AZF19" s="87"/>
      <c r="AZG19" s="87"/>
      <c r="AZH19" s="87"/>
      <c r="AZI19" s="87"/>
      <c r="AZJ19" s="87"/>
      <c r="AZK19" s="87"/>
      <c r="AZL19" s="87"/>
      <c r="AZM19" s="87"/>
      <c r="AZN19" s="87"/>
      <c r="AZO19" s="87"/>
      <c r="AZP19" s="87"/>
      <c r="AZQ19" s="87"/>
      <c r="AZR19" s="87"/>
      <c r="AZS19" s="87"/>
      <c r="AZT19" s="87"/>
      <c r="AZU19" s="87"/>
      <c r="AZV19" s="87"/>
      <c r="AZW19" s="87"/>
      <c r="AZX19" s="87"/>
      <c r="AZY19" s="87"/>
      <c r="AZZ19" s="87"/>
      <c r="BAA19" s="87"/>
      <c r="BAB19" s="87"/>
      <c r="BAC19" s="87"/>
      <c r="BAD19" s="87"/>
      <c r="BAE19" s="87"/>
      <c r="BAF19" s="87"/>
      <c r="BAG19" s="87"/>
      <c r="BAH19" s="87"/>
      <c r="BAI19" s="87"/>
      <c r="BAJ19" s="87"/>
      <c r="BAK19" s="87"/>
      <c r="BAL19" s="87"/>
      <c r="BAM19" s="87"/>
      <c r="BAN19" s="87"/>
      <c r="BAO19" s="87"/>
      <c r="BAP19" s="87"/>
      <c r="BAQ19" s="87"/>
      <c r="BAR19" s="87"/>
      <c r="BAS19" s="87"/>
      <c r="BAT19" s="87"/>
      <c r="BAU19" s="87"/>
      <c r="BAV19" s="87"/>
      <c r="BAW19" s="87"/>
      <c r="BAX19" s="87"/>
      <c r="BAY19" s="87"/>
      <c r="BAZ19" s="87"/>
      <c r="BBA19" s="87"/>
      <c r="BBB19" s="87"/>
      <c r="BBC19" s="87"/>
      <c r="BBD19" s="87"/>
      <c r="BBE19" s="87"/>
      <c r="BBF19" s="87"/>
      <c r="BBG19" s="87"/>
      <c r="BBH19" s="87"/>
      <c r="BBI19" s="87"/>
      <c r="BBJ19" s="87"/>
      <c r="BBK19" s="87"/>
      <c r="BBL19" s="87"/>
      <c r="BBM19" s="87"/>
      <c r="BBN19" s="87"/>
      <c r="BBO19" s="87"/>
      <c r="BBP19" s="87"/>
      <c r="BBQ19" s="87"/>
      <c r="BBR19" s="87"/>
      <c r="BBS19" s="87"/>
      <c r="BBT19" s="87"/>
      <c r="BBU19" s="87"/>
      <c r="BBV19" s="87"/>
      <c r="BBW19" s="87"/>
      <c r="BBX19" s="87"/>
      <c r="BBY19" s="87"/>
      <c r="BBZ19" s="87"/>
      <c r="BCA19" s="87"/>
      <c r="BCB19" s="87"/>
      <c r="BCC19" s="87"/>
      <c r="BCD19" s="87"/>
      <c r="BCE19" s="87"/>
      <c r="BCF19" s="87"/>
      <c r="BCG19" s="87"/>
      <c r="BCH19" s="87"/>
      <c r="BCI19" s="87"/>
      <c r="BCJ19" s="87"/>
      <c r="BCK19" s="87"/>
      <c r="BCL19" s="87"/>
      <c r="BCM19" s="87"/>
      <c r="BCN19" s="87"/>
      <c r="BCO19" s="87"/>
      <c r="BCP19" s="87"/>
      <c r="BCQ19" s="87"/>
      <c r="BCR19" s="87"/>
      <c r="BCS19" s="87"/>
      <c r="BCT19" s="87"/>
      <c r="BCU19" s="87"/>
      <c r="BCV19" s="87"/>
      <c r="BCW19" s="87"/>
      <c r="BCX19" s="87"/>
      <c r="BCY19" s="87"/>
      <c r="BCZ19" s="87"/>
      <c r="BDA19" s="87"/>
      <c r="BDB19" s="87"/>
      <c r="BDC19" s="87"/>
      <c r="BDD19" s="87"/>
      <c r="BDE19" s="87"/>
      <c r="BDF19" s="87"/>
      <c r="BDG19" s="87"/>
      <c r="BDH19" s="87"/>
      <c r="BDI19" s="87"/>
      <c r="BDJ19" s="87"/>
      <c r="BDK19" s="87"/>
      <c r="BDL19" s="87"/>
      <c r="BDM19" s="87"/>
      <c r="BDN19" s="87"/>
      <c r="BDO19" s="87"/>
      <c r="BDP19" s="87"/>
      <c r="BDQ19" s="87"/>
      <c r="BDR19" s="87"/>
      <c r="BDS19" s="87"/>
      <c r="BDT19" s="87"/>
      <c r="BDU19" s="87"/>
      <c r="BDV19" s="87"/>
      <c r="BDW19" s="87"/>
      <c r="BDX19" s="87"/>
      <c r="BDY19" s="87"/>
      <c r="BDZ19" s="87"/>
      <c r="BEA19" s="87"/>
      <c r="BEB19" s="87"/>
      <c r="BEC19" s="87"/>
      <c r="BED19" s="87"/>
      <c r="BEE19" s="87"/>
      <c r="BEF19" s="87"/>
      <c r="BEG19" s="87"/>
      <c r="BEH19" s="87"/>
      <c r="BEI19" s="87"/>
      <c r="BEJ19" s="87"/>
      <c r="BEK19" s="87"/>
    </row>
    <row r="20" spans="1:1493" customFormat="1" x14ac:dyDescent="0.25"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7"/>
      <c r="CC20" s="87"/>
      <c r="CD20" s="87"/>
      <c r="CE20" s="87"/>
      <c r="CF20" s="87"/>
      <c r="CG20" s="87"/>
      <c r="CH20" s="87"/>
      <c r="CI20" s="87"/>
      <c r="CJ20" s="87"/>
      <c r="CK20" s="87"/>
      <c r="CL20" s="87"/>
      <c r="CM20" s="87"/>
      <c r="CN20" s="87"/>
      <c r="CO20" s="87"/>
      <c r="CP20" s="87"/>
      <c r="CQ20" s="87"/>
      <c r="CR20" s="87"/>
      <c r="CS20" s="87"/>
      <c r="CT20" s="87"/>
      <c r="CU20" s="87"/>
      <c r="CV20" s="87"/>
      <c r="CW20" s="87"/>
      <c r="CX20" s="87"/>
      <c r="CY20" s="87"/>
      <c r="CZ20" s="87"/>
      <c r="DA20" s="87"/>
      <c r="DB20" s="87"/>
      <c r="DC20" s="87"/>
      <c r="DD20" s="87"/>
      <c r="DE20" s="87"/>
      <c r="DF20" s="87"/>
      <c r="DG20" s="87"/>
      <c r="DH20" s="87"/>
      <c r="DI20" s="87"/>
      <c r="DJ20" s="87"/>
      <c r="DK20" s="87"/>
      <c r="DL20" s="87"/>
      <c r="DM20" s="87"/>
      <c r="DN20" s="87"/>
      <c r="DO20" s="87"/>
      <c r="DP20" s="87"/>
      <c r="DQ20" s="87"/>
      <c r="DR20" s="87"/>
      <c r="DS20" s="87"/>
      <c r="DT20" s="87"/>
      <c r="DU20" s="87"/>
      <c r="DV20" s="87"/>
      <c r="DW20" s="87"/>
      <c r="DX20" s="87"/>
      <c r="DY20" s="87"/>
      <c r="DZ20" s="87"/>
      <c r="EA20" s="87"/>
      <c r="EB20" s="87"/>
      <c r="EC20" s="87"/>
      <c r="ED20" s="87"/>
      <c r="EE20" s="87"/>
      <c r="EF20" s="87"/>
      <c r="EG20" s="87"/>
      <c r="EH20" s="87"/>
      <c r="EI20" s="87"/>
      <c r="EJ20" s="87"/>
      <c r="EK20" s="87"/>
      <c r="EL20" s="87"/>
      <c r="EM20" s="87"/>
      <c r="EN20" s="87"/>
      <c r="EO20" s="87"/>
      <c r="EP20" s="87"/>
      <c r="EQ20" s="87"/>
      <c r="ER20" s="87"/>
      <c r="ES20" s="87"/>
      <c r="ET20" s="87"/>
      <c r="EU20" s="87"/>
      <c r="EV20" s="87"/>
      <c r="EW20" s="87"/>
      <c r="EX20" s="87"/>
      <c r="EY20" s="87"/>
      <c r="EZ20" s="87"/>
      <c r="FA20" s="87"/>
      <c r="FB20" s="87"/>
      <c r="FC20" s="87"/>
      <c r="FD20" s="87"/>
      <c r="FE20" s="87"/>
      <c r="FF20" s="87"/>
      <c r="FG20" s="87"/>
      <c r="FH20" s="87"/>
      <c r="FI20" s="87"/>
      <c r="FJ20" s="87"/>
      <c r="FK20" s="87"/>
      <c r="FL20" s="87"/>
      <c r="FM20" s="87"/>
      <c r="FN20" s="87"/>
      <c r="FO20" s="87"/>
      <c r="FP20" s="87"/>
      <c r="FQ20" s="87"/>
      <c r="FR20" s="87"/>
      <c r="FS20" s="87"/>
      <c r="FT20" s="87"/>
      <c r="FU20" s="87"/>
      <c r="FV20" s="87"/>
      <c r="FW20" s="87"/>
      <c r="FX20" s="87"/>
      <c r="FY20" s="87"/>
      <c r="FZ20" s="87"/>
      <c r="GA20" s="87"/>
      <c r="GB20" s="87"/>
      <c r="GC20" s="87"/>
      <c r="GD20" s="87"/>
      <c r="GE20" s="87"/>
      <c r="GF20" s="87"/>
      <c r="GG20" s="87"/>
      <c r="GH20" s="87"/>
      <c r="GI20" s="87"/>
      <c r="GJ20" s="87"/>
      <c r="GK20" s="87"/>
      <c r="GL20" s="87"/>
      <c r="GM20" s="87"/>
      <c r="GN20" s="87"/>
      <c r="GO20" s="87"/>
      <c r="GP20" s="87"/>
      <c r="GQ20" s="87"/>
      <c r="GR20" s="87"/>
      <c r="GS20" s="87"/>
      <c r="GT20" s="87"/>
      <c r="GU20" s="87"/>
      <c r="GV20" s="87"/>
      <c r="GW20" s="87"/>
      <c r="GX20" s="87"/>
      <c r="GY20" s="87"/>
      <c r="GZ20" s="87"/>
      <c r="HA20" s="87"/>
      <c r="HB20" s="87"/>
      <c r="HC20" s="87"/>
      <c r="HD20" s="87"/>
      <c r="HE20" s="87"/>
      <c r="HF20" s="87"/>
      <c r="HG20" s="87"/>
      <c r="HH20" s="87"/>
      <c r="HI20" s="87"/>
      <c r="HJ20" s="87"/>
      <c r="HK20" s="87"/>
      <c r="HL20" s="87"/>
      <c r="HM20" s="87"/>
      <c r="HN20" s="87"/>
      <c r="HO20" s="87"/>
      <c r="HP20" s="87"/>
      <c r="HQ20" s="87"/>
      <c r="HR20" s="87"/>
      <c r="HS20" s="87"/>
      <c r="HT20" s="87"/>
      <c r="HU20" s="87"/>
      <c r="HV20" s="87"/>
      <c r="HW20" s="87"/>
      <c r="HX20" s="87"/>
      <c r="HY20" s="87"/>
      <c r="HZ20" s="87"/>
      <c r="IA20" s="87"/>
      <c r="IB20" s="87"/>
      <c r="IC20" s="87"/>
      <c r="ID20" s="87"/>
      <c r="IE20" s="87"/>
      <c r="IF20" s="87"/>
      <c r="IG20" s="87"/>
      <c r="IH20" s="87"/>
      <c r="II20" s="87"/>
      <c r="IJ20" s="87"/>
      <c r="IK20" s="87"/>
      <c r="IL20" s="87"/>
      <c r="IM20" s="87"/>
      <c r="IN20" s="87"/>
      <c r="IO20" s="87"/>
      <c r="IP20" s="87"/>
      <c r="IQ20" s="87"/>
      <c r="IR20" s="87"/>
      <c r="IS20" s="87"/>
      <c r="IT20" s="87"/>
      <c r="IU20" s="87"/>
      <c r="IV20" s="87"/>
      <c r="IW20" s="87"/>
      <c r="IX20" s="87"/>
      <c r="IY20" s="87"/>
      <c r="IZ20" s="87"/>
      <c r="JA20" s="87"/>
      <c r="JB20" s="87"/>
      <c r="JC20" s="87"/>
      <c r="JD20" s="87"/>
      <c r="JE20" s="87"/>
      <c r="JF20" s="87"/>
      <c r="JG20" s="87"/>
      <c r="JH20" s="87"/>
      <c r="JI20" s="87"/>
      <c r="JJ20" s="87"/>
      <c r="JK20" s="87"/>
      <c r="JL20" s="87"/>
      <c r="JM20" s="87"/>
      <c r="JN20" s="87"/>
      <c r="JO20" s="87"/>
      <c r="JP20" s="87"/>
      <c r="JQ20" s="87"/>
      <c r="JR20" s="87"/>
      <c r="JS20" s="87"/>
      <c r="JT20" s="87"/>
      <c r="JU20" s="87"/>
      <c r="JV20" s="87"/>
      <c r="JW20" s="87"/>
      <c r="JX20" s="87"/>
      <c r="JY20" s="87"/>
      <c r="JZ20" s="87"/>
      <c r="KA20" s="87"/>
      <c r="KB20" s="87"/>
      <c r="KC20" s="87"/>
      <c r="KD20" s="87"/>
      <c r="KE20" s="87"/>
      <c r="KF20" s="87"/>
      <c r="KG20" s="87"/>
      <c r="KH20" s="87"/>
      <c r="KI20" s="87"/>
      <c r="KJ20" s="87"/>
      <c r="KK20" s="87"/>
      <c r="KL20" s="87"/>
      <c r="KM20" s="87"/>
      <c r="KN20" s="87"/>
      <c r="KO20" s="87"/>
      <c r="KP20" s="87"/>
      <c r="KQ20" s="87"/>
      <c r="KR20" s="87"/>
      <c r="KS20" s="87"/>
      <c r="KT20" s="87"/>
      <c r="KU20" s="87"/>
      <c r="KV20" s="87"/>
      <c r="KW20" s="87"/>
      <c r="KX20" s="87"/>
      <c r="KY20" s="87"/>
      <c r="KZ20" s="87"/>
      <c r="LA20" s="87"/>
      <c r="LB20" s="87"/>
      <c r="LC20" s="87"/>
      <c r="LD20" s="87"/>
      <c r="LE20" s="87"/>
      <c r="LF20" s="87"/>
      <c r="LG20" s="87"/>
      <c r="LH20" s="87"/>
      <c r="LI20" s="87"/>
      <c r="LJ20" s="87"/>
      <c r="LK20" s="87"/>
      <c r="LL20" s="87"/>
      <c r="LM20" s="87"/>
      <c r="LN20" s="87"/>
      <c r="LO20" s="87"/>
      <c r="LP20" s="87"/>
      <c r="LQ20" s="87"/>
      <c r="LR20" s="87"/>
      <c r="LS20" s="87"/>
      <c r="LT20" s="87"/>
      <c r="LU20" s="87"/>
      <c r="LV20" s="87"/>
      <c r="LW20" s="87"/>
      <c r="LX20" s="87"/>
      <c r="LY20" s="87"/>
      <c r="LZ20" s="87"/>
      <c r="MA20" s="87"/>
      <c r="MB20" s="87"/>
      <c r="MC20" s="87"/>
      <c r="MD20" s="87"/>
      <c r="ME20" s="87"/>
      <c r="MF20" s="87"/>
      <c r="MG20" s="87"/>
      <c r="MH20" s="87"/>
      <c r="MI20" s="87"/>
      <c r="MJ20" s="87"/>
      <c r="MK20" s="87"/>
      <c r="ML20" s="87"/>
      <c r="MM20" s="87"/>
      <c r="MN20" s="87"/>
      <c r="MO20" s="87"/>
      <c r="MP20" s="87"/>
      <c r="MQ20" s="87"/>
      <c r="MR20" s="87"/>
      <c r="MS20" s="87"/>
      <c r="MT20" s="87"/>
      <c r="MU20" s="87"/>
      <c r="MV20" s="87"/>
      <c r="MW20" s="87"/>
      <c r="MX20" s="87"/>
      <c r="MY20" s="87"/>
      <c r="MZ20" s="87"/>
      <c r="NA20" s="87"/>
      <c r="NB20" s="87"/>
      <c r="NC20" s="87"/>
      <c r="ND20" s="87"/>
      <c r="NE20" s="87"/>
      <c r="NF20" s="87"/>
      <c r="NG20" s="87"/>
      <c r="NH20" s="87"/>
      <c r="NI20" s="87"/>
      <c r="NJ20" s="87"/>
      <c r="NK20" s="87"/>
      <c r="NL20" s="87"/>
      <c r="NM20" s="87"/>
      <c r="NN20" s="87"/>
      <c r="NO20" s="87"/>
      <c r="NP20" s="87"/>
      <c r="NQ20" s="87"/>
      <c r="NR20" s="87"/>
      <c r="NS20" s="87"/>
      <c r="NT20" s="87"/>
      <c r="NU20" s="87"/>
      <c r="NV20" s="87"/>
      <c r="NW20" s="87"/>
      <c r="NX20" s="87"/>
      <c r="NY20" s="87"/>
      <c r="NZ20" s="87"/>
      <c r="OA20" s="87"/>
      <c r="OB20" s="87"/>
      <c r="OC20" s="87"/>
      <c r="OD20" s="87"/>
      <c r="OE20" s="87"/>
      <c r="OF20" s="87"/>
      <c r="OG20" s="87"/>
      <c r="OH20" s="87"/>
      <c r="OI20" s="87"/>
      <c r="OJ20" s="87"/>
      <c r="OK20" s="87"/>
      <c r="OL20" s="87"/>
      <c r="OM20" s="87"/>
      <c r="ON20" s="87"/>
      <c r="OO20" s="87"/>
      <c r="OP20" s="87"/>
      <c r="OQ20" s="87"/>
      <c r="OR20" s="87"/>
      <c r="OS20" s="87"/>
      <c r="OT20" s="87"/>
      <c r="OU20" s="87"/>
      <c r="OV20" s="87"/>
      <c r="OW20" s="87"/>
      <c r="OX20" s="87"/>
      <c r="OY20" s="87"/>
      <c r="OZ20" s="87"/>
      <c r="PA20" s="87"/>
      <c r="PB20" s="87"/>
      <c r="PC20" s="87"/>
      <c r="PD20" s="87"/>
      <c r="PE20" s="87"/>
      <c r="PF20" s="87"/>
      <c r="PG20" s="87"/>
      <c r="PH20" s="87"/>
      <c r="PI20" s="87"/>
      <c r="PJ20" s="87"/>
      <c r="PK20" s="87"/>
      <c r="PL20" s="87"/>
      <c r="PM20" s="87"/>
      <c r="PN20" s="87"/>
      <c r="PO20" s="87"/>
      <c r="PP20" s="87"/>
      <c r="PQ20" s="87"/>
      <c r="PR20" s="87"/>
      <c r="PS20" s="87"/>
      <c r="PT20" s="87"/>
      <c r="PU20" s="87"/>
      <c r="PV20" s="87"/>
      <c r="PW20" s="87"/>
      <c r="PX20" s="87"/>
      <c r="PY20" s="87"/>
      <c r="PZ20" s="87"/>
      <c r="QA20" s="87"/>
      <c r="QB20" s="87"/>
      <c r="QC20" s="87"/>
      <c r="QD20" s="87"/>
      <c r="QE20" s="87"/>
      <c r="QF20" s="87"/>
      <c r="QG20" s="87"/>
      <c r="QH20" s="87"/>
      <c r="QI20" s="87"/>
      <c r="QJ20" s="87"/>
      <c r="QK20" s="87"/>
      <c r="QL20" s="87"/>
      <c r="QM20" s="87"/>
      <c r="QN20" s="87"/>
      <c r="QO20" s="87"/>
      <c r="QP20" s="87"/>
      <c r="QQ20" s="87"/>
      <c r="QR20" s="87"/>
      <c r="QS20" s="87"/>
      <c r="QT20" s="87"/>
      <c r="QU20" s="87"/>
      <c r="QV20" s="87"/>
      <c r="QW20" s="87"/>
      <c r="QX20" s="87"/>
      <c r="QY20" s="87"/>
      <c r="QZ20" s="87"/>
      <c r="RA20" s="87"/>
      <c r="RB20" s="87"/>
      <c r="RC20" s="87"/>
      <c r="RD20" s="87"/>
      <c r="RE20" s="87"/>
      <c r="RF20" s="87"/>
      <c r="RG20" s="87"/>
      <c r="RH20" s="87"/>
      <c r="RI20" s="87"/>
      <c r="RJ20" s="87"/>
      <c r="RK20" s="87"/>
      <c r="RL20" s="87"/>
      <c r="RM20" s="87"/>
      <c r="RN20" s="87"/>
      <c r="RO20" s="87"/>
      <c r="RP20" s="87"/>
      <c r="RQ20" s="87"/>
      <c r="RR20" s="87"/>
      <c r="RS20" s="87"/>
      <c r="RT20" s="87"/>
      <c r="RU20" s="87"/>
      <c r="RV20" s="87"/>
      <c r="RW20" s="87"/>
      <c r="RX20" s="87"/>
      <c r="RY20" s="87"/>
      <c r="RZ20" s="87"/>
      <c r="SA20" s="87"/>
      <c r="SB20" s="87"/>
      <c r="SC20" s="87"/>
      <c r="SD20" s="87"/>
      <c r="SE20" s="87"/>
      <c r="SF20" s="87"/>
      <c r="SG20" s="87"/>
      <c r="SH20" s="87"/>
      <c r="SI20" s="87"/>
      <c r="SJ20" s="87"/>
      <c r="SK20" s="87"/>
      <c r="SL20" s="87"/>
      <c r="SM20" s="87"/>
      <c r="SN20" s="87"/>
      <c r="SO20" s="87"/>
      <c r="SP20" s="87"/>
      <c r="SQ20" s="87"/>
      <c r="SR20" s="87"/>
      <c r="SS20" s="87"/>
      <c r="ST20" s="87"/>
      <c r="SU20" s="87"/>
      <c r="SV20" s="87"/>
      <c r="SW20" s="87"/>
      <c r="SX20" s="87"/>
      <c r="SY20" s="87"/>
      <c r="SZ20" s="87"/>
      <c r="TA20" s="87"/>
      <c r="TB20" s="87"/>
      <c r="TC20" s="87"/>
      <c r="TD20" s="87"/>
      <c r="TE20" s="87"/>
      <c r="TF20" s="87"/>
      <c r="TG20" s="87"/>
      <c r="TH20" s="87"/>
      <c r="TI20" s="87"/>
      <c r="TJ20" s="87"/>
      <c r="TK20" s="87"/>
      <c r="TL20" s="87"/>
      <c r="TM20" s="87"/>
      <c r="TN20" s="87"/>
      <c r="TO20" s="87"/>
      <c r="TP20" s="87"/>
      <c r="TQ20" s="87"/>
      <c r="TR20" s="87"/>
      <c r="TS20" s="87"/>
      <c r="TT20" s="87"/>
      <c r="TU20" s="87"/>
      <c r="TV20" s="87"/>
      <c r="TW20" s="87"/>
      <c r="TX20" s="87"/>
      <c r="TY20" s="87"/>
      <c r="TZ20" s="87"/>
      <c r="UA20" s="87"/>
      <c r="UB20" s="87"/>
      <c r="UC20" s="87"/>
      <c r="UD20" s="87"/>
      <c r="UE20" s="87"/>
      <c r="UF20" s="87"/>
      <c r="UG20" s="87"/>
      <c r="UH20" s="87"/>
      <c r="UI20" s="87"/>
      <c r="UJ20" s="87"/>
      <c r="UK20" s="87"/>
      <c r="UL20" s="87"/>
      <c r="UM20" s="87"/>
      <c r="UN20" s="87"/>
      <c r="UO20" s="87"/>
      <c r="UP20" s="87"/>
      <c r="UQ20" s="87"/>
      <c r="UR20" s="87"/>
      <c r="US20" s="87"/>
      <c r="UT20" s="87"/>
      <c r="UU20" s="87"/>
      <c r="UV20" s="87"/>
      <c r="UW20" s="87"/>
      <c r="UX20" s="87"/>
      <c r="UY20" s="87"/>
      <c r="UZ20" s="87"/>
      <c r="VA20" s="87"/>
      <c r="VB20" s="87"/>
      <c r="VC20" s="87"/>
      <c r="VD20" s="87"/>
      <c r="VE20" s="87"/>
      <c r="VF20" s="87"/>
      <c r="VG20" s="87"/>
      <c r="VH20" s="87"/>
      <c r="VI20" s="87"/>
      <c r="VJ20" s="87"/>
      <c r="VK20" s="87"/>
      <c r="VL20" s="87"/>
      <c r="VM20" s="87"/>
      <c r="VN20" s="87"/>
      <c r="VO20" s="87"/>
      <c r="VP20" s="87"/>
      <c r="VQ20" s="87"/>
      <c r="VR20" s="87"/>
      <c r="VS20" s="87"/>
      <c r="VT20" s="87"/>
      <c r="VU20" s="87"/>
      <c r="VV20" s="87"/>
      <c r="VW20" s="87"/>
      <c r="VX20" s="87"/>
      <c r="VY20" s="87"/>
      <c r="VZ20" s="87"/>
      <c r="WA20" s="87"/>
      <c r="WB20" s="87"/>
      <c r="WC20" s="87"/>
      <c r="WD20" s="87"/>
      <c r="WE20" s="87"/>
      <c r="WF20" s="87"/>
      <c r="WG20" s="87"/>
      <c r="WH20" s="87"/>
      <c r="WI20" s="87"/>
      <c r="WJ20" s="87"/>
      <c r="WK20" s="87"/>
      <c r="WL20" s="87"/>
      <c r="WM20" s="87"/>
      <c r="WN20" s="87"/>
      <c r="WO20" s="87"/>
      <c r="WP20" s="87"/>
      <c r="WQ20" s="87"/>
      <c r="WR20" s="87"/>
      <c r="WS20" s="87"/>
      <c r="WT20" s="87"/>
      <c r="WU20" s="87"/>
      <c r="WV20" s="87"/>
      <c r="WW20" s="87"/>
      <c r="WX20" s="87"/>
      <c r="WY20" s="87"/>
      <c r="WZ20" s="87"/>
      <c r="XA20" s="87"/>
      <c r="XB20" s="87"/>
      <c r="XC20" s="87"/>
      <c r="XD20" s="87"/>
      <c r="XE20" s="87"/>
      <c r="XF20" s="87"/>
      <c r="XG20" s="87"/>
      <c r="XH20" s="87"/>
      <c r="XI20" s="87"/>
      <c r="XJ20" s="87"/>
      <c r="XK20" s="87"/>
      <c r="XL20" s="87"/>
      <c r="XM20" s="87"/>
      <c r="XN20" s="87"/>
      <c r="XO20" s="87"/>
      <c r="XP20" s="87"/>
      <c r="XQ20" s="87"/>
      <c r="XR20" s="87"/>
      <c r="XS20" s="87"/>
      <c r="XT20" s="87"/>
      <c r="XU20" s="87"/>
      <c r="XV20" s="87"/>
      <c r="XW20" s="87"/>
      <c r="XX20" s="87"/>
      <c r="XY20" s="87"/>
      <c r="XZ20" s="87"/>
      <c r="YA20" s="87"/>
      <c r="YB20" s="87"/>
      <c r="YC20" s="87"/>
      <c r="YD20" s="87"/>
      <c r="YE20" s="87"/>
      <c r="YF20" s="87"/>
      <c r="YG20" s="87"/>
      <c r="YH20" s="87"/>
      <c r="YI20" s="87"/>
      <c r="YJ20" s="87"/>
      <c r="YK20" s="87"/>
      <c r="YL20" s="87"/>
      <c r="YM20" s="87"/>
      <c r="YN20" s="87"/>
      <c r="YO20" s="87"/>
      <c r="YP20" s="87"/>
      <c r="YQ20" s="87"/>
      <c r="YR20" s="87"/>
      <c r="YS20" s="87"/>
      <c r="YT20" s="87"/>
      <c r="YU20" s="87"/>
      <c r="YV20" s="87"/>
      <c r="YW20" s="87"/>
      <c r="YX20" s="87"/>
      <c r="YY20" s="87"/>
      <c r="YZ20" s="87"/>
      <c r="ZA20" s="87"/>
      <c r="ZB20" s="87"/>
      <c r="ZC20" s="87"/>
      <c r="ZD20" s="87"/>
      <c r="ZE20" s="87"/>
      <c r="ZF20" s="87"/>
      <c r="ZG20" s="87"/>
      <c r="ZH20" s="87"/>
      <c r="ZI20" s="87"/>
      <c r="ZJ20" s="87"/>
      <c r="ZK20" s="87"/>
      <c r="ZL20" s="87"/>
      <c r="ZM20" s="87"/>
      <c r="ZN20" s="87"/>
      <c r="ZO20" s="87"/>
      <c r="ZP20" s="87"/>
      <c r="ZQ20" s="87"/>
      <c r="ZR20" s="87"/>
      <c r="ZS20" s="87"/>
      <c r="ZT20" s="87"/>
      <c r="ZU20" s="87"/>
      <c r="ZV20" s="87"/>
      <c r="ZW20" s="87"/>
      <c r="ZX20" s="87"/>
      <c r="ZY20" s="87"/>
      <c r="ZZ20" s="87"/>
      <c r="AAA20" s="87"/>
      <c r="AAB20" s="87"/>
      <c r="AAC20" s="87"/>
      <c r="AAD20" s="87"/>
      <c r="AAE20" s="87"/>
      <c r="AAF20" s="87"/>
      <c r="AAG20" s="87"/>
      <c r="AAH20" s="87"/>
      <c r="AAI20" s="87"/>
      <c r="AAJ20" s="87"/>
      <c r="AAK20" s="87"/>
      <c r="AAL20" s="87"/>
      <c r="AAM20" s="87"/>
      <c r="AAN20" s="87"/>
      <c r="AAO20" s="87"/>
      <c r="AAP20" s="87"/>
      <c r="AAQ20" s="87"/>
      <c r="AAR20" s="87"/>
      <c r="AAS20" s="87"/>
      <c r="AAT20" s="87"/>
      <c r="AAU20" s="87"/>
      <c r="AAV20" s="87"/>
      <c r="AAW20" s="87"/>
      <c r="AAX20" s="87"/>
      <c r="AAY20" s="87"/>
      <c r="AAZ20" s="87"/>
      <c r="ABA20" s="87"/>
      <c r="ABB20" s="87"/>
      <c r="ABC20" s="87"/>
      <c r="ABD20" s="87"/>
      <c r="ABE20" s="87"/>
      <c r="ABF20" s="87"/>
      <c r="ABG20" s="87"/>
      <c r="ABH20" s="87"/>
      <c r="ABI20" s="87"/>
      <c r="ABJ20" s="87"/>
      <c r="ABK20" s="87"/>
      <c r="ABL20" s="87"/>
      <c r="ABM20" s="87"/>
      <c r="ABN20" s="87"/>
      <c r="ABO20" s="87"/>
      <c r="ABP20" s="87"/>
      <c r="ABQ20" s="87"/>
      <c r="ABR20" s="87"/>
      <c r="ABS20" s="87"/>
      <c r="ABT20" s="87"/>
      <c r="ABU20" s="87"/>
      <c r="ABV20" s="87"/>
      <c r="ABW20" s="87"/>
      <c r="ABX20" s="87"/>
      <c r="ABY20" s="87"/>
      <c r="ABZ20" s="87"/>
      <c r="ACA20" s="87"/>
      <c r="ACB20" s="87"/>
      <c r="ACC20" s="87"/>
      <c r="ACD20" s="87"/>
      <c r="ACE20" s="87"/>
      <c r="ACF20" s="87"/>
      <c r="ACG20" s="87"/>
      <c r="ACH20" s="87"/>
      <c r="ACI20" s="87"/>
      <c r="ACJ20" s="87"/>
      <c r="ACK20" s="87"/>
      <c r="ACL20" s="87"/>
      <c r="ACM20" s="87"/>
      <c r="ACN20" s="87"/>
      <c r="ACO20" s="87"/>
      <c r="ACP20" s="87"/>
      <c r="ACQ20" s="87"/>
      <c r="ACR20" s="87"/>
      <c r="ACS20" s="87"/>
      <c r="ACT20" s="87"/>
      <c r="ACU20" s="87"/>
      <c r="ACV20" s="87"/>
      <c r="ACW20" s="87"/>
      <c r="ACX20" s="87"/>
      <c r="ACY20" s="87"/>
      <c r="ACZ20" s="87"/>
      <c r="ADA20" s="87"/>
      <c r="ADB20" s="87"/>
      <c r="ADC20" s="87"/>
      <c r="ADD20" s="87"/>
      <c r="ADE20" s="87"/>
      <c r="ADF20" s="87"/>
      <c r="ADG20" s="87"/>
      <c r="ADH20" s="87"/>
      <c r="ADI20" s="87"/>
      <c r="ADJ20" s="87"/>
      <c r="ADK20" s="87"/>
      <c r="ADL20" s="87"/>
      <c r="ADM20" s="87"/>
      <c r="ADN20" s="87"/>
      <c r="ADO20" s="87"/>
      <c r="ADP20" s="87"/>
      <c r="ADQ20" s="87"/>
      <c r="ADR20" s="87"/>
      <c r="ADS20" s="87"/>
      <c r="ADT20" s="87"/>
      <c r="ADU20" s="87"/>
      <c r="ADV20" s="87"/>
      <c r="ADW20" s="87"/>
      <c r="ADX20" s="87"/>
      <c r="ADY20" s="87"/>
      <c r="ADZ20" s="87"/>
      <c r="AEA20" s="87"/>
      <c r="AEB20" s="87"/>
      <c r="AEC20" s="87"/>
      <c r="AED20" s="87"/>
      <c r="AEE20" s="87"/>
      <c r="AEF20" s="87"/>
      <c r="AEG20" s="87"/>
      <c r="AEH20" s="87"/>
      <c r="AEI20" s="87"/>
      <c r="AEJ20" s="87"/>
      <c r="AEK20" s="87"/>
      <c r="AEL20" s="87"/>
      <c r="AEM20" s="87"/>
      <c r="AEN20" s="87"/>
      <c r="AEO20" s="87"/>
      <c r="AEP20" s="87"/>
      <c r="AEQ20" s="87"/>
      <c r="AER20" s="87"/>
      <c r="AES20" s="87"/>
      <c r="AET20" s="87"/>
      <c r="AEU20" s="87"/>
      <c r="AEV20" s="87"/>
      <c r="AEW20" s="87"/>
      <c r="AEX20" s="87"/>
      <c r="AEY20" s="87"/>
      <c r="AEZ20" s="87"/>
      <c r="AFA20" s="87"/>
      <c r="AFB20" s="87"/>
      <c r="AFC20" s="87"/>
      <c r="AFD20" s="87"/>
      <c r="AFE20" s="87"/>
      <c r="AFF20" s="87"/>
      <c r="AFG20" s="87"/>
      <c r="AFH20" s="87"/>
      <c r="AFI20" s="87"/>
      <c r="AFJ20" s="87"/>
      <c r="AFK20" s="87"/>
      <c r="AFL20" s="87"/>
      <c r="AFM20" s="87"/>
      <c r="AFN20" s="87"/>
      <c r="AFO20" s="87"/>
      <c r="AFP20" s="87"/>
      <c r="AFQ20" s="87"/>
      <c r="AFR20" s="87"/>
      <c r="AFS20" s="87"/>
      <c r="AFT20" s="87"/>
      <c r="AFU20" s="87"/>
      <c r="AFV20" s="87"/>
      <c r="AFW20" s="87"/>
      <c r="AFX20" s="87"/>
      <c r="AFY20" s="87"/>
      <c r="AFZ20" s="87"/>
      <c r="AGA20" s="87"/>
      <c r="AGB20" s="87"/>
      <c r="AGC20" s="87"/>
      <c r="AGD20" s="87"/>
      <c r="AGE20" s="87"/>
      <c r="AGF20" s="87"/>
      <c r="AGG20" s="87"/>
      <c r="AGH20" s="87"/>
      <c r="AGI20" s="87"/>
      <c r="AGJ20" s="87"/>
      <c r="AGK20" s="87"/>
      <c r="AGL20" s="87"/>
      <c r="AGM20" s="87"/>
      <c r="AGN20" s="87"/>
      <c r="AGO20" s="87"/>
      <c r="AGP20" s="87"/>
      <c r="AGQ20" s="87"/>
      <c r="AGR20" s="87"/>
      <c r="AGS20" s="87"/>
      <c r="AGT20" s="87"/>
      <c r="AGU20" s="87"/>
      <c r="AGV20" s="87"/>
      <c r="AGW20" s="87"/>
      <c r="AGX20" s="87"/>
      <c r="AGY20" s="87"/>
      <c r="AGZ20" s="87"/>
      <c r="AHA20" s="87"/>
      <c r="AHB20" s="87"/>
      <c r="AHC20" s="87"/>
      <c r="AHD20" s="87"/>
      <c r="AHE20" s="87"/>
      <c r="AHF20" s="87"/>
      <c r="AHG20" s="87"/>
      <c r="AHH20" s="87"/>
      <c r="AHI20" s="87"/>
      <c r="AHJ20" s="87"/>
      <c r="AHK20" s="87"/>
      <c r="AHL20" s="87"/>
      <c r="AHM20" s="87"/>
      <c r="AHN20" s="87"/>
      <c r="AHO20" s="87"/>
      <c r="AHP20" s="87"/>
      <c r="AHQ20" s="87"/>
      <c r="AHR20" s="87"/>
      <c r="AHS20" s="87"/>
      <c r="AHT20" s="87"/>
      <c r="AHU20" s="87"/>
      <c r="AHV20" s="87"/>
      <c r="AHW20" s="87"/>
      <c r="AHX20" s="87"/>
      <c r="AHY20" s="87"/>
      <c r="AHZ20" s="87"/>
      <c r="AIA20" s="87"/>
      <c r="AIB20" s="87"/>
      <c r="AIC20" s="87"/>
      <c r="AID20" s="87"/>
      <c r="AIE20" s="87"/>
      <c r="AIF20" s="87"/>
      <c r="AIG20" s="87"/>
      <c r="AIH20" s="87"/>
      <c r="AII20" s="87"/>
      <c r="AIJ20" s="87"/>
      <c r="AIK20" s="87"/>
      <c r="AIL20" s="87"/>
      <c r="AIM20" s="87"/>
      <c r="AIN20" s="87"/>
      <c r="AIO20" s="87"/>
      <c r="AIP20" s="87"/>
      <c r="AIQ20" s="87"/>
      <c r="AIR20" s="87"/>
      <c r="AIS20" s="87"/>
      <c r="AIT20" s="87"/>
      <c r="AIU20" s="87"/>
      <c r="AIV20" s="87"/>
      <c r="AIW20" s="87"/>
      <c r="AIX20" s="87"/>
      <c r="AIY20" s="87"/>
      <c r="AIZ20" s="87"/>
      <c r="AJA20" s="87"/>
      <c r="AJB20" s="87"/>
      <c r="AJC20" s="87"/>
      <c r="AJD20" s="87"/>
      <c r="AJE20" s="87"/>
      <c r="AJF20" s="87"/>
      <c r="AJG20" s="87"/>
      <c r="AJH20" s="87"/>
      <c r="AJI20" s="87"/>
      <c r="AJJ20" s="87"/>
      <c r="AJK20" s="87"/>
      <c r="AJL20" s="87"/>
      <c r="AJM20" s="87"/>
      <c r="AJN20" s="87"/>
      <c r="AJO20" s="87"/>
      <c r="AJP20" s="87"/>
      <c r="AJQ20" s="87"/>
      <c r="AJR20" s="87"/>
      <c r="AJS20" s="87"/>
      <c r="AJT20" s="87"/>
      <c r="AJU20" s="87"/>
      <c r="AJV20" s="87"/>
      <c r="AJW20" s="87"/>
      <c r="AJX20" s="87"/>
      <c r="AJY20" s="87"/>
      <c r="AJZ20" s="87"/>
      <c r="AKA20" s="87"/>
      <c r="AKB20" s="87"/>
      <c r="AKC20" s="87"/>
      <c r="AKD20" s="87"/>
      <c r="AKE20" s="87"/>
      <c r="AKF20" s="87"/>
      <c r="AKG20" s="87"/>
      <c r="AKH20" s="87"/>
      <c r="AKI20" s="87"/>
      <c r="AKJ20" s="87"/>
      <c r="AKK20" s="87"/>
      <c r="AKL20" s="87"/>
      <c r="AKM20" s="87"/>
      <c r="AKN20" s="87"/>
      <c r="AKO20" s="87"/>
      <c r="AKP20" s="87"/>
      <c r="AKQ20" s="87"/>
      <c r="AKR20" s="87"/>
      <c r="AKS20" s="87"/>
      <c r="AKT20" s="87"/>
      <c r="AKU20" s="87"/>
      <c r="AKV20" s="87"/>
      <c r="AKW20" s="87"/>
      <c r="AKX20" s="87"/>
      <c r="AKY20" s="87"/>
      <c r="AKZ20" s="87"/>
      <c r="ALA20" s="87"/>
      <c r="ALB20" s="87"/>
      <c r="ALC20" s="87"/>
      <c r="ALD20" s="87"/>
      <c r="ALE20" s="87"/>
      <c r="ALF20" s="87"/>
      <c r="ALG20" s="87"/>
      <c r="ALH20" s="87"/>
      <c r="ALI20" s="87"/>
      <c r="ALJ20" s="87"/>
      <c r="ALK20" s="87"/>
      <c r="ALL20" s="87"/>
      <c r="ALM20" s="87"/>
      <c r="ALN20" s="87"/>
      <c r="ALO20" s="87"/>
      <c r="ALP20" s="87"/>
      <c r="ALQ20" s="87"/>
      <c r="ALR20" s="87"/>
      <c r="ALS20" s="87"/>
      <c r="ALT20" s="87"/>
      <c r="ALU20" s="87"/>
      <c r="ALV20" s="87"/>
      <c r="ALW20" s="87"/>
      <c r="ALX20" s="87"/>
      <c r="ALY20" s="87"/>
      <c r="ALZ20" s="87"/>
      <c r="AMA20" s="87"/>
      <c r="AMB20" s="87"/>
      <c r="AMC20" s="87"/>
      <c r="AMD20" s="87"/>
      <c r="AME20" s="87"/>
      <c r="AMF20" s="87"/>
      <c r="AMG20" s="87"/>
      <c r="AMH20" s="87"/>
      <c r="AMI20" s="87"/>
      <c r="AMJ20" s="87"/>
      <c r="AMK20" s="87"/>
      <c r="AML20" s="87"/>
      <c r="AMM20" s="87"/>
      <c r="AMN20" s="87"/>
      <c r="AMO20" s="87"/>
      <c r="AMP20" s="87"/>
      <c r="AMQ20" s="87"/>
      <c r="AMR20" s="87"/>
      <c r="AMS20" s="87"/>
      <c r="AMT20" s="87"/>
      <c r="AMU20" s="87"/>
      <c r="AMV20" s="87"/>
      <c r="AMW20" s="87"/>
      <c r="AMX20" s="87"/>
      <c r="AMY20" s="87"/>
      <c r="AMZ20" s="87"/>
      <c r="ANA20" s="87"/>
      <c r="ANB20" s="87"/>
      <c r="ANC20" s="87"/>
      <c r="AND20" s="87"/>
      <c r="ANE20" s="87"/>
      <c r="ANF20" s="87"/>
      <c r="ANG20" s="87"/>
      <c r="ANH20" s="87"/>
      <c r="ANI20" s="87"/>
      <c r="ANJ20" s="87"/>
      <c r="ANK20" s="87"/>
      <c r="ANL20" s="87"/>
      <c r="ANM20" s="87"/>
      <c r="ANN20" s="87"/>
      <c r="ANO20" s="87"/>
      <c r="ANP20" s="87"/>
      <c r="ANQ20" s="87"/>
      <c r="ANR20" s="87"/>
      <c r="ANS20" s="87"/>
      <c r="ANT20" s="87"/>
      <c r="ANU20" s="87"/>
      <c r="ANV20" s="87"/>
      <c r="ANW20" s="87"/>
      <c r="ANX20" s="87"/>
      <c r="ANY20" s="87"/>
      <c r="ANZ20" s="87"/>
      <c r="AOA20" s="87"/>
      <c r="AOB20" s="87"/>
      <c r="AOC20" s="87"/>
      <c r="AOD20" s="87"/>
      <c r="AOE20" s="87"/>
      <c r="AOF20" s="87"/>
      <c r="AOG20" s="87"/>
      <c r="AOH20" s="87"/>
      <c r="AOI20" s="87"/>
      <c r="AOJ20" s="87"/>
      <c r="AOK20" s="87"/>
      <c r="AOL20" s="87"/>
      <c r="AOM20" s="87"/>
      <c r="AON20" s="87"/>
      <c r="AOO20" s="87"/>
      <c r="AOP20" s="87"/>
      <c r="AOQ20" s="87"/>
      <c r="AOR20" s="87"/>
      <c r="AOS20" s="87"/>
      <c r="AOT20" s="87"/>
      <c r="AOU20" s="87"/>
      <c r="AOV20" s="87"/>
      <c r="AOW20" s="87"/>
      <c r="AOX20" s="87"/>
      <c r="AOY20" s="87"/>
      <c r="AOZ20" s="87"/>
      <c r="APA20" s="87"/>
      <c r="APB20" s="87"/>
      <c r="APC20" s="87"/>
      <c r="APD20" s="87"/>
      <c r="APE20" s="87"/>
      <c r="APF20" s="87"/>
      <c r="APG20" s="87"/>
      <c r="APH20" s="87"/>
      <c r="API20" s="87"/>
      <c r="APJ20" s="87"/>
      <c r="APK20" s="87"/>
      <c r="APL20" s="87"/>
      <c r="APM20" s="87"/>
      <c r="APN20" s="87"/>
      <c r="APO20" s="87"/>
      <c r="APP20" s="87"/>
      <c r="APQ20" s="87"/>
      <c r="APR20" s="87"/>
      <c r="APS20" s="87"/>
      <c r="APT20" s="87"/>
      <c r="APU20" s="87"/>
      <c r="APV20" s="87"/>
      <c r="APW20" s="87"/>
      <c r="APX20" s="87"/>
      <c r="APY20" s="87"/>
      <c r="APZ20" s="87"/>
      <c r="AQA20" s="87"/>
      <c r="AQB20" s="87"/>
      <c r="AQC20" s="87"/>
      <c r="AQD20" s="87"/>
      <c r="AQE20" s="87"/>
      <c r="AQF20" s="87"/>
      <c r="AQG20" s="87"/>
      <c r="AQH20" s="87"/>
      <c r="AQI20" s="87"/>
      <c r="AQJ20" s="87"/>
      <c r="AQK20" s="87"/>
      <c r="AQL20" s="87"/>
      <c r="AQM20" s="87"/>
      <c r="AQN20" s="87"/>
      <c r="AQO20" s="87"/>
      <c r="AQP20" s="87"/>
      <c r="AQQ20" s="87"/>
      <c r="AQR20" s="87"/>
      <c r="AQS20" s="87"/>
      <c r="AQT20" s="87"/>
      <c r="AQU20" s="87"/>
      <c r="AQV20" s="87"/>
      <c r="AQW20" s="87"/>
      <c r="AQX20" s="87"/>
      <c r="AQY20" s="87"/>
      <c r="AQZ20" s="87"/>
      <c r="ARA20" s="87"/>
      <c r="ARB20" s="87"/>
      <c r="ARC20" s="87"/>
      <c r="ARD20" s="87"/>
      <c r="ARE20" s="87"/>
      <c r="ARF20" s="87"/>
      <c r="ARG20" s="87"/>
      <c r="ARH20" s="87"/>
      <c r="ARI20" s="87"/>
      <c r="ARJ20" s="87"/>
      <c r="ARK20" s="87"/>
      <c r="ARL20" s="87"/>
      <c r="ARM20" s="87"/>
      <c r="ARN20" s="87"/>
      <c r="ARO20" s="87"/>
      <c r="ARP20" s="87"/>
      <c r="ARQ20" s="87"/>
      <c r="ARR20" s="87"/>
      <c r="ARS20" s="87"/>
      <c r="ART20" s="87"/>
      <c r="ARU20" s="87"/>
      <c r="ARV20" s="87"/>
      <c r="ARW20" s="87"/>
      <c r="ARX20" s="87"/>
      <c r="ARY20" s="87"/>
      <c r="ARZ20" s="87"/>
      <c r="ASA20" s="87"/>
      <c r="ASB20" s="87"/>
      <c r="ASC20" s="87"/>
      <c r="ASD20" s="87"/>
      <c r="ASE20" s="87"/>
      <c r="ASF20" s="87"/>
      <c r="ASG20" s="87"/>
      <c r="ASH20" s="87"/>
      <c r="ASI20" s="87"/>
      <c r="ASJ20" s="87"/>
      <c r="ASK20" s="87"/>
      <c r="ASL20" s="87"/>
      <c r="ASM20" s="87"/>
      <c r="ASN20" s="87"/>
      <c r="ASO20" s="87"/>
      <c r="ASP20" s="87"/>
      <c r="ASQ20" s="87"/>
      <c r="ASR20" s="87"/>
      <c r="ASS20" s="87"/>
      <c r="AST20" s="87"/>
      <c r="ASU20" s="87"/>
      <c r="ASV20" s="87"/>
      <c r="ASW20" s="87"/>
      <c r="ASX20" s="87"/>
      <c r="ASY20" s="87"/>
      <c r="ASZ20" s="87"/>
      <c r="ATA20" s="87"/>
      <c r="ATB20" s="87"/>
      <c r="ATC20" s="87"/>
      <c r="ATD20" s="87"/>
      <c r="ATE20" s="87"/>
      <c r="ATF20" s="87"/>
      <c r="ATG20" s="87"/>
      <c r="ATH20" s="87"/>
      <c r="ATI20" s="87"/>
      <c r="ATJ20" s="87"/>
      <c r="ATK20" s="87"/>
      <c r="ATL20" s="87"/>
      <c r="ATM20" s="87"/>
      <c r="ATN20" s="87"/>
      <c r="ATO20" s="87"/>
      <c r="ATP20" s="87"/>
      <c r="ATQ20" s="87"/>
      <c r="ATR20" s="87"/>
      <c r="ATS20" s="87"/>
      <c r="ATT20" s="87"/>
      <c r="ATU20" s="87"/>
      <c r="ATV20" s="87"/>
      <c r="ATW20" s="87"/>
      <c r="ATX20" s="87"/>
      <c r="ATY20" s="87"/>
      <c r="ATZ20" s="87"/>
      <c r="AUA20" s="87"/>
      <c r="AUB20" s="87"/>
      <c r="AUC20" s="87"/>
      <c r="AUD20" s="87"/>
      <c r="AUE20" s="87"/>
      <c r="AUF20" s="87"/>
      <c r="AUG20" s="87"/>
      <c r="AUH20" s="87"/>
      <c r="AUI20" s="87"/>
      <c r="AUJ20" s="87"/>
      <c r="AUK20" s="87"/>
      <c r="AUL20" s="87"/>
      <c r="AUM20" s="87"/>
      <c r="AUN20" s="87"/>
      <c r="AUO20" s="87"/>
      <c r="AUP20" s="87"/>
      <c r="AUQ20" s="87"/>
      <c r="AUR20" s="87"/>
      <c r="AUS20" s="87"/>
      <c r="AUT20" s="87"/>
      <c r="AUU20" s="87"/>
      <c r="AUV20" s="87"/>
      <c r="AUW20" s="87"/>
      <c r="AUX20" s="87"/>
      <c r="AUY20" s="87"/>
      <c r="AUZ20" s="87"/>
      <c r="AVA20" s="87"/>
      <c r="AVB20" s="87"/>
      <c r="AVC20" s="87"/>
      <c r="AVD20" s="87"/>
      <c r="AVE20" s="87"/>
      <c r="AVF20" s="87"/>
      <c r="AVG20" s="87"/>
      <c r="AVH20" s="87"/>
      <c r="AVI20" s="87"/>
      <c r="AVJ20" s="87"/>
      <c r="AVK20" s="87"/>
      <c r="AVL20" s="87"/>
      <c r="AVM20" s="87"/>
      <c r="AVN20" s="87"/>
      <c r="AVO20" s="87"/>
      <c r="AVP20" s="87"/>
      <c r="AVQ20" s="87"/>
      <c r="AVR20" s="87"/>
      <c r="AVS20" s="87"/>
      <c r="AVT20" s="87"/>
      <c r="AVU20" s="87"/>
      <c r="AVV20" s="87"/>
      <c r="AVW20" s="87"/>
      <c r="AVX20" s="87"/>
      <c r="AVY20" s="87"/>
      <c r="AVZ20" s="87"/>
      <c r="AWA20" s="87"/>
      <c r="AWB20" s="87"/>
      <c r="AWC20" s="87"/>
      <c r="AWD20" s="87"/>
      <c r="AWE20" s="87"/>
      <c r="AWF20" s="87"/>
      <c r="AWG20" s="87"/>
      <c r="AWH20" s="87"/>
      <c r="AWI20" s="87"/>
      <c r="AWJ20" s="87"/>
      <c r="AWK20" s="87"/>
      <c r="AWL20" s="87"/>
      <c r="AWM20" s="87"/>
      <c r="AWN20" s="87"/>
      <c r="AWO20" s="87"/>
      <c r="AWP20" s="87"/>
      <c r="AWQ20" s="87"/>
      <c r="AWR20" s="87"/>
      <c r="AWS20" s="87"/>
      <c r="AWT20" s="87"/>
      <c r="AWU20" s="87"/>
      <c r="AWV20" s="87"/>
      <c r="AWW20" s="87"/>
      <c r="AWX20" s="87"/>
      <c r="AWY20" s="87"/>
      <c r="AWZ20" s="87"/>
      <c r="AXA20" s="87"/>
      <c r="AXB20" s="87"/>
      <c r="AXC20" s="87"/>
      <c r="AXD20" s="87"/>
      <c r="AXE20" s="87"/>
      <c r="AXF20" s="87"/>
      <c r="AXG20" s="87"/>
      <c r="AXH20" s="87"/>
      <c r="AXI20" s="87"/>
      <c r="AXJ20" s="87"/>
      <c r="AXK20" s="87"/>
      <c r="AXL20" s="87"/>
      <c r="AXM20" s="87"/>
      <c r="AXN20" s="87"/>
      <c r="AXO20" s="87"/>
      <c r="AXP20" s="87"/>
      <c r="AXQ20" s="87"/>
      <c r="AXR20" s="87"/>
      <c r="AXS20" s="87"/>
      <c r="AXT20" s="87"/>
      <c r="AXU20" s="87"/>
      <c r="AXV20" s="87"/>
      <c r="AXW20" s="87"/>
      <c r="AXX20" s="87"/>
      <c r="AXY20" s="87"/>
      <c r="AXZ20" s="87"/>
      <c r="AYA20" s="87"/>
      <c r="AYB20" s="87"/>
      <c r="AYC20" s="87"/>
      <c r="AYD20" s="87"/>
      <c r="AYE20" s="87"/>
      <c r="AYF20" s="87"/>
      <c r="AYG20" s="87"/>
      <c r="AYH20" s="87"/>
      <c r="AYI20" s="87"/>
      <c r="AYJ20" s="87"/>
      <c r="AYK20" s="87"/>
      <c r="AYL20" s="87"/>
      <c r="AYM20" s="87"/>
      <c r="AYN20" s="87"/>
      <c r="AYO20" s="87"/>
      <c r="AYP20" s="87"/>
      <c r="AYQ20" s="87"/>
      <c r="AYR20" s="87"/>
      <c r="AYS20" s="87"/>
      <c r="AYT20" s="87"/>
      <c r="AYU20" s="87"/>
      <c r="AYV20" s="87"/>
      <c r="AYW20" s="87"/>
      <c r="AYX20" s="87"/>
      <c r="AYY20" s="87"/>
      <c r="AYZ20" s="87"/>
      <c r="AZA20" s="87"/>
      <c r="AZB20" s="87"/>
      <c r="AZC20" s="87"/>
      <c r="AZD20" s="87"/>
      <c r="AZE20" s="87"/>
      <c r="AZF20" s="87"/>
      <c r="AZG20" s="87"/>
      <c r="AZH20" s="87"/>
      <c r="AZI20" s="87"/>
      <c r="AZJ20" s="87"/>
      <c r="AZK20" s="87"/>
      <c r="AZL20" s="87"/>
      <c r="AZM20" s="87"/>
      <c r="AZN20" s="87"/>
      <c r="AZO20" s="87"/>
      <c r="AZP20" s="87"/>
      <c r="AZQ20" s="87"/>
      <c r="AZR20" s="87"/>
      <c r="AZS20" s="87"/>
      <c r="AZT20" s="87"/>
      <c r="AZU20" s="87"/>
      <c r="AZV20" s="87"/>
      <c r="AZW20" s="87"/>
      <c r="AZX20" s="87"/>
      <c r="AZY20" s="87"/>
      <c r="AZZ20" s="87"/>
      <c r="BAA20" s="87"/>
      <c r="BAB20" s="87"/>
      <c r="BAC20" s="87"/>
      <c r="BAD20" s="87"/>
      <c r="BAE20" s="87"/>
      <c r="BAF20" s="87"/>
      <c r="BAG20" s="87"/>
      <c r="BAH20" s="87"/>
      <c r="BAI20" s="87"/>
      <c r="BAJ20" s="87"/>
      <c r="BAK20" s="87"/>
      <c r="BAL20" s="87"/>
      <c r="BAM20" s="87"/>
      <c r="BAN20" s="87"/>
      <c r="BAO20" s="87"/>
      <c r="BAP20" s="87"/>
      <c r="BAQ20" s="87"/>
      <c r="BAR20" s="87"/>
      <c r="BAS20" s="87"/>
      <c r="BAT20" s="87"/>
      <c r="BAU20" s="87"/>
      <c r="BAV20" s="87"/>
      <c r="BAW20" s="87"/>
      <c r="BAX20" s="87"/>
      <c r="BAY20" s="87"/>
      <c r="BAZ20" s="87"/>
      <c r="BBA20" s="87"/>
      <c r="BBB20" s="87"/>
      <c r="BBC20" s="87"/>
      <c r="BBD20" s="87"/>
      <c r="BBE20" s="87"/>
      <c r="BBF20" s="87"/>
      <c r="BBG20" s="87"/>
      <c r="BBH20" s="87"/>
      <c r="BBI20" s="87"/>
      <c r="BBJ20" s="87"/>
      <c r="BBK20" s="87"/>
      <c r="BBL20" s="87"/>
      <c r="BBM20" s="87"/>
      <c r="BBN20" s="87"/>
      <c r="BBO20" s="87"/>
      <c r="BBP20" s="87"/>
      <c r="BBQ20" s="87"/>
      <c r="BBR20" s="87"/>
      <c r="BBS20" s="87"/>
      <c r="BBT20" s="87"/>
      <c r="BBU20" s="87"/>
      <c r="BBV20" s="87"/>
      <c r="BBW20" s="87"/>
      <c r="BBX20" s="87"/>
      <c r="BBY20" s="87"/>
      <c r="BBZ20" s="87"/>
      <c r="BCA20" s="87"/>
      <c r="BCB20" s="87"/>
      <c r="BCC20" s="87"/>
      <c r="BCD20" s="87"/>
      <c r="BCE20" s="87"/>
      <c r="BCF20" s="87"/>
      <c r="BCG20" s="87"/>
      <c r="BCH20" s="87"/>
      <c r="BCI20" s="87"/>
      <c r="BCJ20" s="87"/>
      <c r="BCK20" s="87"/>
      <c r="BCL20" s="87"/>
      <c r="BCM20" s="87"/>
      <c r="BCN20" s="87"/>
      <c r="BCO20" s="87"/>
      <c r="BCP20" s="87"/>
      <c r="BCQ20" s="87"/>
      <c r="BCR20" s="87"/>
      <c r="BCS20" s="87"/>
      <c r="BCT20" s="87"/>
      <c r="BCU20" s="87"/>
      <c r="BCV20" s="87"/>
      <c r="BCW20" s="87"/>
      <c r="BCX20" s="87"/>
      <c r="BCY20" s="87"/>
      <c r="BCZ20" s="87"/>
      <c r="BDA20" s="87"/>
      <c r="BDB20" s="87"/>
      <c r="BDC20" s="87"/>
      <c r="BDD20" s="87"/>
      <c r="BDE20" s="87"/>
      <c r="BDF20" s="87"/>
      <c r="BDG20" s="87"/>
      <c r="BDH20" s="87"/>
      <c r="BDI20" s="87"/>
      <c r="BDJ20" s="87"/>
      <c r="BDK20" s="87"/>
      <c r="BDL20" s="87"/>
      <c r="BDM20" s="87"/>
      <c r="BDN20" s="87"/>
      <c r="BDO20" s="87"/>
      <c r="BDP20" s="87"/>
      <c r="BDQ20" s="87"/>
      <c r="BDR20" s="87"/>
      <c r="BDS20" s="87"/>
      <c r="BDT20" s="87"/>
      <c r="BDU20" s="87"/>
      <c r="BDV20" s="87"/>
      <c r="BDW20" s="87"/>
      <c r="BDX20" s="87"/>
      <c r="BDY20" s="87"/>
      <c r="BDZ20" s="87"/>
      <c r="BEA20" s="87"/>
      <c r="BEB20" s="87"/>
      <c r="BEC20" s="87"/>
      <c r="BED20" s="87"/>
      <c r="BEE20" s="87"/>
      <c r="BEF20" s="87"/>
      <c r="BEG20" s="87"/>
      <c r="BEH20" s="87"/>
      <c r="BEI20" s="87"/>
      <c r="BEJ20" s="87"/>
      <c r="BEK20" s="87"/>
    </row>
    <row r="21" spans="1:1493" customFormat="1" x14ac:dyDescent="0.25"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  <c r="ARC21" s="87"/>
      <c r="ARD21" s="87"/>
      <c r="ARE21" s="87"/>
      <c r="ARF21" s="87"/>
      <c r="ARG21" s="87"/>
      <c r="ARH21" s="87"/>
      <c r="ARI21" s="87"/>
      <c r="ARJ21" s="87"/>
      <c r="ARK21" s="87"/>
      <c r="ARL21" s="87"/>
      <c r="ARM21" s="87"/>
      <c r="ARN21" s="87"/>
      <c r="ARO21" s="87"/>
      <c r="ARP21" s="87"/>
      <c r="ARQ21" s="87"/>
      <c r="ARR21" s="87"/>
      <c r="ARS21" s="87"/>
      <c r="ART21" s="87"/>
      <c r="ARU21" s="87"/>
      <c r="ARV21" s="87"/>
      <c r="ARW21" s="87"/>
      <c r="ARX21" s="87"/>
      <c r="ARY21" s="87"/>
      <c r="ARZ21" s="87"/>
      <c r="ASA21" s="87"/>
      <c r="ASB21" s="87"/>
      <c r="ASC21" s="87"/>
      <c r="ASD21" s="87"/>
      <c r="ASE21" s="87"/>
      <c r="ASF21" s="87"/>
      <c r="ASG21" s="87"/>
      <c r="ASH21" s="87"/>
      <c r="ASI21" s="87"/>
      <c r="ASJ21" s="87"/>
      <c r="ASK21" s="87"/>
      <c r="ASL21" s="87"/>
      <c r="ASM21" s="87"/>
      <c r="ASN21" s="87"/>
      <c r="ASO21" s="87"/>
      <c r="ASP21" s="87"/>
      <c r="ASQ21" s="87"/>
      <c r="ASR21" s="87"/>
      <c r="ASS21" s="87"/>
      <c r="AST21" s="87"/>
      <c r="ASU21" s="87"/>
      <c r="ASV21" s="87"/>
      <c r="ASW21" s="87"/>
      <c r="ASX21" s="87"/>
      <c r="ASY21" s="87"/>
      <c r="ASZ21" s="87"/>
      <c r="ATA21" s="87"/>
      <c r="ATB21" s="87"/>
      <c r="ATC21" s="87"/>
      <c r="ATD21" s="87"/>
      <c r="ATE21" s="87"/>
      <c r="ATF21" s="87"/>
      <c r="ATG21" s="87"/>
      <c r="ATH21" s="87"/>
      <c r="ATI21" s="87"/>
      <c r="ATJ21" s="87"/>
      <c r="ATK21" s="87"/>
      <c r="ATL21" s="87"/>
      <c r="ATM21" s="87"/>
      <c r="ATN21" s="87"/>
      <c r="ATO21" s="87"/>
      <c r="ATP21" s="87"/>
      <c r="ATQ21" s="87"/>
      <c r="ATR21" s="87"/>
      <c r="ATS21" s="87"/>
      <c r="ATT21" s="87"/>
      <c r="ATU21" s="87"/>
      <c r="ATV21" s="87"/>
      <c r="ATW21" s="87"/>
      <c r="ATX21" s="87"/>
      <c r="ATY21" s="87"/>
      <c r="ATZ21" s="87"/>
      <c r="AUA21" s="87"/>
      <c r="AUB21" s="87"/>
      <c r="AUC21" s="87"/>
      <c r="AUD21" s="87"/>
      <c r="AUE21" s="87"/>
      <c r="AUF21" s="87"/>
      <c r="AUG21" s="87"/>
      <c r="AUH21" s="87"/>
      <c r="AUI21" s="87"/>
      <c r="AUJ21" s="87"/>
      <c r="AUK21" s="87"/>
      <c r="AUL21" s="87"/>
      <c r="AUM21" s="87"/>
      <c r="AUN21" s="87"/>
      <c r="AUO21" s="87"/>
      <c r="AUP21" s="87"/>
      <c r="AUQ21" s="87"/>
      <c r="AUR21" s="87"/>
      <c r="AUS21" s="87"/>
      <c r="AUT21" s="87"/>
      <c r="AUU21" s="87"/>
      <c r="AUV21" s="87"/>
      <c r="AUW21" s="87"/>
      <c r="AUX21" s="87"/>
      <c r="AUY21" s="87"/>
      <c r="AUZ21" s="87"/>
      <c r="AVA21" s="87"/>
      <c r="AVB21" s="87"/>
      <c r="AVC21" s="87"/>
      <c r="AVD21" s="87"/>
      <c r="AVE21" s="87"/>
      <c r="AVF21" s="87"/>
      <c r="AVG21" s="87"/>
      <c r="AVH21" s="87"/>
      <c r="AVI21" s="87"/>
      <c r="AVJ21" s="87"/>
      <c r="AVK21" s="87"/>
      <c r="AVL21" s="87"/>
      <c r="AVM21" s="87"/>
      <c r="AVN21" s="87"/>
      <c r="AVO21" s="87"/>
      <c r="AVP21" s="87"/>
      <c r="AVQ21" s="87"/>
      <c r="AVR21" s="87"/>
      <c r="AVS21" s="87"/>
      <c r="AVT21" s="87"/>
      <c r="AVU21" s="87"/>
      <c r="AVV21" s="87"/>
      <c r="AVW21" s="87"/>
      <c r="AVX21" s="87"/>
      <c r="AVY21" s="87"/>
      <c r="AVZ21" s="87"/>
      <c r="AWA21" s="87"/>
      <c r="AWB21" s="87"/>
      <c r="AWC21" s="87"/>
      <c r="AWD21" s="87"/>
      <c r="AWE21" s="87"/>
      <c r="AWF21" s="87"/>
      <c r="AWG21" s="87"/>
      <c r="AWH21" s="87"/>
      <c r="AWI21" s="87"/>
      <c r="AWJ21" s="87"/>
      <c r="AWK21" s="87"/>
      <c r="AWL21" s="87"/>
      <c r="AWM21" s="87"/>
      <c r="AWN21" s="87"/>
      <c r="AWO21" s="87"/>
      <c r="AWP21" s="87"/>
      <c r="AWQ21" s="87"/>
      <c r="AWR21" s="87"/>
      <c r="AWS21" s="87"/>
      <c r="AWT21" s="87"/>
      <c r="AWU21" s="87"/>
      <c r="AWV21" s="87"/>
      <c r="AWW21" s="87"/>
      <c r="AWX21" s="87"/>
      <c r="AWY21" s="87"/>
      <c r="AWZ21" s="87"/>
      <c r="AXA21" s="87"/>
      <c r="AXB21" s="87"/>
      <c r="AXC21" s="87"/>
      <c r="AXD21" s="87"/>
      <c r="AXE21" s="87"/>
      <c r="AXF21" s="87"/>
      <c r="AXG21" s="87"/>
      <c r="AXH21" s="87"/>
      <c r="AXI21" s="87"/>
      <c r="AXJ21" s="87"/>
      <c r="AXK21" s="87"/>
      <c r="AXL21" s="87"/>
      <c r="AXM21" s="87"/>
      <c r="AXN21" s="87"/>
      <c r="AXO21" s="87"/>
      <c r="AXP21" s="87"/>
      <c r="AXQ21" s="87"/>
      <c r="AXR21" s="87"/>
      <c r="AXS21" s="87"/>
      <c r="AXT21" s="87"/>
      <c r="AXU21" s="87"/>
      <c r="AXV21" s="87"/>
      <c r="AXW21" s="87"/>
      <c r="AXX21" s="87"/>
      <c r="AXY21" s="87"/>
      <c r="AXZ21" s="87"/>
      <c r="AYA21" s="87"/>
      <c r="AYB21" s="87"/>
      <c r="AYC21" s="87"/>
      <c r="AYD21" s="87"/>
      <c r="AYE21" s="87"/>
      <c r="AYF21" s="87"/>
      <c r="AYG21" s="87"/>
      <c r="AYH21" s="87"/>
      <c r="AYI21" s="87"/>
      <c r="AYJ21" s="87"/>
      <c r="AYK21" s="87"/>
      <c r="AYL21" s="87"/>
      <c r="AYM21" s="87"/>
      <c r="AYN21" s="87"/>
      <c r="AYO21" s="87"/>
      <c r="AYP21" s="87"/>
      <c r="AYQ21" s="87"/>
      <c r="AYR21" s="87"/>
      <c r="AYS21" s="87"/>
      <c r="AYT21" s="87"/>
      <c r="AYU21" s="87"/>
      <c r="AYV21" s="87"/>
      <c r="AYW21" s="87"/>
      <c r="AYX21" s="87"/>
      <c r="AYY21" s="87"/>
      <c r="AYZ21" s="87"/>
      <c r="AZA21" s="87"/>
      <c r="AZB21" s="87"/>
      <c r="AZC21" s="87"/>
      <c r="AZD21" s="87"/>
      <c r="AZE21" s="87"/>
      <c r="AZF21" s="87"/>
      <c r="AZG21" s="87"/>
      <c r="AZH21" s="87"/>
      <c r="AZI21" s="87"/>
      <c r="AZJ21" s="87"/>
      <c r="AZK21" s="87"/>
      <c r="AZL21" s="87"/>
      <c r="AZM21" s="87"/>
      <c r="AZN21" s="87"/>
      <c r="AZO21" s="87"/>
      <c r="AZP21" s="87"/>
      <c r="AZQ21" s="87"/>
      <c r="AZR21" s="87"/>
      <c r="AZS21" s="87"/>
      <c r="AZT21" s="87"/>
      <c r="AZU21" s="87"/>
      <c r="AZV21" s="87"/>
      <c r="AZW21" s="87"/>
      <c r="AZX21" s="87"/>
      <c r="AZY21" s="87"/>
      <c r="AZZ21" s="87"/>
      <c r="BAA21" s="87"/>
      <c r="BAB21" s="87"/>
      <c r="BAC21" s="87"/>
      <c r="BAD21" s="87"/>
      <c r="BAE21" s="87"/>
      <c r="BAF21" s="87"/>
      <c r="BAG21" s="87"/>
      <c r="BAH21" s="87"/>
      <c r="BAI21" s="87"/>
      <c r="BAJ21" s="87"/>
      <c r="BAK21" s="87"/>
      <c r="BAL21" s="87"/>
      <c r="BAM21" s="87"/>
      <c r="BAN21" s="87"/>
      <c r="BAO21" s="87"/>
      <c r="BAP21" s="87"/>
      <c r="BAQ21" s="87"/>
      <c r="BAR21" s="87"/>
      <c r="BAS21" s="87"/>
      <c r="BAT21" s="87"/>
      <c r="BAU21" s="87"/>
      <c r="BAV21" s="87"/>
      <c r="BAW21" s="87"/>
      <c r="BAX21" s="87"/>
      <c r="BAY21" s="87"/>
      <c r="BAZ21" s="87"/>
      <c r="BBA21" s="87"/>
      <c r="BBB21" s="87"/>
      <c r="BBC21" s="87"/>
      <c r="BBD21" s="87"/>
      <c r="BBE21" s="87"/>
      <c r="BBF21" s="87"/>
      <c r="BBG21" s="87"/>
      <c r="BBH21" s="87"/>
      <c r="BBI21" s="87"/>
      <c r="BBJ21" s="87"/>
      <c r="BBK21" s="87"/>
      <c r="BBL21" s="87"/>
      <c r="BBM21" s="87"/>
      <c r="BBN21" s="87"/>
      <c r="BBO21" s="87"/>
      <c r="BBP21" s="87"/>
      <c r="BBQ21" s="87"/>
      <c r="BBR21" s="87"/>
      <c r="BBS21" s="87"/>
      <c r="BBT21" s="87"/>
      <c r="BBU21" s="87"/>
      <c r="BBV21" s="87"/>
      <c r="BBW21" s="87"/>
      <c r="BBX21" s="87"/>
      <c r="BBY21" s="87"/>
      <c r="BBZ21" s="87"/>
      <c r="BCA21" s="87"/>
      <c r="BCB21" s="87"/>
      <c r="BCC21" s="87"/>
      <c r="BCD21" s="87"/>
      <c r="BCE21" s="87"/>
      <c r="BCF21" s="87"/>
      <c r="BCG21" s="87"/>
      <c r="BCH21" s="87"/>
      <c r="BCI21" s="87"/>
      <c r="BCJ21" s="87"/>
      <c r="BCK21" s="87"/>
      <c r="BCL21" s="87"/>
      <c r="BCM21" s="87"/>
      <c r="BCN21" s="87"/>
      <c r="BCO21" s="87"/>
      <c r="BCP21" s="87"/>
      <c r="BCQ21" s="87"/>
      <c r="BCR21" s="87"/>
      <c r="BCS21" s="87"/>
      <c r="BCT21" s="87"/>
      <c r="BCU21" s="87"/>
      <c r="BCV21" s="87"/>
      <c r="BCW21" s="87"/>
      <c r="BCX21" s="87"/>
      <c r="BCY21" s="87"/>
      <c r="BCZ21" s="87"/>
      <c r="BDA21" s="87"/>
      <c r="BDB21" s="87"/>
      <c r="BDC21" s="87"/>
      <c r="BDD21" s="87"/>
      <c r="BDE21" s="87"/>
      <c r="BDF21" s="87"/>
      <c r="BDG21" s="87"/>
      <c r="BDH21" s="87"/>
      <c r="BDI21" s="87"/>
      <c r="BDJ21" s="87"/>
      <c r="BDK21" s="87"/>
      <c r="BDL21" s="87"/>
      <c r="BDM21" s="87"/>
      <c r="BDN21" s="87"/>
      <c r="BDO21" s="87"/>
      <c r="BDP21" s="87"/>
      <c r="BDQ21" s="87"/>
      <c r="BDR21" s="87"/>
      <c r="BDS21" s="87"/>
      <c r="BDT21" s="87"/>
      <c r="BDU21" s="87"/>
      <c r="BDV21" s="87"/>
      <c r="BDW21" s="87"/>
      <c r="BDX21" s="87"/>
      <c r="BDY21" s="87"/>
      <c r="BDZ21" s="87"/>
      <c r="BEA21" s="87"/>
      <c r="BEB21" s="87"/>
      <c r="BEC21" s="87"/>
      <c r="BED21" s="87"/>
      <c r="BEE21" s="87"/>
      <c r="BEF21" s="87"/>
      <c r="BEG21" s="87"/>
      <c r="BEH21" s="87"/>
      <c r="BEI21" s="87"/>
      <c r="BEJ21" s="87"/>
      <c r="BEK21" s="87"/>
    </row>
    <row r="25" spans="1:1493" customFormat="1" x14ac:dyDescent="0.25">
      <c r="BC25" s="87"/>
      <c r="BD25" s="87"/>
      <c r="BE25" s="87"/>
      <c r="BF25" s="87"/>
      <c r="BG25" s="87"/>
      <c r="BH25" s="87"/>
      <c r="BI25" s="87"/>
      <c r="BJ25" s="87"/>
      <c r="BK25" s="87"/>
      <c r="BL25" s="87"/>
      <c r="BM25" s="87"/>
      <c r="BN25" s="87"/>
      <c r="BO25" s="87"/>
      <c r="BP25" s="87"/>
      <c r="BQ25" s="87"/>
      <c r="BR25" s="87"/>
      <c r="BS25" s="87"/>
      <c r="BT25" s="87"/>
      <c r="BU25" s="87"/>
      <c r="BV25" s="87"/>
      <c r="BW25" s="87"/>
      <c r="BX25" s="87"/>
      <c r="BY25" s="87"/>
      <c r="BZ25" s="87"/>
      <c r="CA25" s="87"/>
      <c r="CB25" s="87"/>
      <c r="CC25" s="87"/>
      <c r="CD25" s="87"/>
      <c r="CE25" s="87"/>
      <c r="CF25" s="87"/>
      <c r="CG25" s="87"/>
      <c r="CH25" s="87"/>
      <c r="CI25" s="87"/>
      <c r="CJ25" s="87"/>
      <c r="CK25" s="87"/>
      <c r="CL25" s="87"/>
      <c r="CM25" s="87"/>
      <c r="CN25" s="87"/>
      <c r="CO25" s="87"/>
      <c r="CP25" s="87"/>
      <c r="CQ25" s="87"/>
      <c r="CR25" s="87"/>
      <c r="CS25" s="87"/>
      <c r="CT25" s="87"/>
      <c r="CU25" s="87"/>
      <c r="CV25" s="87"/>
      <c r="CW25" s="87"/>
      <c r="CX25" s="87"/>
      <c r="CY25" s="87"/>
      <c r="CZ25" s="87"/>
      <c r="DA25" s="87"/>
      <c r="DB25" s="87"/>
      <c r="DC25" s="87"/>
      <c r="DD25" s="87"/>
      <c r="DE25" s="87"/>
      <c r="DF25" s="87"/>
      <c r="DG25" s="87"/>
      <c r="DH25" s="87"/>
      <c r="DI25" s="87"/>
      <c r="DJ25" s="87"/>
      <c r="DK25" s="87"/>
      <c r="DL25" s="87"/>
      <c r="DM25" s="87"/>
      <c r="DN25" s="87"/>
      <c r="DO25" s="87"/>
      <c r="DP25" s="87"/>
      <c r="DQ25" s="87"/>
      <c r="DR25" s="87"/>
      <c r="DS25" s="87"/>
      <c r="DT25" s="87"/>
      <c r="DU25" s="87"/>
      <c r="DV25" s="87"/>
      <c r="DW25" s="87"/>
      <c r="DX25" s="87"/>
      <c r="DY25" s="87"/>
      <c r="DZ25" s="87"/>
      <c r="EA25" s="87"/>
      <c r="EB25" s="87"/>
      <c r="EC25" s="87"/>
      <c r="ED25" s="87"/>
      <c r="EE25" s="87"/>
      <c r="EF25" s="87"/>
      <c r="EG25" s="87"/>
      <c r="EH25" s="87"/>
      <c r="EI25" s="87"/>
      <c r="EJ25" s="87"/>
      <c r="EK25" s="87"/>
      <c r="EL25" s="87"/>
      <c r="EM25" s="87"/>
      <c r="EN25" s="87"/>
      <c r="EO25" s="87"/>
      <c r="EP25" s="87"/>
      <c r="EQ25" s="87"/>
      <c r="ER25" s="87"/>
      <c r="ES25" s="87"/>
      <c r="ET25" s="87"/>
      <c r="EU25" s="87"/>
      <c r="EV25" s="87"/>
      <c r="EW25" s="87"/>
      <c r="EX25" s="87"/>
      <c r="EY25" s="87"/>
      <c r="EZ25" s="87"/>
      <c r="FA25" s="87"/>
      <c r="FB25" s="87"/>
      <c r="FC25" s="87"/>
      <c r="FD25" s="87"/>
      <c r="FE25" s="87"/>
      <c r="FF25" s="87"/>
      <c r="FG25" s="87"/>
      <c r="FH25" s="87"/>
      <c r="FI25" s="87"/>
      <c r="FJ25" s="87"/>
      <c r="FK25" s="87"/>
      <c r="FL25" s="87"/>
      <c r="FM25" s="87"/>
      <c r="FN25" s="87"/>
      <c r="FO25" s="87"/>
      <c r="FP25" s="87"/>
      <c r="FQ25" s="87"/>
      <c r="FR25" s="87"/>
      <c r="FS25" s="87"/>
      <c r="FT25" s="87"/>
      <c r="FU25" s="87"/>
      <c r="FV25" s="87"/>
      <c r="FW25" s="87"/>
      <c r="FX25" s="87"/>
      <c r="FY25" s="87"/>
      <c r="FZ25" s="87"/>
      <c r="GA25" s="87"/>
      <c r="GB25" s="87"/>
      <c r="GC25" s="87"/>
      <c r="GD25" s="87"/>
      <c r="GE25" s="87"/>
      <c r="GF25" s="87"/>
      <c r="GG25" s="87"/>
      <c r="GH25" s="87"/>
      <c r="GI25" s="87"/>
      <c r="GJ25" s="87"/>
      <c r="GK25" s="87"/>
      <c r="GL25" s="87"/>
      <c r="GM25" s="87"/>
      <c r="GN25" s="87"/>
      <c r="GO25" s="87"/>
      <c r="GP25" s="87"/>
      <c r="GQ25" s="87"/>
      <c r="GR25" s="87"/>
      <c r="GS25" s="87"/>
      <c r="GT25" s="87"/>
      <c r="GU25" s="87"/>
      <c r="GV25" s="87"/>
      <c r="GW25" s="87"/>
      <c r="GX25" s="87"/>
      <c r="GY25" s="87"/>
      <c r="GZ25" s="87"/>
      <c r="HA25" s="87"/>
      <c r="HB25" s="87"/>
      <c r="HC25" s="87"/>
      <c r="HD25" s="87"/>
      <c r="HE25" s="87"/>
      <c r="HF25" s="87"/>
      <c r="HG25" s="87"/>
      <c r="HH25" s="87"/>
      <c r="HI25" s="87"/>
      <c r="HJ25" s="87"/>
      <c r="HK25" s="87"/>
      <c r="HL25" s="87"/>
      <c r="HM25" s="87"/>
      <c r="HN25" s="87"/>
      <c r="HO25" s="87"/>
      <c r="HP25" s="87"/>
      <c r="HQ25" s="87"/>
      <c r="HR25" s="87"/>
      <c r="HS25" s="87"/>
      <c r="HT25" s="87"/>
      <c r="HU25" s="87"/>
      <c r="HV25" s="87"/>
      <c r="HW25" s="87"/>
      <c r="HX25" s="87"/>
      <c r="HY25" s="87"/>
      <c r="HZ25" s="87"/>
      <c r="IA25" s="87"/>
      <c r="IB25" s="87"/>
      <c r="IC25" s="87"/>
      <c r="ID25" s="87"/>
      <c r="IE25" s="87"/>
      <c r="IF25" s="87"/>
      <c r="IG25" s="87"/>
      <c r="IH25" s="87"/>
      <c r="II25" s="87"/>
      <c r="IJ25" s="87"/>
      <c r="IK25" s="87"/>
      <c r="IL25" s="87"/>
      <c r="IM25" s="87"/>
      <c r="IN25" s="87"/>
      <c r="IO25" s="87"/>
      <c r="IP25" s="87"/>
      <c r="IQ25" s="87"/>
      <c r="IR25" s="87"/>
      <c r="IS25" s="87"/>
      <c r="IT25" s="87"/>
      <c r="IU25" s="87"/>
      <c r="IV25" s="87"/>
      <c r="IW25" s="87"/>
      <c r="IX25" s="87"/>
      <c r="IY25" s="87"/>
      <c r="IZ25" s="87"/>
      <c r="JA25" s="87"/>
      <c r="JB25" s="87"/>
      <c r="JC25" s="87"/>
      <c r="JD25" s="87"/>
      <c r="JE25" s="87"/>
      <c r="JF25" s="87"/>
      <c r="JG25" s="87"/>
      <c r="JH25" s="87"/>
      <c r="JI25" s="87"/>
      <c r="JJ25" s="87"/>
      <c r="JK25" s="87"/>
      <c r="JL25" s="87"/>
      <c r="JM25" s="87"/>
      <c r="JN25" s="87"/>
      <c r="JO25" s="87"/>
      <c r="JP25" s="87"/>
      <c r="JQ25" s="87"/>
      <c r="JR25" s="87"/>
      <c r="JS25" s="87"/>
      <c r="JT25" s="87"/>
      <c r="JU25" s="87"/>
      <c r="JV25" s="87"/>
      <c r="JW25" s="87"/>
      <c r="JX25" s="87"/>
      <c r="JY25" s="87"/>
      <c r="JZ25" s="87"/>
      <c r="KA25" s="87"/>
      <c r="KB25" s="87"/>
      <c r="KC25" s="87"/>
      <c r="KD25" s="87"/>
      <c r="KE25" s="87"/>
      <c r="KF25" s="87"/>
      <c r="KG25" s="87"/>
      <c r="KH25" s="87"/>
      <c r="KI25" s="87"/>
      <c r="KJ25" s="87"/>
      <c r="KK25" s="87"/>
      <c r="KL25" s="87"/>
      <c r="KM25" s="87"/>
      <c r="KN25" s="87"/>
      <c r="KO25" s="87"/>
      <c r="KP25" s="87"/>
      <c r="KQ25" s="87"/>
      <c r="KR25" s="87"/>
      <c r="KS25" s="87"/>
      <c r="KT25" s="87"/>
      <c r="KU25" s="87"/>
      <c r="KV25" s="87"/>
      <c r="KW25" s="87"/>
      <c r="KX25" s="87"/>
      <c r="KY25" s="87"/>
      <c r="KZ25" s="87"/>
      <c r="LA25" s="87"/>
      <c r="LB25" s="87"/>
      <c r="LC25" s="87"/>
      <c r="LD25" s="87"/>
      <c r="LE25" s="87"/>
      <c r="LF25" s="87"/>
      <c r="LG25" s="87"/>
      <c r="LH25" s="87"/>
      <c r="LI25" s="87"/>
      <c r="LJ25" s="87"/>
      <c r="LK25" s="87"/>
      <c r="LL25" s="87"/>
      <c r="LM25" s="87"/>
      <c r="LN25" s="87"/>
      <c r="LO25" s="87"/>
      <c r="LP25" s="87"/>
      <c r="LQ25" s="87"/>
      <c r="LR25" s="87"/>
      <c r="LS25" s="87"/>
      <c r="LT25" s="87"/>
      <c r="LU25" s="87"/>
      <c r="LV25" s="87"/>
      <c r="LW25" s="87"/>
      <c r="LX25" s="87"/>
      <c r="LY25" s="87"/>
      <c r="LZ25" s="87"/>
      <c r="MA25" s="87"/>
      <c r="MB25" s="87"/>
      <c r="MC25" s="87"/>
      <c r="MD25" s="87"/>
      <c r="ME25" s="87"/>
      <c r="MF25" s="87"/>
      <c r="MG25" s="87"/>
      <c r="MH25" s="87"/>
      <c r="MI25" s="87"/>
      <c r="MJ25" s="87"/>
      <c r="MK25" s="87"/>
      <c r="ML25" s="87"/>
      <c r="MM25" s="87"/>
      <c r="MN25" s="87"/>
      <c r="MO25" s="87"/>
      <c r="MP25" s="87"/>
      <c r="MQ25" s="87"/>
      <c r="MR25" s="87"/>
      <c r="MS25" s="87"/>
      <c r="MT25" s="87"/>
      <c r="MU25" s="87"/>
      <c r="MV25" s="87"/>
      <c r="MW25" s="87"/>
      <c r="MX25" s="87"/>
      <c r="MY25" s="87"/>
      <c r="MZ25" s="87"/>
      <c r="NA25" s="87"/>
      <c r="NB25" s="87"/>
      <c r="NC25" s="87"/>
      <c r="ND25" s="87"/>
      <c r="NE25" s="87"/>
      <c r="NF25" s="87"/>
      <c r="NG25" s="87"/>
      <c r="NH25" s="87"/>
      <c r="NI25" s="87"/>
      <c r="NJ25" s="87"/>
      <c r="NK25" s="87"/>
      <c r="NL25" s="87"/>
      <c r="NM25" s="87"/>
      <c r="NN25" s="87"/>
      <c r="NO25" s="87"/>
      <c r="NP25" s="87"/>
      <c r="NQ25" s="87"/>
      <c r="NR25" s="87"/>
      <c r="NS25" s="87"/>
      <c r="NT25" s="87"/>
      <c r="NU25" s="87"/>
      <c r="NV25" s="87"/>
      <c r="NW25" s="87"/>
      <c r="NX25" s="87"/>
      <c r="NY25" s="87"/>
      <c r="NZ25" s="87"/>
      <c r="OA25" s="87"/>
      <c r="OB25" s="87"/>
      <c r="OC25" s="87"/>
      <c r="OD25" s="87"/>
      <c r="OE25" s="87"/>
      <c r="OF25" s="87"/>
      <c r="OG25" s="87"/>
      <c r="OH25" s="87"/>
      <c r="OI25" s="87"/>
      <c r="OJ25" s="87"/>
      <c r="OK25" s="87"/>
      <c r="OL25" s="87"/>
      <c r="OM25" s="87"/>
      <c r="ON25" s="87"/>
      <c r="OO25" s="87"/>
      <c r="OP25" s="87"/>
      <c r="OQ25" s="87"/>
      <c r="OR25" s="87"/>
      <c r="OS25" s="87"/>
      <c r="OT25" s="87"/>
      <c r="OU25" s="87"/>
      <c r="OV25" s="87"/>
      <c r="OW25" s="87"/>
      <c r="OX25" s="87"/>
      <c r="OY25" s="87"/>
      <c r="OZ25" s="87"/>
      <c r="PA25" s="87"/>
      <c r="PB25" s="87"/>
      <c r="PC25" s="87"/>
      <c r="PD25" s="87"/>
      <c r="PE25" s="87"/>
      <c r="PF25" s="87"/>
      <c r="PG25" s="87"/>
      <c r="PH25" s="87"/>
      <c r="PI25" s="87"/>
      <c r="PJ25" s="87"/>
      <c r="PK25" s="87"/>
      <c r="PL25" s="87"/>
      <c r="PM25" s="87"/>
      <c r="PN25" s="87"/>
      <c r="PO25" s="87"/>
      <c r="PP25" s="87"/>
      <c r="PQ25" s="87"/>
      <c r="PR25" s="87"/>
      <c r="PS25" s="87"/>
      <c r="PT25" s="87"/>
      <c r="PU25" s="87"/>
      <c r="PV25" s="87"/>
      <c r="PW25" s="87"/>
      <c r="PX25" s="87"/>
      <c r="PY25" s="87"/>
      <c r="PZ25" s="87"/>
      <c r="QA25" s="87"/>
      <c r="QB25" s="87"/>
      <c r="QC25" s="87"/>
      <c r="QD25" s="87"/>
      <c r="QE25" s="87"/>
      <c r="QF25" s="87"/>
      <c r="QG25" s="87"/>
      <c r="QH25" s="87"/>
      <c r="QI25" s="87"/>
      <c r="QJ25" s="87"/>
      <c r="QK25" s="87"/>
      <c r="QL25" s="87"/>
      <c r="QM25" s="87"/>
      <c r="QN25" s="87"/>
      <c r="QO25" s="87"/>
      <c r="QP25" s="87"/>
      <c r="QQ25" s="87"/>
      <c r="QR25" s="87"/>
      <c r="QS25" s="87"/>
      <c r="QT25" s="87"/>
      <c r="QU25" s="87"/>
      <c r="QV25" s="87"/>
      <c r="QW25" s="87"/>
      <c r="QX25" s="87"/>
      <c r="QY25" s="87"/>
      <c r="QZ25" s="87"/>
      <c r="RA25" s="87"/>
      <c r="RB25" s="87"/>
      <c r="RC25" s="87"/>
      <c r="RD25" s="87"/>
      <c r="RE25" s="87"/>
      <c r="RF25" s="87"/>
      <c r="RG25" s="87"/>
      <c r="RH25" s="87"/>
      <c r="RI25" s="87"/>
      <c r="RJ25" s="87"/>
      <c r="RK25" s="87"/>
      <c r="RL25" s="87"/>
      <c r="RM25" s="87"/>
      <c r="RN25" s="87"/>
      <c r="RO25" s="87"/>
      <c r="RP25" s="87"/>
      <c r="RQ25" s="87"/>
      <c r="RR25" s="87"/>
      <c r="RS25" s="87"/>
      <c r="RT25" s="87"/>
      <c r="RU25" s="87"/>
      <c r="RV25" s="87"/>
      <c r="RW25" s="87"/>
      <c r="RX25" s="87"/>
      <c r="RY25" s="87"/>
      <c r="RZ25" s="87"/>
      <c r="SA25" s="87"/>
      <c r="SB25" s="87"/>
      <c r="SC25" s="87"/>
      <c r="SD25" s="87"/>
      <c r="SE25" s="87"/>
      <c r="SF25" s="87"/>
      <c r="SG25" s="87"/>
      <c r="SH25" s="87"/>
      <c r="SI25" s="87"/>
      <c r="SJ25" s="87"/>
      <c r="SK25" s="87"/>
      <c r="SL25" s="87"/>
      <c r="SM25" s="87"/>
      <c r="SN25" s="87"/>
      <c r="SO25" s="87"/>
      <c r="SP25" s="87"/>
      <c r="SQ25" s="87"/>
      <c r="SR25" s="87"/>
      <c r="SS25" s="87"/>
      <c r="ST25" s="87"/>
      <c r="SU25" s="87"/>
      <c r="SV25" s="87"/>
      <c r="SW25" s="87"/>
      <c r="SX25" s="87"/>
      <c r="SY25" s="87"/>
      <c r="SZ25" s="87"/>
      <c r="TA25" s="87"/>
      <c r="TB25" s="87"/>
      <c r="TC25" s="87"/>
      <c r="TD25" s="87"/>
      <c r="TE25" s="87"/>
      <c r="TF25" s="87"/>
      <c r="TG25" s="87"/>
      <c r="TH25" s="87"/>
      <c r="TI25" s="87"/>
      <c r="TJ25" s="87"/>
      <c r="TK25" s="87"/>
      <c r="TL25" s="87"/>
      <c r="TM25" s="87"/>
      <c r="TN25" s="87"/>
      <c r="TO25" s="87"/>
      <c r="TP25" s="87"/>
      <c r="TQ25" s="87"/>
      <c r="TR25" s="87"/>
      <c r="TS25" s="87"/>
      <c r="TT25" s="87"/>
      <c r="TU25" s="87"/>
      <c r="TV25" s="87"/>
      <c r="TW25" s="87"/>
      <c r="TX25" s="87"/>
      <c r="TY25" s="87"/>
      <c r="TZ25" s="87"/>
      <c r="UA25" s="87"/>
      <c r="UB25" s="87"/>
      <c r="UC25" s="87"/>
      <c r="UD25" s="87"/>
      <c r="UE25" s="87"/>
      <c r="UF25" s="87"/>
      <c r="UG25" s="87"/>
      <c r="UH25" s="87"/>
      <c r="UI25" s="87"/>
      <c r="UJ25" s="87"/>
      <c r="UK25" s="87"/>
      <c r="UL25" s="87"/>
      <c r="UM25" s="87"/>
      <c r="UN25" s="87"/>
      <c r="UO25" s="87"/>
      <c r="UP25" s="87"/>
      <c r="UQ25" s="87"/>
      <c r="UR25" s="87"/>
      <c r="US25" s="87"/>
      <c r="UT25" s="87"/>
      <c r="UU25" s="87"/>
      <c r="UV25" s="87"/>
      <c r="UW25" s="87"/>
      <c r="UX25" s="87"/>
      <c r="UY25" s="87"/>
      <c r="UZ25" s="87"/>
      <c r="VA25" s="87"/>
      <c r="VB25" s="87"/>
      <c r="VC25" s="87"/>
      <c r="VD25" s="87"/>
      <c r="VE25" s="87"/>
      <c r="VF25" s="87"/>
      <c r="VG25" s="87"/>
      <c r="VH25" s="87"/>
      <c r="VI25" s="87"/>
      <c r="VJ25" s="87"/>
      <c r="VK25" s="87"/>
      <c r="VL25" s="87"/>
      <c r="VM25" s="87"/>
      <c r="VN25" s="87"/>
      <c r="VO25" s="87"/>
      <c r="VP25" s="87"/>
      <c r="VQ25" s="87"/>
      <c r="VR25" s="87"/>
      <c r="VS25" s="87"/>
      <c r="VT25" s="87"/>
      <c r="VU25" s="87"/>
      <c r="VV25" s="87"/>
      <c r="VW25" s="87"/>
      <c r="VX25" s="87"/>
      <c r="VY25" s="87"/>
      <c r="VZ25" s="87"/>
      <c r="WA25" s="87"/>
      <c r="WB25" s="87"/>
      <c r="WC25" s="87"/>
      <c r="WD25" s="87"/>
      <c r="WE25" s="87"/>
      <c r="WF25" s="87"/>
      <c r="WG25" s="87"/>
      <c r="WH25" s="87"/>
      <c r="WI25" s="87"/>
      <c r="WJ25" s="87"/>
      <c r="WK25" s="87"/>
      <c r="WL25" s="87"/>
      <c r="WM25" s="87"/>
      <c r="WN25" s="87"/>
      <c r="WO25" s="87"/>
      <c r="WP25" s="87"/>
      <c r="WQ25" s="87"/>
      <c r="WR25" s="87"/>
      <c r="WS25" s="87"/>
      <c r="WT25" s="87"/>
      <c r="WU25" s="87"/>
      <c r="WV25" s="87"/>
      <c r="WW25" s="87"/>
      <c r="WX25" s="87"/>
      <c r="WY25" s="87"/>
      <c r="WZ25" s="87"/>
      <c r="XA25" s="87"/>
      <c r="XB25" s="87"/>
      <c r="XC25" s="87"/>
      <c r="XD25" s="87"/>
      <c r="XE25" s="87"/>
      <c r="XF25" s="87"/>
      <c r="XG25" s="87"/>
      <c r="XH25" s="87"/>
      <c r="XI25" s="87"/>
      <c r="XJ25" s="87"/>
      <c r="XK25" s="87"/>
      <c r="XL25" s="87"/>
      <c r="XM25" s="87"/>
      <c r="XN25" s="87"/>
      <c r="XO25" s="87"/>
      <c r="XP25" s="87"/>
      <c r="XQ25" s="87"/>
      <c r="XR25" s="87"/>
      <c r="XS25" s="87"/>
      <c r="XT25" s="87"/>
      <c r="XU25" s="87"/>
      <c r="XV25" s="87"/>
      <c r="XW25" s="87"/>
      <c r="XX25" s="87"/>
      <c r="XY25" s="87"/>
      <c r="XZ25" s="87"/>
      <c r="YA25" s="87"/>
      <c r="YB25" s="87"/>
      <c r="YC25" s="87"/>
      <c r="YD25" s="87"/>
      <c r="YE25" s="87"/>
      <c r="YF25" s="87"/>
      <c r="YG25" s="87"/>
      <c r="YH25" s="87"/>
      <c r="YI25" s="87"/>
      <c r="YJ25" s="87"/>
      <c r="YK25" s="87"/>
      <c r="YL25" s="87"/>
      <c r="YM25" s="87"/>
      <c r="YN25" s="87"/>
      <c r="YO25" s="87"/>
      <c r="YP25" s="87"/>
      <c r="YQ25" s="87"/>
      <c r="YR25" s="87"/>
      <c r="YS25" s="87"/>
      <c r="YT25" s="87"/>
      <c r="YU25" s="87"/>
      <c r="YV25" s="87"/>
      <c r="YW25" s="87"/>
      <c r="YX25" s="87"/>
      <c r="YY25" s="87"/>
      <c r="YZ25" s="87"/>
      <c r="ZA25" s="87"/>
      <c r="ZB25" s="87"/>
      <c r="ZC25" s="87"/>
      <c r="ZD25" s="87"/>
      <c r="ZE25" s="87"/>
      <c r="ZF25" s="87"/>
      <c r="ZG25" s="87"/>
      <c r="ZH25" s="87"/>
      <c r="ZI25" s="87"/>
      <c r="ZJ25" s="87"/>
      <c r="ZK25" s="87"/>
      <c r="ZL25" s="87"/>
      <c r="ZM25" s="87"/>
      <c r="ZN25" s="87"/>
      <c r="ZO25" s="87"/>
      <c r="ZP25" s="87"/>
      <c r="ZQ25" s="87"/>
      <c r="ZR25" s="87"/>
      <c r="ZS25" s="87"/>
      <c r="ZT25" s="87"/>
      <c r="ZU25" s="87"/>
      <c r="ZV25" s="87"/>
      <c r="ZW25" s="87"/>
      <c r="ZX25" s="87"/>
      <c r="ZY25" s="87"/>
      <c r="ZZ25" s="87"/>
      <c r="AAA25" s="87"/>
      <c r="AAB25" s="87"/>
      <c r="AAC25" s="87"/>
      <c r="AAD25" s="87"/>
      <c r="AAE25" s="87"/>
      <c r="AAF25" s="87"/>
      <c r="AAG25" s="87"/>
      <c r="AAH25" s="87"/>
      <c r="AAI25" s="87"/>
      <c r="AAJ25" s="87"/>
      <c r="AAK25" s="87"/>
      <c r="AAL25" s="87"/>
      <c r="AAM25" s="87"/>
      <c r="AAN25" s="87"/>
      <c r="AAO25" s="87"/>
      <c r="AAP25" s="87"/>
      <c r="AAQ25" s="87"/>
      <c r="AAR25" s="87"/>
      <c r="AAS25" s="87"/>
      <c r="AAT25" s="87"/>
      <c r="AAU25" s="87"/>
      <c r="AAV25" s="87"/>
      <c r="AAW25" s="87"/>
      <c r="AAX25" s="87"/>
      <c r="AAY25" s="87"/>
      <c r="AAZ25" s="87"/>
      <c r="ABA25" s="87"/>
      <c r="ABB25" s="87"/>
      <c r="ABC25" s="87"/>
      <c r="ABD25" s="87"/>
      <c r="ABE25" s="87"/>
      <c r="ABF25" s="87"/>
      <c r="ABG25" s="87"/>
      <c r="ABH25" s="87"/>
      <c r="ABI25" s="87"/>
      <c r="ABJ25" s="87"/>
      <c r="ABK25" s="87"/>
      <c r="ABL25" s="87"/>
      <c r="ABM25" s="87"/>
      <c r="ABN25" s="87"/>
      <c r="ABO25" s="87"/>
      <c r="ABP25" s="87"/>
      <c r="ABQ25" s="87"/>
      <c r="ABR25" s="87"/>
      <c r="ABS25" s="87"/>
      <c r="ABT25" s="87"/>
      <c r="ABU25" s="87"/>
      <c r="ABV25" s="87"/>
      <c r="ABW25" s="87"/>
      <c r="ABX25" s="87"/>
      <c r="ABY25" s="87"/>
      <c r="ABZ25" s="87"/>
      <c r="ACA25" s="87"/>
      <c r="ACB25" s="87"/>
      <c r="ACC25" s="87"/>
      <c r="ACD25" s="87"/>
      <c r="ACE25" s="87"/>
      <c r="ACF25" s="87"/>
      <c r="ACG25" s="87"/>
      <c r="ACH25" s="87"/>
      <c r="ACI25" s="87"/>
      <c r="ACJ25" s="87"/>
      <c r="ACK25" s="87"/>
      <c r="ACL25" s="87"/>
      <c r="ACM25" s="87"/>
      <c r="ACN25" s="87"/>
      <c r="ACO25" s="87"/>
      <c r="ACP25" s="87"/>
      <c r="ACQ25" s="87"/>
      <c r="ACR25" s="87"/>
      <c r="ACS25" s="87"/>
      <c r="ACT25" s="87"/>
      <c r="ACU25" s="87"/>
      <c r="ACV25" s="87"/>
      <c r="ACW25" s="87"/>
      <c r="ACX25" s="87"/>
      <c r="ACY25" s="87"/>
      <c r="ACZ25" s="87"/>
      <c r="ADA25" s="87"/>
      <c r="ADB25" s="87"/>
      <c r="ADC25" s="87"/>
      <c r="ADD25" s="87"/>
      <c r="ADE25" s="87"/>
      <c r="ADF25" s="87"/>
      <c r="ADG25" s="87"/>
      <c r="ADH25" s="87"/>
      <c r="ADI25" s="87"/>
      <c r="ADJ25" s="87"/>
      <c r="ADK25" s="87"/>
      <c r="ADL25" s="87"/>
      <c r="ADM25" s="87"/>
      <c r="ADN25" s="87"/>
      <c r="ADO25" s="87"/>
      <c r="ADP25" s="87"/>
      <c r="ADQ25" s="87"/>
      <c r="ADR25" s="87"/>
      <c r="ADS25" s="87"/>
      <c r="ADT25" s="87"/>
      <c r="ADU25" s="87"/>
      <c r="ADV25" s="87"/>
      <c r="ADW25" s="87"/>
      <c r="ADX25" s="87"/>
      <c r="ADY25" s="87"/>
      <c r="ADZ25" s="87"/>
      <c r="AEA25" s="87"/>
      <c r="AEB25" s="87"/>
      <c r="AEC25" s="87"/>
      <c r="AED25" s="87"/>
      <c r="AEE25" s="87"/>
      <c r="AEF25" s="87"/>
      <c r="AEG25" s="87"/>
      <c r="AEH25" s="87"/>
      <c r="AEI25" s="87"/>
      <c r="AEJ25" s="87"/>
      <c r="AEK25" s="87"/>
      <c r="AEL25" s="87"/>
      <c r="AEM25" s="87"/>
      <c r="AEN25" s="87"/>
      <c r="AEO25" s="87"/>
      <c r="AEP25" s="87"/>
      <c r="AEQ25" s="87"/>
      <c r="AER25" s="87"/>
      <c r="AES25" s="87"/>
      <c r="AET25" s="87"/>
      <c r="AEU25" s="87"/>
      <c r="AEV25" s="87"/>
      <c r="AEW25" s="87"/>
      <c r="AEX25" s="87"/>
      <c r="AEY25" s="87"/>
      <c r="AEZ25" s="87"/>
      <c r="AFA25" s="87"/>
      <c r="AFB25" s="87"/>
      <c r="AFC25" s="87"/>
      <c r="AFD25" s="87"/>
      <c r="AFE25" s="87"/>
      <c r="AFF25" s="87"/>
      <c r="AFG25" s="87"/>
      <c r="AFH25" s="87"/>
      <c r="AFI25" s="87"/>
      <c r="AFJ25" s="87"/>
      <c r="AFK25" s="87"/>
      <c r="AFL25" s="87"/>
      <c r="AFM25" s="87"/>
      <c r="AFN25" s="87"/>
      <c r="AFO25" s="87"/>
      <c r="AFP25" s="87"/>
      <c r="AFQ25" s="87"/>
      <c r="AFR25" s="87"/>
      <c r="AFS25" s="87"/>
      <c r="AFT25" s="87"/>
      <c r="AFU25" s="87"/>
      <c r="AFV25" s="87"/>
      <c r="AFW25" s="87"/>
      <c r="AFX25" s="87"/>
      <c r="AFY25" s="87"/>
      <c r="AFZ25" s="87"/>
      <c r="AGA25" s="87"/>
      <c r="AGB25" s="87"/>
      <c r="AGC25" s="87"/>
      <c r="AGD25" s="87"/>
      <c r="AGE25" s="87"/>
      <c r="AGF25" s="87"/>
      <c r="AGG25" s="87"/>
      <c r="AGH25" s="87"/>
      <c r="AGI25" s="87"/>
      <c r="AGJ25" s="87"/>
      <c r="AGK25" s="87"/>
      <c r="AGL25" s="87"/>
      <c r="AGM25" s="87"/>
      <c r="AGN25" s="87"/>
      <c r="AGO25" s="87"/>
      <c r="AGP25" s="87"/>
      <c r="AGQ25" s="87"/>
      <c r="AGR25" s="87"/>
      <c r="AGS25" s="87"/>
      <c r="AGT25" s="87"/>
      <c r="AGU25" s="87"/>
      <c r="AGV25" s="87"/>
      <c r="AGW25" s="87"/>
      <c r="AGX25" s="87"/>
      <c r="AGY25" s="87"/>
      <c r="AGZ25" s="87"/>
      <c r="AHA25" s="87"/>
      <c r="AHB25" s="87"/>
      <c r="AHC25" s="87"/>
      <c r="AHD25" s="87"/>
      <c r="AHE25" s="87"/>
      <c r="AHF25" s="87"/>
      <c r="AHG25" s="87"/>
      <c r="AHH25" s="87"/>
      <c r="AHI25" s="87"/>
      <c r="AHJ25" s="87"/>
      <c r="AHK25" s="87"/>
      <c r="AHL25" s="87"/>
      <c r="AHM25" s="87"/>
      <c r="AHN25" s="87"/>
      <c r="AHO25" s="87"/>
      <c r="AHP25" s="87"/>
      <c r="AHQ25" s="87"/>
      <c r="AHR25" s="87"/>
      <c r="AHS25" s="87"/>
      <c r="AHT25" s="87"/>
      <c r="AHU25" s="87"/>
      <c r="AHV25" s="87"/>
      <c r="AHW25" s="87"/>
      <c r="AHX25" s="87"/>
      <c r="AHY25" s="87"/>
      <c r="AHZ25" s="87"/>
      <c r="AIA25" s="87"/>
      <c r="AIB25" s="87"/>
      <c r="AIC25" s="87"/>
      <c r="AID25" s="87"/>
      <c r="AIE25" s="87"/>
      <c r="AIF25" s="87"/>
      <c r="AIG25" s="87"/>
      <c r="AIH25" s="87"/>
      <c r="AII25" s="87"/>
      <c r="AIJ25" s="87"/>
      <c r="AIK25" s="87"/>
      <c r="AIL25" s="87"/>
      <c r="AIM25" s="87"/>
      <c r="AIN25" s="87"/>
      <c r="AIO25" s="87"/>
      <c r="AIP25" s="87"/>
      <c r="AIQ25" s="87"/>
      <c r="AIR25" s="87"/>
      <c r="AIS25" s="87"/>
      <c r="AIT25" s="87"/>
      <c r="AIU25" s="87"/>
      <c r="AIV25" s="87"/>
      <c r="AIW25" s="87"/>
      <c r="AIX25" s="87"/>
      <c r="AIY25" s="87"/>
      <c r="AIZ25" s="87"/>
      <c r="AJA25" s="87"/>
      <c r="AJB25" s="87"/>
      <c r="AJC25" s="87"/>
      <c r="AJD25" s="87"/>
      <c r="AJE25" s="87"/>
      <c r="AJF25" s="87"/>
      <c r="AJG25" s="87"/>
      <c r="AJH25" s="87"/>
      <c r="AJI25" s="87"/>
      <c r="AJJ25" s="87"/>
      <c r="AJK25" s="87"/>
      <c r="AJL25" s="87"/>
      <c r="AJM25" s="87"/>
      <c r="AJN25" s="87"/>
      <c r="AJO25" s="87"/>
      <c r="AJP25" s="87"/>
      <c r="AJQ25" s="87"/>
      <c r="AJR25" s="87"/>
      <c r="AJS25" s="87"/>
      <c r="AJT25" s="87"/>
      <c r="AJU25" s="87"/>
      <c r="AJV25" s="87"/>
      <c r="AJW25" s="87"/>
      <c r="AJX25" s="87"/>
      <c r="AJY25" s="87"/>
      <c r="AJZ25" s="87"/>
      <c r="AKA25" s="87"/>
      <c r="AKB25" s="87"/>
      <c r="AKC25" s="87"/>
      <c r="AKD25" s="87"/>
      <c r="AKE25" s="87"/>
      <c r="AKF25" s="87"/>
      <c r="AKG25" s="87"/>
      <c r="AKH25" s="87"/>
      <c r="AKI25" s="87"/>
      <c r="AKJ25" s="87"/>
      <c r="AKK25" s="87"/>
      <c r="AKL25" s="87"/>
      <c r="AKM25" s="87"/>
      <c r="AKN25" s="87"/>
      <c r="AKO25" s="87"/>
      <c r="AKP25" s="87"/>
      <c r="AKQ25" s="87"/>
      <c r="AKR25" s="87"/>
      <c r="AKS25" s="87"/>
      <c r="AKT25" s="87"/>
      <c r="AKU25" s="87"/>
      <c r="AKV25" s="87"/>
      <c r="AKW25" s="87"/>
      <c r="AKX25" s="87"/>
      <c r="AKY25" s="87"/>
      <c r="AKZ25" s="87"/>
      <c r="ALA25" s="87"/>
      <c r="ALB25" s="87"/>
      <c r="ALC25" s="87"/>
      <c r="ALD25" s="87"/>
      <c r="ALE25" s="87"/>
      <c r="ALF25" s="87"/>
      <c r="ALG25" s="87"/>
      <c r="ALH25" s="87"/>
      <c r="ALI25" s="87"/>
      <c r="ALJ25" s="87"/>
      <c r="ALK25" s="87"/>
      <c r="ALL25" s="87"/>
      <c r="ALM25" s="87"/>
      <c r="ALN25" s="87"/>
      <c r="ALO25" s="87"/>
      <c r="ALP25" s="87"/>
      <c r="ALQ25" s="87"/>
      <c r="ALR25" s="87"/>
      <c r="ALS25" s="87"/>
      <c r="ALT25" s="87"/>
      <c r="ALU25" s="87"/>
      <c r="ALV25" s="87"/>
      <c r="ALW25" s="87"/>
      <c r="ALX25" s="87"/>
      <c r="ALY25" s="87"/>
      <c r="ALZ25" s="87"/>
      <c r="AMA25" s="87"/>
      <c r="AMB25" s="87"/>
      <c r="AMC25" s="87"/>
      <c r="AMD25" s="87"/>
      <c r="AME25" s="87"/>
      <c r="AMF25" s="87"/>
      <c r="AMG25" s="87"/>
      <c r="AMH25" s="87"/>
      <c r="AMI25" s="87"/>
      <c r="AMJ25" s="87"/>
      <c r="AMK25" s="87"/>
      <c r="AML25" s="87"/>
      <c r="AMM25" s="87"/>
      <c r="AMN25" s="87"/>
      <c r="AMO25" s="87"/>
      <c r="AMP25" s="87"/>
      <c r="AMQ25" s="87"/>
      <c r="AMR25" s="87"/>
      <c r="AMS25" s="87"/>
      <c r="AMT25" s="87"/>
      <c r="AMU25" s="87"/>
      <c r="AMV25" s="87"/>
      <c r="AMW25" s="87"/>
      <c r="AMX25" s="87"/>
      <c r="AMY25" s="87"/>
      <c r="AMZ25" s="87"/>
      <c r="ANA25" s="87"/>
      <c r="ANB25" s="87"/>
      <c r="ANC25" s="87"/>
      <c r="AND25" s="87"/>
      <c r="ANE25" s="87"/>
      <c r="ANF25" s="87"/>
      <c r="ANG25" s="87"/>
      <c r="ANH25" s="87"/>
      <c r="ANI25" s="87"/>
      <c r="ANJ25" s="87"/>
      <c r="ANK25" s="87"/>
      <c r="ANL25" s="87"/>
      <c r="ANM25" s="87"/>
      <c r="ANN25" s="87"/>
      <c r="ANO25" s="87"/>
      <c r="ANP25" s="87"/>
      <c r="ANQ25" s="87"/>
      <c r="ANR25" s="87"/>
      <c r="ANS25" s="87"/>
      <c r="ANT25" s="87"/>
      <c r="ANU25" s="87"/>
      <c r="ANV25" s="87"/>
      <c r="ANW25" s="87"/>
      <c r="ANX25" s="87"/>
      <c r="ANY25" s="87"/>
      <c r="ANZ25" s="87"/>
      <c r="AOA25" s="87"/>
      <c r="AOB25" s="87"/>
      <c r="AOC25" s="87"/>
      <c r="AOD25" s="87"/>
      <c r="AOE25" s="87"/>
      <c r="AOF25" s="87"/>
      <c r="AOG25" s="87"/>
      <c r="AOH25" s="87"/>
      <c r="AOI25" s="87"/>
      <c r="AOJ25" s="87"/>
      <c r="AOK25" s="87"/>
      <c r="AOL25" s="87"/>
      <c r="AOM25" s="87"/>
      <c r="AON25" s="87"/>
      <c r="AOO25" s="87"/>
      <c r="AOP25" s="87"/>
      <c r="AOQ25" s="87"/>
      <c r="AOR25" s="87"/>
      <c r="AOS25" s="87"/>
      <c r="AOT25" s="87"/>
      <c r="AOU25" s="87"/>
      <c r="AOV25" s="87"/>
      <c r="AOW25" s="87"/>
      <c r="AOX25" s="87"/>
      <c r="AOY25" s="87"/>
      <c r="AOZ25" s="87"/>
      <c r="APA25" s="87"/>
      <c r="APB25" s="87"/>
      <c r="APC25" s="87"/>
      <c r="APD25" s="87"/>
      <c r="APE25" s="87"/>
      <c r="APF25" s="87"/>
      <c r="APG25" s="87"/>
      <c r="APH25" s="87"/>
      <c r="API25" s="87"/>
      <c r="APJ25" s="87"/>
      <c r="APK25" s="87"/>
      <c r="APL25" s="87"/>
      <c r="APM25" s="87"/>
      <c r="APN25" s="87"/>
      <c r="APO25" s="87"/>
      <c r="APP25" s="87"/>
      <c r="APQ25" s="87"/>
      <c r="APR25" s="87"/>
      <c r="APS25" s="87"/>
      <c r="APT25" s="87"/>
      <c r="APU25" s="87"/>
      <c r="APV25" s="87"/>
      <c r="APW25" s="87"/>
      <c r="APX25" s="87"/>
      <c r="APY25" s="87"/>
      <c r="APZ25" s="87"/>
      <c r="AQA25" s="87"/>
      <c r="AQB25" s="87"/>
      <c r="AQC25" s="87"/>
      <c r="AQD25" s="87"/>
      <c r="AQE25" s="87"/>
      <c r="AQF25" s="87"/>
      <c r="AQG25" s="87"/>
      <c r="AQH25" s="87"/>
      <c r="AQI25" s="87"/>
      <c r="AQJ25" s="87"/>
      <c r="AQK25" s="87"/>
      <c r="AQL25" s="87"/>
      <c r="AQM25" s="87"/>
      <c r="AQN25" s="87"/>
      <c r="AQO25" s="87"/>
      <c r="AQP25" s="87"/>
      <c r="AQQ25" s="87"/>
      <c r="AQR25" s="87"/>
      <c r="AQS25" s="87"/>
      <c r="AQT25" s="87"/>
      <c r="AQU25" s="87"/>
      <c r="AQV25" s="87"/>
      <c r="AQW25" s="87"/>
      <c r="AQX25" s="87"/>
      <c r="AQY25" s="87"/>
      <c r="AQZ25" s="87"/>
      <c r="ARA25" s="87"/>
      <c r="ARB25" s="87"/>
      <c r="ARC25" s="87"/>
      <c r="ARD25" s="87"/>
      <c r="ARE25" s="87"/>
      <c r="ARF25" s="87"/>
      <c r="ARG25" s="87"/>
      <c r="ARH25" s="87"/>
      <c r="ARI25" s="87"/>
      <c r="ARJ25" s="87"/>
      <c r="ARK25" s="87"/>
      <c r="ARL25" s="87"/>
      <c r="ARM25" s="87"/>
      <c r="ARN25" s="87"/>
      <c r="ARO25" s="87"/>
      <c r="ARP25" s="87"/>
      <c r="ARQ25" s="87"/>
      <c r="ARR25" s="87"/>
      <c r="ARS25" s="87"/>
      <c r="ART25" s="87"/>
      <c r="ARU25" s="87"/>
      <c r="ARV25" s="87"/>
      <c r="ARW25" s="87"/>
      <c r="ARX25" s="87"/>
      <c r="ARY25" s="87"/>
      <c r="ARZ25" s="87"/>
      <c r="ASA25" s="87"/>
      <c r="ASB25" s="87"/>
      <c r="ASC25" s="87"/>
      <c r="ASD25" s="87"/>
      <c r="ASE25" s="87"/>
      <c r="ASF25" s="87"/>
      <c r="ASG25" s="87"/>
      <c r="ASH25" s="87"/>
      <c r="ASI25" s="87"/>
      <c r="ASJ25" s="87"/>
      <c r="ASK25" s="87"/>
      <c r="ASL25" s="87"/>
      <c r="ASM25" s="87"/>
      <c r="ASN25" s="87"/>
      <c r="ASO25" s="87"/>
      <c r="ASP25" s="87"/>
      <c r="ASQ25" s="87"/>
      <c r="ASR25" s="87"/>
      <c r="ASS25" s="87"/>
      <c r="AST25" s="87"/>
      <c r="ASU25" s="87"/>
      <c r="ASV25" s="87"/>
      <c r="ASW25" s="87"/>
      <c r="ASX25" s="87"/>
      <c r="ASY25" s="87"/>
      <c r="ASZ25" s="87"/>
      <c r="ATA25" s="87"/>
      <c r="ATB25" s="87"/>
      <c r="ATC25" s="87"/>
      <c r="ATD25" s="87"/>
      <c r="ATE25" s="87"/>
      <c r="ATF25" s="87"/>
      <c r="ATG25" s="87"/>
      <c r="ATH25" s="87"/>
      <c r="ATI25" s="87"/>
      <c r="ATJ25" s="87"/>
      <c r="ATK25" s="87"/>
      <c r="ATL25" s="87"/>
      <c r="ATM25" s="87"/>
      <c r="ATN25" s="87"/>
      <c r="ATO25" s="87"/>
      <c r="ATP25" s="87"/>
      <c r="ATQ25" s="87"/>
      <c r="ATR25" s="87"/>
      <c r="ATS25" s="87"/>
      <c r="ATT25" s="87"/>
      <c r="ATU25" s="87"/>
      <c r="ATV25" s="87"/>
      <c r="ATW25" s="87"/>
      <c r="ATX25" s="87"/>
      <c r="ATY25" s="87"/>
      <c r="ATZ25" s="87"/>
      <c r="AUA25" s="87"/>
      <c r="AUB25" s="87"/>
      <c r="AUC25" s="87"/>
      <c r="AUD25" s="87"/>
      <c r="AUE25" s="87"/>
      <c r="AUF25" s="87"/>
      <c r="AUG25" s="87"/>
      <c r="AUH25" s="87"/>
      <c r="AUI25" s="87"/>
      <c r="AUJ25" s="87"/>
      <c r="AUK25" s="87"/>
      <c r="AUL25" s="87"/>
      <c r="AUM25" s="87"/>
      <c r="AUN25" s="87"/>
      <c r="AUO25" s="87"/>
      <c r="AUP25" s="87"/>
      <c r="AUQ25" s="87"/>
      <c r="AUR25" s="87"/>
      <c r="AUS25" s="87"/>
      <c r="AUT25" s="87"/>
      <c r="AUU25" s="87"/>
      <c r="AUV25" s="87"/>
      <c r="AUW25" s="87"/>
      <c r="AUX25" s="87"/>
      <c r="AUY25" s="87"/>
      <c r="AUZ25" s="87"/>
      <c r="AVA25" s="87"/>
      <c r="AVB25" s="87"/>
      <c r="AVC25" s="87"/>
      <c r="AVD25" s="87"/>
      <c r="AVE25" s="87"/>
      <c r="AVF25" s="87"/>
      <c r="AVG25" s="87"/>
      <c r="AVH25" s="87"/>
      <c r="AVI25" s="87"/>
      <c r="AVJ25" s="87"/>
      <c r="AVK25" s="87"/>
      <c r="AVL25" s="87"/>
      <c r="AVM25" s="87"/>
      <c r="AVN25" s="87"/>
      <c r="AVO25" s="87"/>
      <c r="AVP25" s="87"/>
      <c r="AVQ25" s="87"/>
      <c r="AVR25" s="87"/>
      <c r="AVS25" s="87"/>
      <c r="AVT25" s="87"/>
      <c r="AVU25" s="87"/>
      <c r="AVV25" s="87"/>
      <c r="AVW25" s="87"/>
      <c r="AVX25" s="87"/>
      <c r="AVY25" s="87"/>
      <c r="AVZ25" s="87"/>
      <c r="AWA25" s="87"/>
      <c r="AWB25" s="87"/>
      <c r="AWC25" s="87"/>
      <c r="AWD25" s="87"/>
      <c r="AWE25" s="87"/>
      <c r="AWF25" s="87"/>
      <c r="AWG25" s="87"/>
      <c r="AWH25" s="87"/>
      <c r="AWI25" s="87"/>
      <c r="AWJ25" s="87"/>
      <c r="AWK25" s="87"/>
      <c r="AWL25" s="87"/>
      <c r="AWM25" s="87"/>
      <c r="AWN25" s="87"/>
      <c r="AWO25" s="87"/>
      <c r="AWP25" s="87"/>
      <c r="AWQ25" s="87"/>
      <c r="AWR25" s="87"/>
      <c r="AWS25" s="87"/>
      <c r="AWT25" s="87"/>
      <c r="AWU25" s="87"/>
      <c r="AWV25" s="87"/>
      <c r="AWW25" s="87"/>
      <c r="AWX25" s="87"/>
      <c r="AWY25" s="87"/>
      <c r="AWZ25" s="87"/>
      <c r="AXA25" s="87"/>
      <c r="AXB25" s="87"/>
      <c r="AXC25" s="87"/>
      <c r="AXD25" s="87"/>
      <c r="AXE25" s="87"/>
      <c r="AXF25" s="87"/>
      <c r="AXG25" s="87"/>
      <c r="AXH25" s="87"/>
      <c r="AXI25" s="87"/>
      <c r="AXJ25" s="87"/>
      <c r="AXK25" s="87"/>
      <c r="AXL25" s="87"/>
      <c r="AXM25" s="87"/>
      <c r="AXN25" s="87"/>
      <c r="AXO25" s="87"/>
      <c r="AXP25" s="87"/>
      <c r="AXQ25" s="87"/>
      <c r="AXR25" s="87"/>
      <c r="AXS25" s="87"/>
      <c r="AXT25" s="87"/>
      <c r="AXU25" s="87"/>
      <c r="AXV25" s="87"/>
      <c r="AXW25" s="87"/>
      <c r="AXX25" s="87"/>
      <c r="AXY25" s="87"/>
      <c r="AXZ25" s="87"/>
      <c r="AYA25" s="87"/>
      <c r="AYB25" s="87"/>
      <c r="AYC25" s="87"/>
      <c r="AYD25" s="87"/>
      <c r="AYE25" s="87"/>
      <c r="AYF25" s="87"/>
      <c r="AYG25" s="87"/>
      <c r="AYH25" s="87"/>
      <c r="AYI25" s="87"/>
      <c r="AYJ25" s="87"/>
      <c r="AYK25" s="87"/>
      <c r="AYL25" s="87"/>
      <c r="AYM25" s="87"/>
      <c r="AYN25" s="87"/>
      <c r="AYO25" s="87"/>
      <c r="AYP25" s="87"/>
      <c r="AYQ25" s="87"/>
      <c r="AYR25" s="87"/>
      <c r="AYS25" s="87"/>
      <c r="AYT25" s="87"/>
      <c r="AYU25" s="87"/>
      <c r="AYV25" s="87"/>
      <c r="AYW25" s="87"/>
      <c r="AYX25" s="87"/>
      <c r="AYY25" s="87"/>
      <c r="AYZ25" s="87"/>
      <c r="AZA25" s="87"/>
      <c r="AZB25" s="87"/>
      <c r="AZC25" s="87"/>
      <c r="AZD25" s="87"/>
      <c r="AZE25" s="87"/>
      <c r="AZF25" s="87"/>
      <c r="AZG25" s="87"/>
      <c r="AZH25" s="87"/>
      <c r="AZI25" s="87"/>
      <c r="AZJ25" s="87"/>
      <c r="AZK25" s="87"/>
      <c r="AZL25" s="87"/>
      <c r="AZM25" s="87"/>
      <c r="AZN25" s="87"/>
      <c r="AZO25" s="87"/>
      <c r="AZP25" s="87"/>
      <c r="AZQ25" s="87"/>
      <c r="AZR25" s="87"/>
      <c r="AZS25" s="87"/>
      <c r="AZT25" s="87"/>
      <c r="AZU25" s="87"/>
      <c r="AZV25" s="87"/>
      <c r="AZW25" s="87"/>
      <c r="AZX25" s="87"/>
      <c r="AZY25" s="87"/>
      <c r="AZZ25" s="87"/>
      <c r="BAA25" s="87"/>
      <c r="BAB25" s="87"/>
      <c r="BAC25" s="87"/>
      <c r="BAD25" s="87"/>
      <c r="BAE25" s="87"/>
      <c r="BAF25" s="87"/>
      <c r="BAG25" s="87"/>
      <c r="BAH25" s="87"/>
      <c r="BAI25" s="87"/>
      <c r="BAJ25" s="87"/>
      <c r="BAK25" s="87"/>
      <c r="BAL25" s="87"/>
      <c r="BAM25" s="87"/>
      <c r="BAN25" s="87"/>
      <c r="BAO25" s="87"/>
      <c r="BAP25" s="87"/>
      <c r="BAQ25" s="87"/>
      <c r="BAR25" s="87"/>
      <c r="BAS25" s="87"/>
      <c r="BAT25" s="87"/>
      <c r="BAU25" s="87"/>
      <c r="BAV25" s="87"/>
      <c r="BAW25" s="87"/>
      <c r="BAX25" s="87"/>
      <c r="BAY25" s="87"/>
      <c r="BAZ25" s="87"/>
      <c r="BBA25" s="87"/>
      <c r="BBB25" s="87"/>
      <c r="BBC25" s="87"/>
      <c r="BBD25" s="87"/>
      <c r="BBE25" s="87"/>
      <c r="BBF25" s="87"/>
      <c r="BBG25" s="87"/>
      <c r="BBH25" s="87"/>
      <c r="BBI25" s="87"/>
      <c r="BBJ25" s="87"/>
      <c r="BBK25" s="87"/>
      <c r="BBL25" s="87"/>
      <c r="BBM25" s="87"/>
      <c r="BBN25" s="87"/>
      <c r="BBO25" s="87"/>
      <c r="BBP25" s="87"/>
      <c r="BBQ25" s="87"/>
      <c r="BBR25" s="87"/>
      <c r="BBS25" s="87"/>
      <c r="BBT25" s="87"/>
      <c r="BBU25" s="87"/>
      <c r="BBV25" s="87"/>
      <c r="BBW25" s="87"/>
      <c r="BBX25" s="87"/>
      <c r="BBY25" s="87"/>
      <c r="BBZ25" s="87"/>
      <c r="BCA25" s="87"/>
      <c r="BCB25" s="87"/>
      <c r="BCC25" s="87"/>
      <c r="BCD25" s="87"/>
      <c r="BCE25" s="87"/>
      <c r="BCF25" s="87"/>
      <c r="BCG25" s="87"/>
      <c r="BCH25" s="87"/>
      <c r="BCI25" s="87"/>
      <c r="BCJ25" s="87"/>
      <c r="BCK25" s="87"/>
      <c r="BCL25" s="87"/>
      <c r="BCM25" s="87"/>
      <c r="BCN25" s="87"/>
      <c r="BCO25" s="87"/>
      <c r="BCP25" s="87"/>
      <c r="BCQ25" s="87"/>
      <c r="BCR25" s="87"/>
      <c r="BCS25" s="87"/>
      <c r="BCT25" s="87"/>
      <c r="BCU25" s="87"/>
      <c r="BCV25" s="87"/>
      <c r="BCW25" s="87"/>
      <c r="BCX25" s="87"/>
      <c r="BCY25" s="87"/>
      <c r="BCZ25" s="87"/>
      <c r="BDA25" s="87"/>
      <c r="BDB25" s="87"/>
      <c r="BDC25" s="87"/>
      <c r="BDD25" s="87"/>
      <c r="BDE25" s="87"/>
      <c r="BDF25" s="87"/>
      <c r="BDG25" s="87"/>
      <c r="BDH25" s="87"/>
      <c r="BDI25" s="87"/>
      <c r="BDJ25" s="87"/>
      <c r="BDK25" s="87"/>
      <c r="BDL25" s="87"/>
      <c r="BDM25" s="87"/>
      <c r="BDN25" s="87"/>
      <c r="BDO25" s="87"/>
      <c r="BDP25" s="87"/>
      <c r="BDQ25" s="87"/>
      <c r="BDR25" s="87"/>
      <c r="BDS25" s="87"/>
      <c r="BDT25" s="87"/>
      <c r="BDU25" s="87"/>
      <c r="BDV25" s="87"/>
      <c r="BDW25" s="87"/>
      <c r="BDX25" s="87"/>
      <c r="BDY25" s="87"/>
      <c r="BDZ25" s="87"/>
      <c r="BEA25" s="87"/>
      <c r="BEB25" s="87"/>
      <c r="BEC25" s="87"/>
      <c r="BED25" s="87"/>
      <c r="BEE25" s="87"/>
      <c r="BEF25" s="87"/>
      <c r="BEG25" s="87"/>
      <c r="BEH25" s="87"/>
      <c r="BEI25" s="87"/>
      <c r="BEJ25" s="87"/>
      <c r="BEK25" s="87"/>
    </row>
    <row r="27" spans="1:1493" x14ac:dyDescent="0.25">
      <c r="AA27" s="628" t="s">
        <v>378</v>
      </c>
      <c r="AB27" s="628"/>
      <c r="AC27" s="628"/>
      <c r="AD27" s="628"/>
      <c r="AE27" s="628"/>
      <c r="AF27" s="628"/>
      <c r="AG27" s="628"/>
      <c r="AH27" s="628"/>
    </row>
    <row r="28" spans="1:1493" s="97" customFormat="1" ht="15" customHeight="1" x14ac:dyDescent="0.2">
      <c r="AA28" s="574" t="s">
        <v>416</v>
      </c>
      <c r="AB28" s="575"/>
      <c r="AC28" s="575"/>
      <c r="AD28" s="575"/>
      <c r="AE28" s="576"/>
      <c r="AF28" s="574" t="s">
        <v>417</v>
      </c>
      <c r="AG28" s="575"/>
      <c r="AH28" s="576"/>
      <c r="DA28" s="98"/>
      <c r="DB28" s="99"/>
    </row>
    <row r="29" spans="1:1493" ht="34.799999999999997" x14ac:dyDescent="0.25">
      <c r="B29" s="309" t="s">
        <v>367</v>
      </c>
      <c r="K29" s="627" t="s">
        <v>378</v>
      </c>
      <c r="L29" s="627"/>
      <c r="AA29" s="402" t="s">
        <v>419</v>
      </c>
      <c r="AB29" s="402" t="s">
        <v>262</v>
      </c>
      <c r="AC29" s="403" t="s">
        <v>427</v>
      </c>
      <c r="AD29" s="403" t="s">
        <v>39</v>
      </c>
      <c r="AE29" s="403" t="s">
        <v>418</v>
      </c>
      <c r="AF29" s="403" t="s">
        <v>420</v>
      </c>
      <c r="AG29" s="402" t="s">
        <v>263</v>
      </c>
      <c r="AH29" s="403" t="s">
        <v>264</v>
      </c>
    </row>
    <row r="30" spans="1:1493" s="97" customFormat="1" ht="15" customHeight="1" x14ac:dyDescent="0.2">
      <c r="A30" s="236">
        <f t="shared" ref="A30" si="7">IF(B30&lt;&gt;"",1,0)</f>
        <v>1</v>
      </c>
      <c r="B30" s="74">
        <f>RedBasica!E30</f>
        <v>0</v>
      </c>
      <c r="C30" s="75">
        <f>RedBasica!F30</f>
        <v>0</v>
      </c>
      <c r="D30" s="76">
        <f>RedBasica!G30</f>
        <v>0</v>
      </c>
      <c r="E30" s="76">
        <f>RedBasica!H30</f>
        <v>0</v>
      </c>
      <c r="F30" s="76">
        <f>RedBasica!I30</f>
        <v>0</v>
      </c>
      <c r="G30" s="76">
        <f>RedBasica!J30</f>
        <v>0</v>
      </c>
      <c r="H30" s="76">
        <f>RedBasica!K30</f>
        <v>0</v>
      </c>
      <c r="I30" s="76">
        <f>RedBasica!L30</f>
        <v>0</v>
      </c>
      <c r="J30" s="199">
        <f>RedBasica!O30</f>
        <v>0</v>
      </c>
      <c r="K30" s="76">
        <f>RedBasica!AO30</f>
        <v>0</v>
      </c>
      <c r="L30" s="76">
        <f>RedBasica!AV30</f>
        <v>0</v>
      </c>
      <c r="M30" s="77">
        <f>RedBasica!AA30</f>
        <v>0</v>
      </c>
      <c r="N30" s="77">
        <f>RedBasica!AB30</f>
        <v>0</v>
      </c>
      <c r="O30" s="78">
        <f>RedBasica!AC30</f>
        <v>0</v>
      </c>
      <c r="P30" s="78">
        <f>RedBasica!AD30</f>
        <v>0</v>
      </c>
      <c r="Q30" s="78">
        <f>RedBasica!AE30</f>
        <v>0</v>
      </c>
      <c r="R30" s="78">
        <f>RedBasica!AF30</f>
        <v>0</v>
      </c>
      <c r="S30" s="77">
        <f>RedBasica!X30</f>
        <v>0</v>
      </c>
      <c r="T30" s="77">
        <f>RedBasica!Y30</f>
        <v>0</v>
      </c>
      <c r="U30" s="77">
        <f>RedBasica!V30</f>
        <v>0</v>
      </c>
      <c r="V30" s="77">
        <f>RedBasica!W30</f>
        <v>0</v>
      </c>
      <c r="W30" s="79">
        <f>RedBasica!AG30</f>
        <v>0</v>
      </c>
      <c r="X30" s="79">
        <f>RedBasica!AJ30</f>
        <v>0</v>
      </c>
      <c r="Y30" s="80">
        <f>RedBasica!AL30</f>
        <v>0</v>
      </c>
      <c r="Z30" s="79">
        <f>RedBasica!AM30</f>
        <v>0</v>
      </c>
      <c r="AA30" s="77">
        <f>MAX(RedBasica!AO30,RedBasica!AV30)</f>
        <v>0</v>
      </c>
      <c r="AB30" s="81">
        <f>MAX(RedBasica!AQ30,RedBasica!AX30)</f>
        <v>0</v>
      </c>
      <c r="AC30" s="77">
        <f>MAX(RedBasica!AR30,RedBasica!AY30)</f>
        <v>0</v>
      </c>
      <c r="AD30" s="77">
        <f>MAX(RedBasica!AS30,RedBasica!AZ30)</f>
        <v>0</v>
      </c>
      <c r="AE30" s="77">
        <f>MAX(RedBasica!AT30,RedBasica!BA30)</f>
        <v>0</v>
      </c>
      <c r="AF30" s="77">
        <f>MIN(RedBasica!AN30,RedBasica!AU30)</f>
        <v>0</v>
      </c>
      <c r="AG30" s="81">
        <f>MIN(RedBasica!AQ30,RedBasica!AX30)</f>
        <v>0</v>
      </c>
      <c r="AH30" s="77">
        <f>MIN(RedBasica!AR30,RedBasica!AY30)</f>
        <v>0</v>
      </c>
      <c r="AI30" s="238">
        <f>RedBasica!BC30</f>
        <v>0</v>
      </c>
      <c r="AJ30" s="238">
        <f>RedBasica!BE30</f>
        <v>0</v>
      </c>
      <c r="AK30" s="121">
        <f>RedBasica!BG30</f>
        <v>0</v>
      </c>
      <c r="CV30" s="98"/>
      <c r="CW30" s="99"/>
    </row>
    <row r="35" spans="1:37" x14ac:dyDescent="0.25">
      <c r="A35" s="100"/>
      <c r="B35" s="101"/>
      <c r="C35" s="101"/>
      <c r="D35" s="102"/>
      <c r="E35" s="103"/>
      <c r="F35" s="104"/>
      <c r="G35" s="105"/>
      <c r="H35" s="104"/>
      <c r="I35" s="104"/>
      <c r="J35" s="102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6"/>
      <c r="AF35" s="104"/>
    </row>
    <row r="36" spans="1:37" x14ac:dyDescent="0.25">
      <c r="A36" s="100"/>
      <c r="B36" s="101"/>
      <c r="C36" s="101"/>
      <c r="D36" s="102"/>
      <c r="E36" s="103"/>
      <c r="F36" s="104"/>
      <c r="G36" s="105"/>
      <c r="H36" s="104"/>
      <c r="I36" s="104"/>
      <c r="J36" s="102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6"/>
      <c r="AF36" s="104"/>
    </row>
    <row r="38" spans="1:37" x14ac:dyDescent="0.25">
      <c r="A38" s="400" t="s">
        <v>415</v>
      </c>
      <c r="B38" s="395"/>
      <c r="C38" s="395"/>
      <c r="D38" s="396"/>
      <c r="E38" s="397"/>
      <c r="F38" s="398"/>
      <c r="G38" s="399"/>
      <c r="H38" s="398"/>
      <c r="I38" s="398"/>
      <c r="J38" s="396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398"/>
      <c r="AE38" s="106"/>
      <c r="AF38" s="104"/>
    </row>
    <row r="39" spans="1:37" x14ac:dyDescent="0.25">
      <c r="A39" s="310" t="s">
        <v>369</v>
      </c>
    </row>
    <row r="40" spans="1:37" x14ac:dyDescent="0.25">
      <c r="A40" s="82">
        <f>RedBasica!E40</f>
        <v>0</v>
      </c>
      <c r="B40" s="82" t="str">
        <f>IF(RedBasica!G40=0,"",RedBasica!G40)</f>
        <v/>
      </c>
      <c r="C40" s="82" t="str">
        <f>IF(RedBasica!H40=0,"",RedBasica!H40)</f>
        <v/>
      </c>
      <c r="D40" s="82" t="str">
        <f>IF(RedBasica!I40=0,"",RedBasica!I40)</f>
        <v/>
      </c>
      <c r="E40" s="83">
        <f>IF(OR(Parametros!$F$33=0,RedBasica!$F40=0),0,IF(Parametros!$F$33="Não",0,IF(Parametros!$F$33="Sim",1,0)))</f>
        <v>0</v>
      </c>
      <c r="F40" s="84">
        <f>IFERROR(INDEX($M$15:$M$10000,MATCH(B40,$A$15:$A$10000,0),1),0)</f>
        <v>0</v>
      </c>
      <c r="G40" s="303">
        <f>IFERROR(INDEX($M$15:$M$10000,MATCH(C40,$A$15:$A$10000,0),1),0)</f>
        <v>0</v>
      </c>
      <c r="H40" s="303">
        <f>IFERROR(INDEX($M$15:$M$10000,MATCH(D40,$A$15:$A$10000,0),1),0)</f>
        <v>0</v>
      </c>
      <c r="I40" s="303">
        <f>SUM(F40,G40,H40)</f>
        <v>0</v>
      </c>
      <c r="J40" s="303">
        <f>RedBasica!K40*Parametros!$G$22*Parametros!$G$37*Parametros!$F$41/86400</f>
        <v>0</v>
      </c>
      <c r="K40" s="303">
        <f>RedBasica!M40</f>
        <v>0</v>
      </c>
      <c r="L40" s="84">
        <f>IF(RedBasica!$F40=0,0,$E40*Parametros!$G$34*RedBasica!$F40/1000)</f>
        <v>0</v>
      </c>
      <c r="M40" s="304">
        <f>SUM(I40+J40+K40+L40)</f>
        <v>0</v>
      </c>
      <c r="N40" s="304">
        <f>(M40*Parametros!$F$40)+$AD40</f>
        <v>0</v>
      </c>
      <c r="O40" s="304">
        <f>(M40*Parametros!$F$39*Parametros!$F$40)+$AD40</f>
        <v>0</v>
      </c>
      <c r="P40" s="84">
        <f>IFERROR(INDEX($W$15:$W$10000,MATCH(B40,$A$15:$A$10000,0),1),0)</f>
        <v>0</v>
      </c>
      <c r="Q40" s="85">
        <f>IFERROR(INDEX($W$15:$W$10000,MATCH(C40,$A$15:$A$10000,0),1),0)</f>
        <v>0</v>
      </c>
      <c r="R40" s="85">
        <f>IFERROR(INDEX($W$15:$W$10000,MATCH(D40,$A$15:$A$10000,0),1),0)</f>
        <v>0</v>
      </c>
      <c r="S40" s="303">
        <f>SUM(P40,Q40,R40)</f>
        <v>0</v>
      </c>
      <c r="T40" s="303">
        <f>RedBasica!L40*Parametros!$F$22*Parametros!$F$37*Parametros!$F$41/86400</f>
        <v>0</v>
      </c>
      <c r="U40" s="303">
        <f>RedBasica!N40</f>
        <v>0</v>
      </c>
      <c r="V40" s="84">
        <f>IF(RedBasica!$F40=0,0,$E40*Parametros!$F$34*RedBasica!$F40/1000)</f>
        <v>0</v>
      </c>
      <c r="W40" s="304">
        <f>SUM(S40+T40+U40+V40)</f>
        <v>0</v>
      </c>
      <c r="X40" s="304">
        <f>(W40*Parametros!$F$40)+$AD40</f>
        <v>0</v>
      </c>
      <c r="Y40" s="304">
        <f>(W40*Parametros!$F$39*Parametros!$F$40)+$AD40</f>
        <v>0</v>
      </c>
      <c r="Z40" s="64">
        <f>IFERROR(INDEX($AD$15:$AD$10000,MATCH(B40,$A$15:$A$10000,0),1),0)</f>
        <v>0</v>
      </c>
      <c r="AA40" s="301">
        <f>IFERROR(INDEX($AD$15:$AD$10000,MATCH(C40,$A$15:$A$10000,0),1),0)</f>
        <v>0</v>
      </c>
      <c r="AB40" s="301">
        <f>IFERROR(INDEX($AD$15:$AD$10000,MATCH(D40,$A$15:$A$10000,0),1),0)</f>
        <v>0</v>
      </c>
      <c r="AC40" s="301">
        <f>RedBasica!O40</f>
        <v>0</v>
      </c>
      <c r="AD40" s="302">
        <f>SUM(Z40:AC40)</f>
        <v>0</v>
      </c>
    </row>
    <row r="45" spans="1:37" x14ac:dyDescent="0.25">
      <c r="A45" s="100"/>
      <c r="B45" s="101"/>
      <c r="C45" s="101"/>
      <c r="D45" s="102"/>
      <c r="E45" s="103"/>
      <c r="F45" s="104"/>
      <c r="G45" s="105"/>
      <c r="H45" s="104"/>
      <c r="I45" s="104"/>
      <c r="J45" s="102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6"/>
      <c r="AF45" s="104"/>
    </row>
    <row r="46" spans="1:37" x14ac:dyDescent="0.25">
      <c r="A46" s="100"/>
      <c r="B46" s="101"/>
      <c r="C46" s="101"/>
      <c r="D46" s="102"/>
      <c r="E46" s="103"/>
      <c r="F46" s="104"/>
      <c r="G46" s="105"/>
      <c r="H46" s="104"/>
      <c r="I46" s="104"/>
      <c r="J46" s="102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6"/>
      <c r="AF46" s="104"/>
      <c r="AG46" s="107"/>
    </row>
    <row r="47" spans="1:37" x14ac:dyDescent="0.25">
      <c r="A47" s="100"/>
      <c r="B47" s="101"/>
      <c r="C47" s="101"/>
      <c r="D47" s="102"/>
      <c r="E47" s="103"/>
      <c r="F47" s="104"/>
      <c r="G47" s="105"/>
      <c r="H47" s="104"/>
      <c r="I47" s="104"/>
      <c r="J47" s="102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6"/>
      <c r="AF47" s="104"/>
      <c r="AG47" s="107"/>
    </row>
    <row r="48" spans="1:37" x14ac:dyDescent="0.25">
      <c r="A48" s="100"/>
      <c r="B48" s="101"/>
      <c r="C48" s="101"/>
      <c r="D48" s="102"/>
      <c r="E48" s="103"/>
      <c r="F48" s="104"/>
      <c r="G48" s="105"/>
      <c r="H48" s="104"/>
      <c r="I48" s="104"/>
      <c r="J48" s="102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312" t="s">
        <v>378</v>
      </c>
      <c r="AC48" s="104"/>
      <c r="AD48" s="104"/>
      <c r="AE48" s="106"/>
      <c r="AF48" s="104"/>
      <c r="AG48" s="107"/>
      <c r="AK48" s="312" t="s">
        <v>378</v>
      </c>
    </row>
    <row r="49" spans="1:42" x14ac:dyDescent="0.25">
      <c r="A49" s="310" t="s">
        <v>368</v>
      </c>
      <c r="B49" s="101"/>
      <c r="C49" s="101"/>
      <c r="D49" s="102"/>
      <c r="E49" s="103"/>
      <c r="F49" s="104"/>
      <c r="G49" s="105"/>
      <c r="H49" s="104"/>
      <c r="I49" s="104"/>
      <c r="J49" s="102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6"/>
      <c r="AF49" s="104"/>
      <c r="AG49" s="107"/>
    </row>
    <row r="50" spans="1:42" x14ac:dyDescent="0.25">
      <c r="A50" s="82">
        <f>RedBasica!E50</f>
        <v>0</v>
      </c>
      <c r="B50" s="82" t="str">
        <f>IF(RedBasica!G50=0,"",RedBasica!G50)</f>
        <v/>
      </c>
      <c r="C50" s="82" t="str">
        <f>IF(RedBasica!H50=0,"",RedBasica!H50)</f>
        <v/>
      </c>
      <c r="D50" s="82" t="str">
        <f>IF(RedBasica!I50=0,"",RedBasica!I50)</f>
        <v/>
      </c>
      <c r="E50" s="84" t="str">
        <f>IF(AND(RedBasica!D50=RedBasica!D49,RedBasica!F50&gt;0),RedBasica!Y49,"")</f>
        <v/>
      </c>
      <c r="F50" s="63" t="str">
        <f>IFERROR(INDEX($J$15:$J$10000,MATCH(C50,$A$15:$A$10000,0),1),"")</f>
        <v/>
      </c>
      <c r="G50" s="63" t="str">
        <f>IFERROR(INDEX($J$15:$J$10000,MATCH(D50,$A$15:$A$10000,0),1),"")</f>
        <v/>
      </c>
      <c r="H50" s="63">
        <f>MAX(E50:G50)</f>
        <v>0</v>
      </c>
      <c r="I50" s="63">
        <f>RedBasica!X50</f>
        <v>0</v>
      </c>
      <c r="J50" s="63">
        <f>RedBasica!Y50</f>
        <v>0</v>
      </c>
      <c r="K50" s="84" t="str">
        <f>IF(AND(RedBasica!D50=RedBasica!D49,RedBasica!F50&gt;0),RedBasica!W49,"")</f>
        <v/>
      </c>
      <c r="L50" s="63" t="str">
        <f>IFERROR(INDEX($P$15:$P$10000,MATCH(C50,$A$15:$A$10000,0),1),"")</f>
        <v/>
      </c>
      <c r="M50" s="63" t="str">
        <f>IFERROR(INDEX($P$15:$P$10000,MATCH(D50,$A$15:$A$10000,0),1),"")</f>
        <v/>
      </c>
      <c r="N50" s="63">
        <f>MAX(K50:M50)</f>
        <v>0</v>
      </c>
      <c r="O50" s="63">
        <f>RedBasica!V50</f>
        <v>0</v>
      </c>
      <c r="P50" s="63">
        <f>RedBasica!W50</f>
        <v>0</v>
      </c>
      <c r="Q50" s="63" t="str">
        <f>IFERROR(INDEX('A3'!$E$15:$E$10000,MATCH(RedBasica!G50,'A3'!$A$15:$A$10000,0),1),"")</f>
        <v/>
      </c>
      <c r="R50" s="63" t="str">
        <f>IFERROR(INDEX('A3'!$E$15:$E$10000,MATCH(C50,$A$15:$A$10000,0),1),"")</f>
        <v/>
      </c>
      <c r="S50" s="63" t="str">
        <f>IFERROR(INDEX('A3'!$E$15:$E$10000,MATCH(D50,$A$15:$A$10000,0),1),"")</f>
        <v/>
      </c>
      <c r="T50" s="63">
        <f>MIN(Q50:S50)</f>
        <v>0</v>
      </c>
      <c r="U50" s="63" t="str">
        <f>IFERROR(INDEX('A3'!$D$15:$D$10000,MATCH(A50,'A3'!$A$15:$A$10000,0),1),"")</f>
        <v/>
      </c>
      <c r="V50" s="266">
        <f>IF(Q50="",0,(IF(U50-T50&gt;(Parametros!$F$64*(-1)),ROUNDUP(U50-T50+(Parametros!$F$64),2),0)))</f>
        <v>0</v>
      </c>
      <c r="W50" s="63" t="str">
        <f>IFERROR(INDEX('A3'!$I$15:$I$10000,MATCH(RedBasica!G50,'A3'!$A$15:$A$10000,0),1),"")</f>
        <v/>
      </c>
      <c r="X50" s="63" t="str">
        <f>IFERROR(INDEX('A3'!$I$15:$I$10000,MATCH(C50,$A$15:$A$10000,0),1),"")</f>
        <v/>
      </c>
      <c r="Y50" s="63" t="str">
        <f>IFERROR(INDEX('A3'!$I$15:$I$10000,MATCH(D50,$A$15:$A$10000,0),1),"")</f>
        <v/>
      </c>
      <c r="Z50" s="63">
        <f>MIN(W50:Y50)</f>
        <v>0</v>
      </c>
      <c r="AA50" s="63" t="str">
        <f>IFERROR(INDEX('A3'!$H$15:$H$10000,MATCH(A50,'A3'!$A$15:$A$10000,0),1),"")</f>
        <v/>
      </c>
      <c r="AB50" s="266">
        <f>IFERROR(IF(W50="",0,(IF(AA50-Z50&gt;0.00000001,IF(ROUNDUP(AA50-Z50,2)&lt;Parametros!$F$66,ROUNDUP(Parametros!$F$66,2),ROUNDUP(AA50-Z50,2)),0))),0)</f>
        <v>0</v>
      </c>
      <c r="AC50" s="63">
        <f>RedBasica!T50</f>
        <v>0</v>
      </c>
      <c r="AD50" s="266">
        <f>ROUND(I50+AB50,2)</f>
        <v>0</v>
      </c>
      <c r="AE50" s="266"/>
      <c r="AF50" s="266" cm="1">
        <f t="array" ref="AF50"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266" t="str">
        <f t="shared" ref="AG50" si="8">IF(AF50="-","-",IF(AF50-J50=0,"-",ROUND(AF50,2)))</f>
        <v>-</v>
      </c>
      <c r="AH50" s="275">
        <f>RedBasica!B50</f>
        <v>0</v>
      </c>
      <c r="AI50" s="275">
        <f>RedBasica!AK50</f>
        <v>0</v>
      </c>
      <c r="AJ50" s="275">
        <f>RedBasica!AL50</f>
        <v>0</v>
      </c>
      <c r="AK50" s="275">
        <f>IF(AH50=1,AI50,MAX(AI50,IFERROR(INDEX($AJ$15:$AJ$10000,MATCH(B50,$A$15:$A$10000,0)),0),IFERROR(INDEX($AJ$15:$AJ$10000,MATCH(C50,$A$15:$A$10000,0)),0),IFERROR(INDEX($AJ$15:$AJ$10000,MATCH(D50,$A$15:$A$10000,0)),0)))</f>
        <v>0</v>
      </c>
      <c r="AL50" s="276"/>
      <c r="AO50" s="311"/>
    </row>
    <row r="51" spans="1:42" ht="14.4" x14ac:dyDescent="0.3">
      <c r="A51" s="160"/>
      <c r="B51"/>
      <c r="C51"/>
      <c r="D51" s="167"/>
      <c r="E51" s="160"/>
      <c r="F51" s="161"/>
      <c r="G51"/>
      <c r="H51"/>
      <c r="I51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42" x14ac:dyDescent="0.25"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42" x14ac:dyDescent="0.25"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42" x14ac:dyDescent="0.25"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42" customFormat="1" x14ac:dyDescent="0.25">
      <c r="AI55" s="87"/>
      <c r="AJ55" s="87"/>
      <c r="AK55" s="87"/>
      <c r="AL55" s="87"/>
      <c r="AM55" s="87"/>
      <c r="AN55" s="87"/>
      <c r="AO55" s="87"/>
      <c r="AP55" s="87"/>
    </row>
    <row r="58" spans="1:42" x14ac:dyDescent="0.25">
      <c r="H58" s="627" t="s">
        <v>378</v>
      </c>
      <c r="I58" s="627"/>
    </row>
    <row r="59" spans="1:42" x14ac:dyDescent="0.25">
      <c r="A59" s="310" t="s">
        <v>370</v>
      </c>
    </row>
    <row r="60" spans="1:42" x14ac:dyDescent="0.25">
      <c r="A60" s="94">
        <f>RedBasica!E60</f>
        <v>0</v>
      </c>
      <c r="B60" s="90">
        <f>RedBasica!AA60</f>
        <v>0</v>
      </c>
      <c r="C60" s="90">
        <f>RedBasica!AB60</f>
        <v>0</v>
      </c>
      <c r="D60" s="90">
        <f>IF(ISERR(RedBasica!AC60),"-",RedBasica!AC60)</f>
        <v>0</v>
      </c>
      <c r="E60" s="90">
        <f>IF(ISERR(RedBasica!AD60),"-",RedBasica!AD60)</f>
        <v>0</v>
      </c>
      <c r="F60" s="90">
        <f>IF(ISERR(RedBasica!F60=0),"-",RedBasica!AE60)</f>
        <v>0</v>
      </c>
      <c r="G60" s="90">
        <f>IF(ISERR(RedBasica!F60=0),"-",RedBasica!AF60)</f>
        <v>0</v>
      </c>
      <c r="H60" s="90">
        <f>IF(ISERR(RedBasica!F60=0),"-",RedBasica!AC60+MAX(RedBasica!AP60,RedBasica!AW60))</f>
        <v>0</v>
      </c>
      <c r="I60" s="90">
        <f>IF(ISERR(RedBasica!F60=0),"-",RedBasica!AD60+MAX(RedBasica!AP60,RedBasica!AW60))</f>
        <v>0</v>
      </c>
    </row>
    <row r="69" spans="1:7" x14ac:dyDescent="0.25">
      <c r="A69" s="310" t="s">
        <v>371</v>
      </c>
    </row>
    <row r="70" spans="1:7" customFormat="1" x14ac:dyDescent="0.25">
      <c r="A70" s="82">
        <f>RedBasica!E70</f>
        <v>0</v>
      </c>
      <c r="B70" s="86">
        <f>RedBasica!BF70</f>
        <v>0</v>
      </c>
      <c r="C70" s="63">
        <f>IF(OR(B70=0,B70=""),0,IFERROR(INDEX('A3'!$E$15:$E$10000,(MATCH(A70,'A3'!$A$15:$A$10000,0))),0)-IFERROR(INDEX('A3'!$D$15:$D$10000,(MATCH(B70,'A3'!$A$15:$A$10000,0))),0))</f>
        <v>0</v>
      </c>
      <c r="D70" s="73" t="str">
        <f>IF(C70&gt;0.005,IF(C70&lt;Parametros!$F$65,"D","TC"),"")</f>
        <v/>
      </c>
    </row>
    <row r="78" spans="1:7" x14ac:dyDescent="0.25">
      <c r="A78" t="s">
        <v>72</v>
      </c>
      <c r="B78" t="s">
        <v>75</v>
      </c>
      <c r="C78" t="s">
        <v>78</v>
      </c>
      <c r="D78" t="s">
        <v>76</v>
      </c>
      <c r="E78" s="180" t="s">
        <v>77</v>
      </c>
      <c r="F78" s="87" t="s">
        <v>111</v>
      </c>
      <c r="G78" t="s">
        <v>122</v>
      </c>
    </row>
    <row r="79" spans="1:7" x14ac:dyDescent="0.25">
      <c r="A79" s="310" t="s">
        <v>372</v>
      </c>
    </row>
    <row r="80" spans="1:7" x14ac:dyDescent="0.25">
      <c r="A80" s="165">
        <f>'A5'!A80</f>
        <v>0</v>
      </c>
      <c r="B80" t="e">
        <f>IFERROR(INDEX(RedBasica!$BC$15:$BC$10000,MATCH($A80,RedBasica!$BB$15:$BB$10000,0)),INDEX(RedBasica!$BE$15:$BE$10000,MATCH($A80,RedBasica!$BD$15:$BD$10000,0)))</f>
        <v>#N/A</v>
      </c>
      <c r="C80" s="172" t="e">
        <f>TEXT(ROUND(IFERROR(INDEX(RedBasica!$AC$15:$AC$10000,MATCH($A80,RedBasica!$BB$15:$BB$10000,0)),INDEX(RedBasica!$AD$15:$AD$10000,MATCH($A80,RedBasica!$BD$15:$BD$10000,0))),2),"0.00")</f>
        <v>#N/A</v>
      </c>
      <c r="D80" s="172" t="e">
        <f>TEXT(ROUND(IFERROR(INDEX(RedBasica!$X$15:$X$10000,MATCH($A80,RedBasica!$BB$15:$BB$10000,0)),INDEX(RedBasica!$Y$15:$Y$10000,MATCH($A80,RedBasica!$BD$15:$BD$10000,0))),2),"0.00")</f>
        <v>#N/A</v>
      </c>
      <c r="F80" s="172" t="e">
        <f>TEXT(ROUND(IFERROR(INDEX(RedBasica!$AE$15:$AE$10000,MATCH($A80,RedBasica!$BB$15:$BB$10000,0)),INDEX(RedBasica!$AF$15:$AF$10000,MATCH($A80,RedBasica!$BD$15:$BD$10000,0))),2),"0.00")</f>
        <v>#N/A</v>
      </c>
      <c r="G80" s="172" t="e">
        <f>TEXT(ROUND(IFERROR(INDEX(RedBasica!$V$15:$V$10000,MATCH($A80,RedBasica!$BB$15:$BB$10000,0)),INDEX(RedBasica!$W$15:$W$10000,MATCH($A80,RedBasica!$BD$15:$BD$10000,0))),2),"0.00")</f>
        <v>#N/A</v>
      </c>
    </row>
    <row r="81" spans="1:28" x14ac:dyDescent="0.25">
      <c r="A81"/>
      <c r="B81"/>
      <c r="C81"/>
      <c r="D81"/>
      <c r="E81" s="180"/>
      <c r="G81"/>
    </row>
    <row r="89" spans="1:28" x14ac:dyDescent="0.25">
      <c r="A89" s="310" t="s">
        <v>373</v>
      </c>
      <c r="L89" s="393" t="s">
        <v>398</v>
      </c>
      <c r="M89" s="393" t="s">
        <v>399</v>
      </c>
      <c r="N89" s="393" t="s">
        <v>400</v>
      </c>
      <c r="O89" s="393" t="s">
        <v>402</v>
      </c>
      <c r="P89" s="393" t="s">
        <v>403</v>
      </c>
      <c r="Q89" s="393" t="s">
        <v>404</v>
      </c>
      <c r="R89" s="393" t="s">
        <v>405</v>
      </c>
      <c r="Y89" s="393" t="s">
        <v>92</v>
      </c>
      <c r="Z89" s="393" t="s">
        <v>406</v>
      </c>
      <c r="AA89" s="393" t="s">
        <v>93</v>
      </c>
      <c r="AB89" s="393" t="s">
        <v>407</v>
      </c>
    </row>
    <row r="90" spans="1:28" x14ac:dyDescent="0.25">
      <c r="A90" s="171">
        <f>ImportQGIS!D90</f>
        <v>0</v>
      </c>
      <c r="B90" t="e">
        <f>TEXT(ROUND(INDEX(RedBasica!$Y$15:$Y$10000,MATCH($A90,RedBasica!$E$15:$E$10000,0)),2),"0.00")</f>
        <v>#N/A</v>
      </c>
      <c r="C90" t="e">
        <f>TEXT(ROUND(INDEX(RedBasica!$X$15:$X$10000,MATCH($A90,RedBasica!$E$15:$E$10000,0)),2),"0.00")</f>
        <v>#N/A</v>
      </c>
      <c r="D90" t="e">
        <f>TEXT(ROUND(INDEX(RedBasica!$W$15:$W$10000,MATCH($A90,RedBasica!$E$15:$E$10000,0)),2),"0.00")</f>
        <v>#N/A</v>
      </c>
      <c r="E90" t="e">
        <f>TEXT(ROUND(INDEX(RedBasica!$V$15:$V$10000,MATCH($A90,RedBasica!$E$15:$E$10000,0)),2),"0.00")</f>
        <v>#N/A</v>
      </c>
      <c r="F90" t="e">
        <f>TEXT(ROUND(INDEX(RedBasica!$AJ$15:$AJ$10000,MATCH($A90,RedBasica!$E$15:$E$10000,0)),5),"0.00000")</f>
        <v>#N/A</v>
      </c>
      <c r="G90" t="e">
        <f>(INDEX(RedBasica!$AL$15:$AL$10000,MATCH($A90,RedBasica!$E$15:$E$10000,0)))</f>
        <v>#N/A</v>
      </c>
      <c r="H90" t="e">
        <f>(INDEX(Parametros!$C$71:$C$84,MATCH((INDEX(RedBasica!$AL$15:$AL$10000,MATCH($A90,RedBasica!$E$15:$E$10000,0))),Parametros!$B$71:$B$84,0)))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TEXT(ROUND(INDEX(RedBasica!$AM$15:$AM$10000,MATCH($A90,RedBasica!$E$15:$E$10000,0)),4),"0.0000")</f>
        <v>#N/A</v>
      </c>
      <c r="L90" t="e">
        <f>TEXT(ROUND(INDEX(RedBasica!$Q$15:$Q$10000,MATCH($A90,RedBasica!$E$15:$E$10000,0)),2),"0.00")</f>
        <v>#N/A</v>
      </c>
      <c r="M90" t="e">
        <f>TEXT(ROUND(INDEX(RedBasica!$P$15:$P$10000,MATCH($A90,RedBasica!$E$15:$E$10000,0)),2),"0.00")</f>
        <v>#N/A</v>
      </c>
      <c r="N90" t="e">
        <f>TEXT(ROUND(INDEX('A1'!$AD$15:$AD$10000,MATCH($A90,'A1'!$A$15:$A$10000,0)),4),"0.0000")</f>
        <v>#N/A</v>
      </c>
      <c r="O90" t="e">
        <f>TEXT(ROUND(INDEX(RedBasica!$AU$15:$AU$10000,MATCH($A90,RedBasica!$E$15:$E$10000,0)),2),"0.00")</f>
        <v>#N/A</v>
      </c>
      <c r="P90" t="e">
        <f>TEXT(ROUND(INDEX(RedBasica!$AN$15:$AN$10000,MATCH($A90,RedBasica!$E$15:$E$10000,0)),2),"0.00")</f>
        <v>#N/A</v>
      </c>
      <c r="Q90" t="e">
        <f>TEXT(ROUND(INDEX(RedBasica!$AV$15:$AV$10000,MATCH($A90,RedBasica!$E$15:$E$10000,0)),2),"0.00")</f>
        <v>#N/A</v>
      </c>
      <c r="R90" t="e">
        <f>TEXT(ROUND(INDEX(RedBasica!$AO$15:$AO$10000,MATCH($A90,RedBasica!$E$15:$E$10000,0)),2),"0.00")</f>
        <v>#N/A</v>
      </c>
      <c r="S90" t="e">
        <f>TEXT(ROUND(INDEX(RedBasica!$AW$15:$AW$10000,MATCH($A90,RedBasica!$E$15:$E$10000,0)),4),"0.00")</f>
        <v>#N/A</v>
      </c>
      <c r="T90" t="e">
        <f>TEXT(ROUND(INDEX(RedBasica!$AP$15:$AP$10000,MATCH($A90,RedBasica!$E$15:$E$10000,0)),4),"0.00")</f>
        <v>#N/A</v>
      </c>
      <c r="U90" t="e">
        <f>TEXT(ROUND(((INDEX(RedBasica!$AX$15:$AX$10000,MATCH($A90,RedBasica!$E$15:$E$10000,0)))*100),0),"0")</f>
        <v>#N/A</v>
      </c>
      <c r="V90" t="e">
        <f>TEXT(ROUND(((INDEX(RedBasica!$AQ$15:$AQ$10000,MATCH($A90,RedBasica!$E$15:$E$10000,0)))*100),0),"0")</f>
        <v>#N/A</v>
      </c>
      <c r="W90" t="e">
        <f>TEXT(ROUND(INDEX(RedBasica!$AY$15:$AY$10000,MATCH($A90,RedBasica!$E$15:$E$10000,0)),2),"0.00")</f>
        <v>#N/A</v>
      </c>
      <c r="X90" t="e">
        <f>TEXT(ROUND(INDEX(RedBasica!$AR$15:$AR$10000,MATCH($A90,RedBasica!$E$15:$E$10000,0)),2),"0.00")</f>
        <v>#N/A</v>
      </c>
      <c r="Y90" t="e">
        <f>TEXT(ROUND(INDEX(RedBasica!$BA$15:$BA$10000,MATCH($A90,RedBasica!$E$15:$E$10000,0)),2),"0.00")</f>
        <v>#N/A</v>
      </c>
      <c r="Z90" t="e">
        <f>TEXT(ROUND(INDEX(RedBasica!$AZ$15:$AZ$10000,MATCH($A90,RedBasica!$E$15:$E$10000,0)),2),"0.00")</f>
        <v>#N/A</v>
      </c>
      <c r="AA90" t="e">
        <f>TEXT(ROUND(INDEX(RedBasica!$AT$15:$AT$10000,MATCH($A90,RedBasica!$E$15:$E$10000,0)),2),"0.00")</f>
        <v>#N/A</v>
      </c>
      <c r="AB90" t="e">
        <f>TEXT(ROUND(INDEX(RedBasica!$AS$15:$AS$10000,MATCH($A90,RedBasica!$E$15:$E$10000,0)),2),"0.00")</f>
        <v>#N/A</v>
      </c>
    </row>
    <row r="91" spans="1:28" x14ac:dyDescent="0.25">
      <c r="A91"/>
      <c r="B91"/>
      <c r="C91"/>
      <c r="D91"/>
      <c r="E91"/>
      <c r="F91"/>
      <c r="G91"/>
      <c r="H91" s="180"/>
      <c r="I91"/>
      <c r="J91"/>
      <c r="K91"/>
      <c r="L91"/>
      <c r="M91"/>
      <c r="N91"/>
      <c r="O91"/>
      <c r="P91" s="180"/>
      <c r="Q91" s="180"/>
      <c r="R91" s="180"/>
      <c r="S91" s="180"/>
      <c r="T91"/>
      <c r="U91"/>
      <c r="V91"/>
      <c r="W91"/>
      <c r="X91"/>
    </row>
    <row r="97" spans="5:11" x14ac:dyDescent="0.25">
      <c r="E97" s="173"/>
      <c r="G97" s="165"/>
      <c r="H97"/>
      <c r="J97" s="160"/>
      <c r="K97" s="160"/>
    </row>
  </sheetData>
  <mergeCells count="17">
    <mergeCell ref="P13:Q13"/>
    <mergeCell ref="AK13:AL13"/>
    <mergeCell ref="H58:I58"/>
    <mergeCell ref="C10:G10"/>
    <mergeCell ref="AA28:AE28"/>
    <mergeCell ref="AF28:AH28"/>
    <mergeCell ref="K29:L29"/>
    <mergeCell ref="AA27:AH27"/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K6:O6">
    <cfRule type="cellIs" dxfId="69" priority="1498" operator="equal">
      <formula>0</formula>
    </cfRule>
  </conditionalFormatting>
  <conditionalFormatting sqref="K2:O5">
    <cfRule type="cellIs" dxfId="68" priority="1499" operator="equal">
      <formula>0</formula>
    </cfRule>
  </conditionalFormatting>
  <conditionalFormatting sqref="C7:G9">
    <cfRule type="cellIs" dxfId="67" priority="1497" operator="equal">
      <formula>0</formula>
    </cfRule>
  </conditionalFormatting>
  <conditionalFormatting sqref="C11:G11">
    <cfRule type="cellIs" dxfId="66" priority="1496" operator="equal">
      <formula>0</formula>
    </cfRule>
  </conditionalFormatting>
  <conditionalFormatting sqref="C30:T30 AA30:AK30">
    <cfRule type="cellIs" dxfId="65" priority="1494" stopIfTrue="1" operator="equal">
      <formula>0</formula>
    </cfRule>
  </conditionalFormatting>
  <conditionalFormatting sqref="U30:V30">
    <cfRule type="cellIs" dxfId="64" priority="1493" stopIfTrue="1" operator="equal">
      <formula>0</formula>
    </cfRule>
  </conditionalFormatting>
  <conditionalFormatting sqref="Y30">
    <cfRule type="cellIs" dxfId="63" priority="1495" stopIfTrue="1" operator="greaterThan">
      <formula>150</formula>
    </cfRule>
  </conditionalFormatting>
  <conditionalFormatting sqref="K15:N15">
    <cfRule type="cellIs" dxfId="62" priority="72" stopIfTrue="1" operator="equal">
      <formula>0</formula>
    </cfRule>
  </conditionalFormatting>
  <conditionalFormatting sqref="E15">
    <cfRule type="expression" dxfId="61" priority="71" stopIfTrue="1">
      <formula>B15=1</formula>
    </cfRule>
  </conditionalFormatting>
  <conditionalFormatting sqref="AJ15">
    <cfRule type="expression" dxfId="60" priority="70" stopIfTrue="1">
      <formula>ROUND(AJ15,5)&lt;ROUND(AH15,5)</formula>
    </cfRule>
  </conditionalFormatting>
  <conditionalFormatting sqref="BB15">
    <cfRule type="cellIs" dxfId="59" priority="69" stopIfTrue="1" operator="equal">
      <formula>0</formula>
    </cfRule>
  </conditionalFormatting>
  <conditionalFormatting sqref="BF15">
    <cfRule type="cellIs" dxfId="58" priority="68" stopIfTrue="1" operator="equal">
      <formula>0</formula>
    </cfRule>
  </conditionalFormatting>
  <conditionalFormatting sqref="AM15:AN15">
    <cfRule type="cellIs" dxfId="57" priority="67" stopIfTrue="1" operator="equal">
      <formula>0</formula>
    </cfRule>
  </conditionalFormatting>
  <conditionalFormatting sqref="R15:S15">
    <cfRule type="cellIs" dxfId="56" priority="66" stopIfTrue="1" operator="equal">
      <formula>0</formula>
    </cfRule>
  </conditionalFormatting>
  <conditionalFormatting sqref="T15">
    <cfRule type="cellIs" dxfId="55" priority="64" operator="equal">
      <formula>0</formula>
    </cfRule>
    <cfRule type="cellIs" dxfId="54" priority="65" operator="notEqual">
      <formula>0</formula>
    </cfRule>
  </conditionalFormatting>
  <conditionalFormatting sqref="X15">
    <cfRule type="expression" dxfId="53" priority="63" stopIfTrue="1">
      <formula>B15=1</formula>
    </cfRule>
  </conditionalFormatting>
  <conditionalFormatting sqref="W15">
    <cfRule type="expression" dxfId="52" priority="62" stopIfTrue="1">
      <formula>E15=1</formula>
    </cfRule>
  </conditionalFormatting>
  <conditionalFormatting sqref="Y15">
    <cfRule type="cellIs" dxfId="51" priority="60" operator="greaterThanOrEqual">
      <formula>3</formula>
    </cfRule>
    <cfRule type="cellIs" dxfId="50" priority="61" operator="greaterThanOrEqual">
      <formula>2</formula>
    </cfRule>
  </conditionalFormatting>
  <conditionalFormatting sqref="X15">
    <cfRule type="cellIs" dxfId="49" priority="58" operator="greaterThanOrEqual">
      <formula>3</formula>
    </cfRule>
    <cfRule type="cellIs" dxfId="48" priority="59" operator="greaterThanOrEqual">
      <formula>2</formula>
    </cfRule>
  </conditionalFormatting>
  <conditionalFormatting sqref="V15">
    <cfRule type="expression" dxfId="47" priority="57" stopIfTrue="1">
      <formula>B15=1</formula>
    </cfRule>
  </conditionalFormatting>
  <conditionalFormatting sqref="O15">
    <cfRule type="expression" dxfId="46" priority="56" stopIfTrue="1">
      <formula>#REF!&gt;0</formula>
    </cfRule>
  </conditionalFormatting>
  <conditionalFormatting sqref="Z15">
    <cfRule type="cellIs" dxfId="45" priority="54" operator="equal">
      <formula>0</formula>
    </cfRule>
    <cfRule type="cellIs" dxfId="44" priority="55" operator="notEqual">
      <formula>0</formula>
    </cfRule>
  </conditionalFormatting>
  <conditionalFormatting sqref="AQ15">
    <cfRule type="cellIs" dxfId="43" priority="53" stopIfTrue="1" operator="equal">
      <formula>0</formula>
    </cfRule>
  </conditionalFormatting>
  <conditionalFormatting sqref="AT15">
    <cfRule type="cellIs" dxfId="42" priority="51" stopIfTrue="1" operator="greaterThan">
      <formula>AS15</formula>
    </cfRule>
    <cfRule type="cellIs" dxfId="41" priority="52" stopIfTrue="1" operator="equal">
      <formula>0</formula>
    </cfRule>
  </conditionalFormatting>
  <conditionalFormatting sqref="AS15">
    <cfRule type="cellIs" dxfId="40" priority="49" stopIfTrue="1" operator="equal">
      <formula>0</formula>
    </cfRule>
    <cfRule type="cellIs" dxfId="39" priority="50" stopIfTrue="1" operator="equal">
      <formula>0</formula>
    </cfRule>
  </conditionalFormatting>
  <conditionalFormatting sqref="AO15">
    <cfRule type="cellIs" dxfId="38" priority="48" stopIfTrue="1" operator="equal">
      <formula>0</formula>
    </cfRule>
  </conditionalFormatting>
  <conditionalFormatting sqref="AU15:AV15">
    <cfRule type="cellIs" dxfId="37" priority="46" stopIfTrue="1" operator="equal">
      <formula>0</formula>
    </cfRule>
    <cfRule type="cellIs" dxfId="36" priority="47" stopIfTrue="1" operator="equal">
      <formula>0</formula>
    </cfRule>
  </conditionalFormatting>
  <conditionalFormatting sqref="AP15">
    <cfRule type="cellIs" dxfId="35" priority="45" stopIfTrue="1" operator="equal">
      <formula>0</formula>
    </cfRule>
  </conditionalFormatting>
  <conditionalFormatting sqref="AR15">
    <cfRule type="cellIs" dxfId="34" priority="44" stopIfTrue="1" operator="equal">
      <formula>0</formula>
    </cfRule>
  </conditionalFormatting>
  <conditionalFormatting sqref="AW15">
    <cfRule type="cellIs" dxfId="33" priority="43" stopIfTrue="1" operator="equal">
      <formula>0</formula>
    </cfRule>
  </conditionalFormatting>
  <conditionalFormatting sqref="AY15:AZ15">
    <cfRule type="cellIs" dxfId="32" priority="42" stopIfTrue="1" operator="equal">
      <formula>0</formula>
    </cfRule>
  </conditionalFormatting>
  <conditionalFormatting sqref="AX15">
    <cfRule type="expression" dxfId="31" priority="40" stopIfTrue="1">
      <formula>AND(BA15&gt;AZ15,AX15&gt;0.5)</formula>
    </cfRule>
    <cfRule type="cellIs" dxfId="30" priority="41" stopIfTrue="1" operator="equal">
      <formula>0</formula>
    </cfRule>
  </conditionalFormatting>
  <conditionalFormatting sqref="AQ15">
    <cfRule type="expression" dxfId="29" priority="39" stopIfTrue="1">
      <formula>AND(AT15&gt;AS15,AQ15&gt;0.5)</formula>
    </cfRule>
  </conditionalFormatting>
  <conditionalFormatting sqref="AH15">
    <cfRule type="expression" dxfId="28" priority="37" stopIfTrue="1">
      <formula>F15=0</formula>
    </cfRule>
    <cfRule type="cellIs" dxfId="27" priority="38" stopIfTrue="1" operator="notEqual">
      <formula>AI15</formula>
    </cfRule>
  </conditionalFormatting>
  <conditionalFormatting sqref="BA15">
    <cfRule type="cellIs" dxfId="26" priority="35" stopIfTrue="1" operator="greaterThan">
      <formula>AZ15</formula>
    </cfRule>
    <cfRule type="cellIs" dxfId="25" priority="36" stopIfTrue="1" operator="equal">
      <formula>0</formula>
    </cfRule>
  </conditionalFormatting>
  <conditionalFormatting sqref="L50:M50 AC50">
    <cfRule type="cellIs" dxfId="24" priority="27" stopIfTrue="1" operator="equal">
      <formula>0</formula>
    </cfRule>
  </conditionalFormatting>
  <conditionalFormatting sqref="U50 O50:S50">
    <cfRule type="cellIs" dxfId="23" priority="26" stopIfTrue="1" operator="equal">
      <formula>0</formula>
    </cfRule>
  </conditionalFormatting>
  <conditionalFormatting sqref="F50:G50">
    <cfRule type="cellIs" dxfId="22" priority="29" stopIfTrue="1" operator="equal">
      <formula>0</formula>
    </cfRule>
  </conditionalFormatting>
  <conditionalFormatting sqref="I50:J50">
    <cfRule type="cellIs" dxfId="21" priority="28" stopIfTrue="1" operator="equal">
      <formula>0</formula>
    </cfRule>
  </conditionalFormatting>
  <conditionalFormatting sqref="W50:Y50">
    <cfRule type="cellIs" dxfId="20" priority="25" stopIfTrue="1" operator="equal">
      <formula>0</formula>
    </cfRule>
  </conditionalFormatting>
  <conditionalFormatting sqref="AA50">
    <cfRule type="cellIs" dxfId="19" priority="23" stopIfTrue="1" operator="equal">
      <formula>0</formula>
    </cfRule>
  </conditionalFormatting>
  <conditionalFormatting sqref="Z50">
    <cfRule type="cellIs" dxfId="18" priority="24" stopIfTrue="1" operator="equal">
      <formula>0</formula>
    </cfRule>
  </conditionalFormatting>
  <conditionalFormatting sqref="T50">
    <cfRule type="cellIs" dxfId="17" priority="22" stopIfTrue="1" operator="equal">
      <formula>0</formula>
    </cfRule>
  </conditionalFormatting>
  <conditionalFormatting sqref="H50">
    <cfRule type="cellIs" dxfId="16" priority="21" stopIfTrue="1" operator="equal">
      <formula>0</formula>
    </cfRule>
  </conditionalFormatting>
  <conditionalFormatting sqref="N50">
    <cfRule type="cellIs" dxfId="15" priority="20" stopIfTrue="1" operator="equal">
      <formula>0</formula>
    </cfRule>
  </conditionalFormatting>
  <conditionalFormatting sqref="C10:G10">
    <cfRule type="cellIs" dxfId="14" priority="19" operator="equal">
      <formula>0</formula>
    </cfRule>
  </conditionalFormatting>
  <conditionalFormatting sqref="AL15">
    <cfRule type="expression" dxfId="13" priority="17">
      <formula>BF15=1</formula>
    </cfRule>
    <cfRule type="cellIs" dxfId="12" priority="18" stopIfTrue="1" operator="notEqual">
      <formula>AK15</formula>
    </cfRule>
  </conditionalFormatting>
  <conditionalFormatting sqref="C70">
    <cfRule type="cellIs" dxfId="11" priority="16" stopIfTrue="1" operator="equal">
      <formula>0</formula>
    </cfRule>
  </conditionalFormatting>
  <conditionalFormatting sqref="Q40:R40">
    <cfRule type="cellIs" dxfId="10" priority="7" stopIfTrue="1" operator="equal">
      <formula>0</formula>
    </cfRule>
  </conditionalFormatting>
  <conditionalFormatting sqref="G40">
    <cfRule type="cellIs" dxfId="9" priority="6" stopIfTrue="1" operator="equal">
      <formula>0</formula>
    </cfRule>
  </conditionalFormatting>
  <conditionalFormatting sqref="H40">
    <cfRule type="cellIs" dxfId="8" priority="5" stopIfTrue="1" operator="equal">
      <formula>0</formula>
    </cfRule>
  </conditionalFormatting>
  <conditionalFormatting sqref="I40">
    <cfRule type="cellIs" dxfId="7" priority="4" stopIfTrue="1" operator="equal">
      <formula>0</formula>
    </cfRule>
  </conditionalFormatting>
  <conditionalFormatting sqref="J40:K40">
    <cfRule type="cellIs" dxfId="6" priority="3" stopIfTrue="1" operator="equal">
      <formula>0</formula>
    </cfRule>
  </conditionalFormatting>
  <conditionalFormatting sqref="S40">
    <cfRule type="cellIs" dxfId="5" priority="2" stopIfTrue="1" operator="equal">
      <formula>0</formula>
    </cfRule>
  </conditionalFormatting>
  <conditionalFormatting sqref="T40:U40">
    <cfRule type="cellIs" dxfId="4" priority="1" stopIfTrue="1" operator="equal">
      <formula>0</formula>
    </cfRule>
  </conditionalFormatting>
  <dataValidations disablePrompts="1" count="1">
    <dataValidation type="list" allowBlank="1" showInputMessage="1" showErrorMessage="1" sqref="E40" xr:uid="{31F8AE50-012B-4DF7-835E-C260EE77D6A3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917475C2-F226-46A9-B8C9-41062EEFA5F8}">
            <xm:f>OR(AR15&lt;Parametros!$F$43,AY15&lt;Parametros!$F$43)</xm:f>
            <x14:dxf>
              <font>
                <b/>
                <i val="0"/>
                <color rgb="FFFF0000"/>
              </font>
              <fill>
                <patternFill>
                  <bgColor rgb="FFFFFFCC"/>
                </patternFill>
              </fill>
            </x14:dxf>
          </x14:cfRule>
          <xm:sqref>AH15</xm:sqref>
        </x14:conditionalFormatting>
        <x14:conditionalFormatting xmlns:xm="http://schemas.microsoft.com/office/excel/2006/main">
          <x14:cfRule type="expression" priority="34" stopIfTrue="1" id="{60C65EAF-0BE6-4BFE-BDA0-056EFC486B99}">
            <xm:f>IF(OR(AND(AQ15&gt;Parametros!$F$45,AL15=100),AQ15&gt;Parametros!$F$46),1,0)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expression" priority="33" stopIfTrue="1" id="{443EE6D0-46CA-43BB-B1D9-939C4D436BCE}">
            <xm:f>IF(OR(AND(AX15&gt;Parametros!$F$45,AL15=100),AX15&gt;Parametros!$F$46),1,0)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32" stopIfTrue="1" operator="lessThan" id="{345EED83-0463-4B31-8065-B8139C81B455}">
            <xm:f>Parametros!$F$43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AR15 AY15:AZ15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I26" sqref="I26"/>
    </sheetView>
  </sheetViews>
  <sheetFormatPr defaultRowHeight="13.2" x14ac:dyDescent="0.25"/>
  <cols>
    <col min="1" max="1" width="18.33203125" bestFit="1" customWidth="1"/>
    <col min="2" max="13" width="13.109375" bestFit="1" customWidth="1"/>
    <col min="14" max="14" width="12.88671875" customWidth="1"/>
    <col min="15" max="15" width="13.109375" bestFit="1" customWidth="1"/>
  </cols>
  <sheetData>
    <row r="1" spans="1:15" x14ac:dyDescent="0.25">
      <c r="A1" s="245"/>
      <c r="B1" s="244">
        <v>1</v>
      </c>
      <c r="C1" s="244">
        <v>2</v>
      </c>
      <c r="D1" s="244">
        <v>3</v>
      </c>
      <c r="E1" s="244">
        <v>4</v>
      </c>
      <c r="F1" s="244">
        <v>5</v>
      </c>
      <c r="G1" s="244">
        <v>6</v>
      </c>
      <c r="H1" s="244">
        <v>7</v>
      </c>
      <c r="I1" s="244">
        <v>8</v>
      </c>
      <c r="J1" s="244">
        <v>9</v>
      </c>
      <c r="K1" s="244">
        <v>10</v>
      </c>
      <c r="L1" s="244">
        <v>11</v>
      </c>
      <c r="M1" s="244">
        <v>12</v>
      </c>
      <c r="N1" s="244">
        <v>13</v>
      </c>
      <c r="O1" s="244">
        <v>14</v>
      </c>
    </row>
    <row r="2" spans="1:15" x14ac:dyDescent="0.25">
      <c r="A2" s="123" t="s">
        <v>155</v>
      </c>
      <c r="B2" s="123">
        <f>'A7'!B2</f>
        <v>100</v>
      </c>
      <c r="C2" s="123">
        <f>'A7'!B3</f>
        <v>150</v>
      </c>
      <c r="D2" s="123">
        <f>'A7'!B4</f>
        <v>200</v>
      </c>
      <c r="E2" s="123">
        <f>'A7'!B5</f>
        <v>250</v>
      </c>
      <c r="F2" s="123">
        <f>'A7'!B6</f>
        <v>300</v>
      </c>
      <c r="G2" s="123">
        <f>'A7'!B7</f>
        <v>350</v>
      </c>
      <c r="H2" s="123">
        <f>'A7'!B8</f>
        <v>400</v>
      </c>
      <c r="I2" s="123">
        <f>'A7'!B9</f>
        <v>450</v>
      </c>
      <c r="J2" s="123">
        <f>'A7'!B10</f>
        <v>500</v>
      </c>
      <c r="K2" s="123">
        <f>'A7'!B11</f>
        <v>600</v>
      </c>
      <c r="L2" s="123">
        <f>'A7'!B12</f>
        <v>700</v>
      </c>
      <c r="M2" s="123">
        <f>'A7'!B13</f>
        <v>800</v>
      </c>
      <c r="N2" s="123">
        <f>'A7'!B14</f>
        <v>900</v>
      </c>
      <c r="O2" s="123">
        <f>'A7'!B15</f>
        <v>1000</v>
      </c>
    </row>
    <row r="3" spans="1:15" x14ac:dyDescent="0.25">
      <c r="A3" s="123" t="s">
        <v>156</v>
      </c>
      <c r="B3" s="123" t="b">
        <v>1</v>
      </c>
      <c r="C3" s="123" t="b">
        <v>1</v>
      </c>
      <c r="D3" s="123" t="b">
        <v>1</v>
      </c>
      <c r="E3" s="123" t="b">
        <v>1</v>
      </c>
      <c r="F3" s="123" t="b">
        <v>1</v>
      </c>
      <c r="G3" s="123" t="b">
        <v>1</v>
      </c>
      <c r="H3" s="123" t="b">
        <v>1</v>
      </c>
      <c r="I3" s="123" t="b">
        <v>1</v>
      </c>
      <c r="J3" s="123" t="b">
        <v>1</v>
      </c>
      <c r="K3" s="123" t="b">
        <v>1</v>
      </c>
      <c r="L3" s="123" t="b">
        <v>1</v>
      </c>
      <c r="M3" s="123" t="b">
        <v>1</v>
      </c>
      <c r="N3" s="123" t="b">
        <v>1</v>
      </c>
      <c r="O3" s="123" t="b">
        <v>1</v>
      </c>
    </row>
    <row r="4" spans="1:15" x14ac:dyDescent="0.25">
      <c r="A4" s="246" t="str">
        <f>IF(ISBLANK('A7'!C1),"",'A7'!C1)</f>
        <v>PVC</v>
      </c>
      <c r="B4" s="251" t="str">
        <f>IF('A7'!C2=1,'A14'!A$4,IF('A7'!C2=0,"",""))</f>
        <v>PVC</v>
      </c>
      <c r="C4" s="251" t="str">
        <f>IF('A7'!C3=1,'A14'!A$4,IF('A7'!C3=0,"",""))</f>
        <v>PVC</v>
      </c>
      <c r="D4" s="251" t="str">
        <f>IF('A7'!C4=1,'A14'!A$4,IF('A7'!C4=0,"",""))</f>
        <v>PVC</v>
      </c>
      <c r="E4" s="251" t="str">
        <f>IF('A7'!C5=1,'A14'!A$4,IF('A7'!C5=0,"",""))</f>
        <v>PVC</v>
      </c>
      <c r="F4" s="251" t="str">
        <f>IF('A7'!C6=1,'A14'!A$4,IF('A7'!C6=0,"",""))</f>
        <v>PVC</v>
      </c>
      <c r="G4" s="251" t="str">
        <f>IF('A7'!C7=1,'A14'!A$4,IF('A7'!C7=0,"",""))</f>
        <v>PVC</v>
      </c>
      <c r="H4" s="251" t="str">
        <f>IF('A7'!C8=1,'A14'!A$4,IF('A7'!C8=0,"",""))</f>
        <v/>
      </c>
      <c r="I4" s="251" t="str">
        <f>IF('A7'!C9=1,'A14'!A$4,IF('A7'!C9=0,"",""))</f>
        <v/>
      </c>
      <c r="J4" s="251" t="str">
        <f>IF('A7'!C10=1,'A14'!A$4,IF('A7'!C10=0,"",""))</f>
        <v/>
      </c>
      <c r="K4" s="251" t="str">
        <f>IF('A7'!C11=1,'A14'!A$4,IF('A7'!C11=0,"",""))</f>
        <v/>
      </c>
      <c r="L4" s="251" t="str">
        <f>IF('A7'!C12=1,'A14'!A$4,IF('A7'!C12=0,"",""))</f>
        <v/>
      </c>
      <c r="M4" s="251" t="str">
        <f>IF('A7'!C13=1,'A14'!A$4,IF('A7'!C13=0,"",""))</f>
        <v/>
      </c>
      <c r="N4" s="251" t="str">
        <f>IF('A7'!C14=1,'A14'!A$4,IF('A7'!C14=0,"",""))</f>
        <v/>
      </c>
      <c r="O4" s="251" t="str">
        <f>IF('A7'!C15=1,'A14'!A$4,IF('A7'!C15=0,"",""))</f>
        <v/>
      </c>
    </row>
    <row r="5" spans="1:15" x14ac:dyDescent="0.25">
      <c r="A5" s="246" t="str">
        <f>IF(ISBLANK('A7'!D1),"",'A7'!D1)</f>
        <v>PEAD</v>
      </c>
      <c r="B5" s="251" t="str">
        <f>IF('A7'!D2=1,'A14'!A$5,IF('A7'!D2=0,"",""))</f>
        <v>PEAD</v>
      </c>
      <c r="C5" s="251" t="str">
        <f>IF('A7'!D3=1,'A14'!A$5,IF('A7'!D3=0,"",""))</f>
        <v>PEAD</v>
      </c>
      <c r="D5" s="251" t="str">
        <f>IF('A7'!D4=1,'A14'!A$5,IF('A7'!D4=0,"",""))</f>
        <v>PEAD</v>
      </c>
      <c r="E5" s="251" t="str">
        <f>IF('A7'!D5=1,'A14'!A$5,IF('A7'!D5=0,"",""))</f>
        <v>PEAD</v>
      </c>
      <c r="F5" s="251" t="str">
        <f>IF('A7'!D6=1,'A14'!A$5,IF('A7'!D6=0,"",""))</f>
        <v>PEAD</v>
      </c>
      <c r="G5" s="251" t="str">
        <f>IF('A7'!D7=1,'A14'!A$5,IF('A7'!D7=0,"",""))</f>
        <v>PEAD</v>
      </c>
      <c r="H5" s="251" t="str">
        <f>IF('A7'!D8=1,'A14'!A$5,IF('A7'!D8=0,"",""))</f>
        <v>PEAD</v>
      </c>
      <c r="I5" s="251" t="str">
        <f>IF('A7'!D9=1,'A14'!A$5,IF('A7'!D9=0,"",""))</f>
        <v>PEAD</v>
      </c>
      <c r="J5" s="251" t="str">
        <f>IF('A7'!D10=1,'A14'!A$5,IF('A7'!D10=0,"",""))</f>
        <v>PEAD</v>
      </c>
      <c r="K5" s="251" t="str">
        <f>IF('A7'!D11=1,'A14'!A$5,IF('A7'!D11=0,"",""))</f>
        <v>PEAD</v>
      </c>
      <c r="L5" s="251" t="str">
        <f>IF('A7'!D12=1,'A14'!A$5,IF('A7'!D12=0,"",""))</f>
        <v>PEAD</v>
      </c>
      <c r="M5" s="251" t="str">
        <f>IF('A7'!D13=1,'A14'!A$5,IF('A7'!D13=0,"",""))</f>
        <v>PEAD</v>
      </c>
      <c r="N5" s="251" t="str">
        <f>IF('A7'!D14=1,'A14'!A$5,IF('A7'!D14=0,"",""))</f>
        <v>PEAD</v>
      </c>
      <c r="O5" s="251" t="str">
        <f>IF('A7'!D15=1,'A14'!A$5,IF('A7'!D15=0,"",""))</f>
        <v>PEAD</v>
      </c>
    </row>
    <row r="6" spans="1:15" x14ac:dyDescent="0.25">
      <c r="A6" s="246" t="str">
        <f>IF(ISBLANK('A7'!E1),"",'A7'!E1)</f>
        <v>Concreto</v>
      </c>
      <c r="B6" s="251" t="str">
        <f>IF('A7'!E2=1,'A14'!A$6,IF('A7'!E2=0,"",""))</f>
        <v/>
      </c>
      <c r="C6" s="251" t="str">
        <f>IF('A7'!E3=1,'A14'!A$6,IF('A7'!E3=0,"",""))</f>
        <v/>
      </c>
      <c r="D6" s="251" t="str">
        <f>IF('A7'!E4=1,'A14'!A$6,IF('A7'!E4=0,"",""))</f>
        <v/>
      </c>
      <c r="E6" s="251" t="str">
        <f>IF('A7'!E5=1,'A14'!A$6,IF('A7'!E5=0,"",""))</f>
        <v/>
      </c>
      <c r="F6" s="251" t="str">
        <f>IF('A7'!E6=1,'A14'!A$6,IF('A7'!E6=0,"",""))</f>
        <v/>
      </c>
      <c r="G6" s="251" t="str">
        <f>IF('A7'!E7=1,'A14'!A$6,IF('A7'!E7=0,"",""))</f>
        <v>Concreto</v>
      </c>
      <c r="H6" s="251" t="str">
        <f>IF('A7'!E8=1,'A14'!A$6,IF('A7'!E8=0,"",""))</f>
        <v>Concreto</v>
      </c>
      <c r="I6" s="251" t="str">
        <f>IF('A7'!E9=1,'A14'!A$6,IF('A7'!E9=0,"",""))</f>
        <v>Concreto</v>
      </c>
      <c r="J6" s="251" t="str">
        <f>IF('A7'!E10=1,'A14'!A$6,IF('A7'!E10=0,"",""))</f>
        <v>Concreto</v>
      </c>
      <c r="K6" s="251" t="str">
        <f>IF('A7'!E11=1,'A14'!A$6,IF('A7'!E11=0,"",""))</f>
        <v>Concreto</v>
      </c>
      <c r="L6" s="251" t="str">
        <f>IF('A7'!E12=1,'A14'!A$6,IF('A7'!E12=0,"",""))</f>
        <v>Concreto</v>
      </c>
      <c r="M6" s="251" t="str">
        <f>IF('A7'!E13=1,'A14'!A$6,IF('A7'!E13=0,"",""))</f>
        <v>Concreto</v>
      </c>
      <c r="N6" s="251" t="str">
        <f>IF('A7'!E14=1,'A14'!A$6,IF('A7'!E14=0,"",""))</f>
        <v>Concreto</v>
      </c>
      <c r="O6" s="251" t="str">
        <f>IF('A7'!E15=1,'A14'!A$6,IF('A7'!E15=0,"",""))</f>
        <v>Concreto</v>
      </c>
    </row>
    <row r="7" spans="1:15" x14ac:dyDescent="0.25">
      <c r="A7" s="246" t="str">
        <f>IF(ISBLANK('A7'!F1),"",'A7'!F1)</f>
        <v>Ferro</v>
      </c>
      <c r="B7" s="251" t="str">
        <f>IF('A7'!F2=1,'A14'!A$7,IF('A7'!F2=0,"",""))</f>
        <v/>
      </c>
      <c r="C7" s="251" t="str">
        <f>IF('A7'!F3=1,'A14'!A$7,IF('A7'!F3=0,"",""))</f>
        <v>Ferro</v>
      </c>
      <c r="D7" s="251" t="str">
        <f>IF('A7'!F4=1,'A14'!A$7,IF('A7'!F4=0,"",""))</f>
        <v>Ferro</v>
      </c>
      <c r="E7" s="251" t="str">
        <f>IF('A7'!F5=1,'A14'!A$7,IF('A7'!F5=0,"",""))</f>
        <v>Ferro</v>
      </c>
      <c r="F7" s="251" t="str">
        <f>IF('A7'!F6=1,'A14'!A$7,IF('A7'!F6=0,"",""))</f>
        <v>Ferro</v>
      </c>
      <c r="G7" s="251" t="str">
        <f>IF('A7'!F7=1,'A14'!A$7,IF('A7'!F7=0,"",""))</f>
        <v>Ferro</v>
      </c>
      <c r="H7" s="251" t="str">
        <f>IF('A7'!F8=1,'A14'!A$7,IF('A7'!F8=0,"",""))</f>
        <v>Ferro</v>
      </c>
      <c r="I7" s="251" t="str">
        <f>IF('A7'!F9=1,'A14'!A$7,IF('A7'!F9=0,"",""))</f>
        <v>Ferro</v>
      </c>
      <c r="J7" s="251" t="str">
        <f>IF('A7'!F10=1,'A14'!A$7,IF('A7'!F10=0,"",""))</f>
        <v>Ferro</v>
      </c>
      <c r="K7" s="251" t="str">
        <f>IF('A7'!F11=1,'A14'!A$7,IF('A7'!F11=0,"",""))</f>
        <v>Ferro</v>
      </c>
      <c r="L7" s="251" t="str">
        <f>IF('A7'!F12=1,'A14'!A$7,IF('A7'!F12=0,"",""))</f>
        <v>Ferro</v>
      </c>
      <c r="M7" s="251" t="str">
        <f>IF('A7'!F13=1,'A14'!A$7,IF('A7'!F13=0,"",""))</f>
        <v>Ferro</v>
      </c>
      <c r="N7" s="251" t="str">
        <f>IF('A7'!F14=1,'A14'!A$7,IF('A7'!F14=0,"",""))</f>
        <v>Ferro</v>
      </c>
      <c r="O7" s="251" t="str">
        <f>IF('A7'!F15=1,'A14'!A$7,IF('A7'!F15=0,"",""))</f>
        <v>Ferro</v>
      </c>
    </row>
    <row r="8" spans="1:15" x14ac:dyDescent="0.25">
      <c r="A8" s="246" t="str">
        <f>IF(ISBLANK('A7'!G1),"",'A7'!G1)</f>
        <v>Outro</v>
      </c>
      <c r="B8" s="251" t="str">
        <f>IF('A7'!G2=1,'A14'!A$8,IF('A7'!G2=0,"",""))</f>
        <v/>
      </c>
      <c r="C8" s="251" t="str">
        <f>IF('A7'!G3=1,'A14'!A$8,IF('A7'!G3=0,"",""))</f>
        <v/>
      </c>
      <c r="D8" s="251" t="str">
        <f>IF('A7'!G4=1,'A14'!A$8,IF('A7'!G4=0,"",""))</f>
        <v/>
      </c>
      <c r="E8" s="251" t="str">
        <f>IF('A7'!G5=1,'A14'!A$8,IF('A7'!G5=0,"",""))</f>
        <v/>
      </c>
      <c r="F8" s="251" t="str">
        <f>IF('A7'!G6=1,'A14'!A$8,IF('A7'!G6=0,"",""))</f>
        <v/>
      </c>
      <c r="G8" s="251" t="str">
        <f>IF('A7'!G7=1,'A14'!A$8,IF('A7'!G7=0,"",""))</f>
        <v>Outro</v>
      </c>
      <c r="H8" s="251" t="str">
        <f>IF('A7'!G8=1,'A14'!A$8,IF('A7'!G8=0,"",""))</f>
        <v>Outro</v>
      </c>
      <c r="I8" s="251" t="str">
        <f>IF('A7'!G9=1,'A14'!A$8,IF('A7'!G9=0,"",""))</f>
        <v>Outro</v>
      </c>
      <c r="J8" s="251" t="str">
        <f>IF('A7'!G10=1,'A14'!A$8,IF('A7'!G10=0,"",""))</f>
        <v>Outro</v>
      </c>
      <c r="K8" s="251" t="str">
        <f>IF('A7'!G11=1,'A14'!A$8,IF('A7'!G11=0,"",""))</f>
        <v>Outro</v>
      </c>
      <c r="L8" s="251" t="str">
        <f>IF('A7'!G12=1,'A14'!A$8,IF('A7'!G12=0,"",""))</f>
        <v/>
      </c>
      <c r="M8" s="251" t="str">
        <f>IF('A7'!G13=1,'A14'!A$8,IF('A7'!G13=0,"",""))</f>
        <v/>
      </c>
      <c r="N8" s="251" t="str">
        <f>IF('A7'!G14=1,'A14'!A$8,IF('A7'!G14=0,"",""))</f>
        <v/>
      </c>
      <c r="O8" s="251" t="str">
        <f>IF('A7'!G15=1,'A14'!A$8,IF('A7'!G15=0,"",""))</f>
        <v/>
      </c>
    </row>
    <row r="9" spans="1:15" x14ac:dyDescent="0.25">
      <c r="A9" s="123" t="s">
        <v>157</v>
      </c>
      <c r="B9" s="123" t="s">
        <v>121</v>
      </c>
      <c r="C9" s="123" t="s">
        <v>121</v>
      </c>
      <c r="D9" s="123" t="s">
        <v>121</v>
      </c>
      <c r="E9" s="123" t="s">
        <v>121</v>
      </c>
      <c r="F9" s="123" t="s">
        <v>121</v>
      </c>
      <c r="G9" s="123" t="s">
        <v>112</v>
      </c>
      <c r="H9" s="123" t="s">
        <v>112</v>
      </c>
      <c r="I9" s="123" t="s">
        <v>112</v>
      </c>
      <c r="J9" s="123" t="s">
        <v>112</v>
      </c>
      <c r="K9" s="123" t="s">
        <v>112</v>
      </c>
      <c r="L9" s="123" t="s">
        <v>112</v>
      </c>
      <c r="M9" s="123" t="s">
        <v>112</v>
      </c>
      <c r="N9" s="123" t="s">
        <v>112</v>
      </c>
      <c r="O9" s="123" t="s">
        <v>112</v>
      </c>
    </row>
    <row r="10" spans="1:15" x14ac:dyDescent="0.25">
      <c r="A10" s="123" t="s">
        <v>158</v>
      </c>
      <c r="B10" s="123">
        <f>IFERROR(IF(MATCH(B9,nDN_1,0),1),0)</f>
        <v>1</v>
      </c>
      <c r="C10" s="123">
        <f>IFERROR(IF(MATCH(C9,nDN_2,0),1),0)</f>
        <v>1</v>
      </c>
      <c r="D10" s="123">
        <f>IFERROR(IF(MATCH(D9,nDN_3,0),1),0)</f>
        <v>1</v>
      </c>
      <c r="E10" s="123">
        <f>IFERROR(IF(MATCH(E9,nDN_4,0),1),0)</f>
        <v>1</v>
      </c>
      <c r="F10" s="123">
        <f>IFERROR(IF(MATCH(F9,nDN_5,0),1),0)</f>
        <v>1</v>
      </c>
      <c r="G10" s="123">
        <f>IFERROR(IF(MATCH(G9,nDN_6,0),1),0)</f>
        <v>1</v>
      </c>
      <c r="H10" s="123">
        <f>IFERROR(IF(MATCH(H9,nDN_7,0),1),0)</f>
        <v>1</v>
      </c>
      <c r="I10" s="123">
        <f>IFERROR(IF(MATCH(I9,nDN_8,0),1),0)</f>
        <v>1</v>
      </c>
      <c r="J10" s="123">
        <f>IFERROR(IF(MATCH(J9,nDN_9,0),1),0)</f>
        <v>1</v>
      </c>
      <c r="K10" s="123">
        <f>IFERROR(IF(MATCH(K9,nDN_10,0),1),0)</f>
        <v>1</v>
      </c>
      <c r="L10" s="123">
        <f>IFERROR(IF(MATCH(L9,nDN_11,0),1),0)</f>
        <v>1</v>
      </c>
      <c r="M10" s="123">
        <f>IFERROR(IF(MATCH(M9,nDN_12,0),1),0)</f>
        <v>1</v>
      </c>
      <c r="N10" s="123">
        <f>IFERROR(IF(MATCH(N9,nDN_13,0),1),0)</f>
        <v>1</v>
      </c>
      <c r="O10" s="123">
        <f>IFERROR(IF(MATCH(O9,nDN_14,0),1),0)</f>
        <v>1</v>
      </c>
    </row>
    <row r="11" spans="1:15" x14ac:dyDescent="0.25">
      <c r="A11" s="250"/>
      <c r="B11" s="240" t="str">
        <f t="array" ref="B11">INDEX(B$4:B$8, MATCH(LARGE(COUNTIF(B$4:B$8, "&lt;"&amp;B$4:B$8), ROW(1:1)), COUNTIF(B$4:B$8, "&lt;"&amp;B$4:B$8), 0))</f>
        <v>PVC</v>
      </c>
      <c r="C11" s="240" t="str">
        <f t="array" ref="C11">INDEX(C$4:C$8, MATCH(LARGE(COUNTIF(C$4:C$8, "&lt;"&amp;C$4:C$8), ROW(1:1)), COUNTIF(C$4:C$8, "&lt;"&amp;C$4:C$8), 0))</f>
        <v>PVC</v>
      </c>
      <c r="D11" s="240" t="str">
        <f t="array" ref="D11">INDEX(D$4:D$8, MATCH(LARGE(COUNTIF(D$4:D$8, "&lt;"&amp;D$4:D$8), ROW(1:1)), COUNTIF(D$4:D$8, "&lt;"&amp;D$4:D$8), 0))</f>
        <v>PVC</v>
      </c>
      <c r="E11" s="240" t="str">
        <f t="array" ref="E11">INDEX(E$4:E$8, MATCH(LARGE(COUNTIF(E$4:E$8, "&lt;"&amp;E$4:E$8), ROW(1:1)), COUNTIF(E$4:E$8, "&lt;"&amp;E$4:E$8), 0))</f>
        <v>PVC</v>
      </c>
      <c r="F11" s="240" t="str">
        <f t="array" ref="F11">INDEX(F$4:F$8, MATCH(LARGE(COUNTIF(F$4:F$8, "&lt;"&amp;F$4:F$8), ROW(1:1)), COUNTIF(F$4:F$8, "&lt;"&amp;F$4:F$8), 0))</f>
        <v>PVC</v>
      </c>
      <c r="G11" s="240" t="str">
        <f t="array" ref="G11">INDEX(G$4:G$8, MATCH(LARGE(COUNTIF(G$4:G$8, "&lt;"&amp;G$4:G$8), ROW(1:1)), COUNTIF(G$4:G$8, "&lt;"&amp;G$4:G$8), 0))</f>
        <v>PVC</v>
      </c>
      <c r="H11" s="240" t="str">
        <f t="array" ref="H11">INDEX(H$4:H$8, MATCH(LARGE(COUNTIF(H$4:H$8, "&lt;"&amp;H$4:H$8), ROW(1:1)), COUNTIF(H$4:H$8, "&lt;"&amp;H$4:H$8), 0))</f>
        <v>PEAD</v>
      </c>
      <c r="I11" s="240" t="str">
        <f t="array" ref="I11">INDEX(I$4:I$8, MATCH(LARGE(COUNTIF(I$4:I$8, "&lt;"&amp;I$4:I$8), ROW(1:1)), COUNTIF(I$4:I$8, "&lt;"&amp;I$4:I$8), 0))</f>
        <v>PEAD</v>
      </c>
      <c r="J11" s="240" t="str">
        <f t="array" ref="J11">INDEX(J$4:J$8, MATCH(LARGE(COUNTIF(J$4:J$8, "&lt;"&amp;J$4:J$8), ROW(1:1)), COUNTIF(J$4:J$8, "&lt;"&amp;J$4:J$8), 0))</f>
        <v>PEAD</v>
      </c>
      <c r="K11" s="240" t="str">
        <f t="array" ref="K11">INDEX(K$4:K$8, MATCH(LARGE(COUNTIF(K$4:K$8, "&lt;"&amp;K$4:K$8), ROW(1:1)), COUNTIF(K$4:K$8, "&lt;"&amp;K$4:K$8), 0))</f>
        <v>PEAD</v>
      </c>
      <c r="L11" s="240" t="str">
        <f t="array" ref="L11">INDEX(L$4:L$8, MATCH(LARGE(COUNTIF(L$4:L$8, "&lt;"&amp;L$4:L$8), ROW(1:1)), COUNTIF(L$4:L$8, "&lt;"&amp;L$4:L$8), 0))</f>
        <v>PEAD</v>
      </c>
      <c r="M11" s="240" t="str">
        <f t="array" ref="M11">INDEX(M$4:M$8, MATCH(LARGE(COUNTIF(M$4:M$8, "&lt;"&amp;M$4:M$8), ROW(1:1)), COUNTIF(M$4:M$8, "&lt;"&amp;M$4:M$8), 0))</f>
        <v>PEAD</v>
      </c>
      <c r="N11" s="240" t="str">
        <f t="array" ref="N11">INDEX(N$4:N$8, MATCH(LARGE(COUNTIF(N$4:N$8, "&lt;"&amp;N$4:N$8), ROW(1:1)), COUNTIF(N$4:N$8, "&lt;"&amp;N$4:N$8), 0))</f>
        <v>PEAD</v>
      </c>
      <c r="O11" s="240" t="str">
        <f t="array" ref="O11">INDEX(O$4:O$8, MATCH(LARGE(COUNTIF(O$4:O$8, "&lt;"&amp;O$4:O$8), ROW(1:1)), COUNTIF(O$4:O$8, "&lt;"&amp;O$4:O$8), 0))</f>
        <v>PEAD</v>
      </c>
    </row>
    <row r="12" spans="1:15" x14ac:dyDescent="0.25">
      <c r="A12" s="250"/>
      <c r="B12" s="240" t="str">
        <f t="array" ref="B12">INDEX(B$4:B$8, MATCH(LARGE(COUNTIF(B$4:B$8, "&lt;"&amp;B$4:B$8), ROW(2:2)), COUNTIF(B$4:B$8, "&lt;"&amp;B$4:B$8), 0))</f>
        <v>PEAD</v>
      </c>
      <c r="C12" s="240" t="str">
        <f t="array" ref="C12">INDEX(C$4:C$8, MATCH(LARGE(COUNTIF(C$4:C$8, "&lt;"&amp;C$4:C$8), ROW(2:2)), COUNTIF(C$4:C$8, "&lt;"&amp;C$4:C$8), 0))</f>
        <v>PEAD</v>
      </c>
      <c r="D12" s="240" t="str">
        <f t="array" ref="D12">INDEX(D$4:D$8, MATCH(LARGE(COUNTIF(D$4:D$8, "&lt;"&amp;D$4:D$8), ROW(2:2)), COUNTIF(D$4:D$8, "&lt;"&amp;D$4:D$8), 0))</f>
        <v>PEAD</v>
      </c>
      <c r="E12" s="240" t="str">
        <f t="array" ref="E12">INDEX(E$4:E$8, MATCH(LARGE(COUNTIF(E$4:E$8, "&lt;"&amp;E$4:E$8), ROW(2:2)), COUNTIF(E$4:E$8, "&lt;"&amp;E$4:E$8), 0))</f>
        <v>PEAD</v>
      </c>
      <c r="F12" s="240" t="str">
        <f t="array" ref="F12">INDEX(F$4:F$8, MATCH(LARGE(COUNTIF(F$4:F$8, "&lt;"&amp;F$4:F$8), ROW(2:2)), COUNTIF(F$4:F$8, "&lt;"&amp;F$4:F$8), 0))</f>
        <v>PEAD</v>
      </c>
      <c r="G12" s="240" t="str">
        <f t="array" ref="G12">INDEX(G$4:G$8, MATCH(LARGE(COUNTIF(G$4:G$8, "&lt;"&amp;G$4:G$8), ROW(2:2)), COUNTIF(G$4:G$8, "&lt;"&amp;G$4:G$8), 0))</f>
        <v>PEAD</v>
      </c>
      <c r="H12" s="240" t="str">
        <f t="array" ref="H12">INDEX(H$4:H$8, MATCH(LARGE(COUNTIF(H$4:H$8, "&lt;"&amp;H$4:H$8), ROW(2:2)), COUNTIF(H$4:H$8, "&lt;"&amp;H$4:H$8), 0))</f>
        <v>Outro</v>
      </c>
      <c r="I12" s="240" t="str">
        <f t="array" ref="I12">INDEX(I$4:I$8, MATCH(LARGE(COUNTIF(I$4:I$8, "&lt;"&amp;I$4:I$8), ROW(2:2)), COUNTIF(I$4:I$8, "&lt;"&amp;I$4:I$8), 0))</f>
        <v>Outro</v>
      </c>
      <c r="J12" s="240" t="str">
        <f t="array" ref="J12">INDEX(J$4:J$8, MATCH(LARGE(COUNTIF(J$4:J$8, "&lt;"&amp;J$4:J$8), ROW(2:2)), COUNTIF(J$4:J$8, "&lt;"&amp;J$4:J$8), 0))</f>
        <v>Outro</v>
      </c>
      <c r="K12" s="240" t="str">
        <f t="array" ref="K12">INDEX(K$4:K$8, MATCH(LARGE(COUNTIF(K$4:K$8, "&lt;"&amp;K$4:K$8), ROW(2:2)), COUNTIF(K$4:K$8, "&lt;"&amp;K$4:K$8), 0))</f>
        <v>Outro</v>
      </c>
      <c r="L12" s="240" t="str">
        <f t="array" ref="L12">INDEX(L$4:L$8, MATCH(LARGE(COUNTIF(L$4:L$8, "&lt;"&amp;L$4:L$8), ROW(2:2)), COUNTIF(L$4:L$8, "&lt;"&amp;L$4:L$8), 0))</f>
        <v>Ferro</v>
      </c>
      <c r="M12" s="240" t="str">
        <f t="array" ref="M12">INDEX(M$4:M$8, MATCH(LARGE(COUNTIF(M$4:M$8, "&lt;"&amp;M$4:M$8), ROW(2:2)), COUNTIF(M$4:M$8, "&lt;"&amp;M$4:M$8), 0))</f>
        <v>Ferro</v>
      </c>
      <c r="N12" s="240" t="str">
        <f t="array" ref="N12">INDEX(N$4:N$8, MATCH(LARGE(COUNTIF(N$4:N$8, "&lt;"&amp;N$4:N$8), ROW(2:2)), COUNTIF(N$4:N$8, "&lt;"&amp;N$4:N$8), 0))</f>
        <v>Ferro</v>
      </c>
      <c r="O12" s="240" t="str">
        <f t="array" ref="O12">INDEX(O$4:O$8, MATCH(LARGE(COUNTIF(O$4:O$8, "&lt;"&amp;O$4:O$8), ROW(2:2)), COUNTIF(O$4:O$8, "&lt;"&amp;O$4:O$8), 0))</f>
        <v>Ferro</v>
      </c>
    </row>
    <row r="13" spans="1:15" x14ac:dyDescent="0.25">
      <c r="A13" s="250"/>
      <c r="B13" s="240" t="str">
        <f t="array" ref="B13">INDEX(B$4:B$8, MATCH(LARGE(COUNTIF(B$4:B$8, "&lt;"&amp;B$4:B$8), ROW(3:3)), COUNTIF(B$4:B$8, "&lt;"&amp;B$4:B$8), 0))</f>
        <v/>
      </c>
      <c r="C13" s="240" t="str">
        <f t="array" ref="C13">INDEX(C$4:C$8, MATCH(LARGE(COUNTIF(C$4:C$8, "&lt;"&amp;C$4:C$8), ROW(3:3)), COUNTIF(C$4:C$8, "&lt;"&amp;C$4:C$8), 0))</f>
        <v>Ferro</v>
      </c>
      <c r="D13" s="240" t="str">
        <f t="array" ref="D13">INDEX(D$4:D$8, MATCH(LARGE(COUNTIF(D$4:D$8, "&lt;"&amp;D$4:D$8), ROW(3:3)), COUNTIF(D$4:D$8, "&lt;"&amp;D$4:D$8), 0))</f>
        <v>Ferro</v>
      </c>
      <c r="E13" s="240" t="str">
        <f t="array" ref="E13">INDEX(E$4:E$8, MATCH(LARGE(COUNTIF(E$4:E$8, "&lt;"&amp;E$4:E$8), ROW(3:3)), COUNTIF(E$4:E$8, "&lt;"&amp;E$4:E$8), 0))</f>
        <v>Ferro</v>
      </c>
      <c r="F13" s="240" t="str">
        <f t="array" ref="F13">INDEX(F$4:F$8, MATCH(LARGE(COUNTIF(F$4:F$8, "&lt;"&amp;F$4:F$8), ROW(3:3)), COUNTIF(F$4:F$8, "&lt;"&amp;F$4:F$8), 0))</f>
        <v>Ferro</v>
      </c>
      <c r="G13" s="240" t="str">
        <f t="array" ref="G13">INDEX(G$4:G$8, MATCH(LARGE(COUNTIF(G$4:G$8, "&lt;"&amp;G$4:G$8), ROW(3:3)), COUNTIF(G$4:G$8, "&lt;"&amp;G$4:G$8), 0))</f>
        <v>Outro</v>
      </c>
      <c r="H13" s="240" t="str">
        <f t="array" ref="H13">INDEX(H$4:H$8, MATCH(LARGE(COUNTIF(H$4:H$8, "&lt;"&amp;H$4:H$8), ROW(3:3)), COUNTIF(H$4:H$8, "&lt;"&amp;H$4:H$8), 0))</f>
        <v>Ferro</v>
      </c>
      <c r="I13" s="240" t="str">
        <f t="array" ref="I13">INDEX(I$4:I$8, MATCH(LARGE(COUNTIF(I$4:I$8, "&lt;"&amp;I$4:I$8), ROW(3:3)), COUNTIF(I$4:I$8, "&lt;"&amp;I$4:I$8), 0))</f>
        <v>Ferro</v>
      </c>
      <c r="J13" s="240" t="str">
        <f t="array" ref="J13">INDEX(J$4:J$8, MATCH(LARGE(COUNTIF(J$4:J$8, "&lt;"&amp;J$4:J$8), ROW(3:3)), COUNTIF(J$4:J$8, "&lt;"&amp;J$4:J$8), 0))</f>
        <v>Ferro</v>
      </c>
      <c r="K13" s="240" t="str">
        <f t="array" ref="K13">INDEX(K$4:K$8, MATCH(LARGE(COUNTIF(K$4:K$8, "&lt;"&amp;K$4:K$8), ROW(3:3)), COUNTIF(K$4:K$8, "&lt;"&amp;K$4:K$8), 0))</f>
        <v>Ferro</v>
      </c>
      <c r="L13" s="240" t="str">
        <f t="array" ref="L13">INDEX(L$4:L$8, MATCH(LARGE(COUNTIF(L$4:L$8, "&lt;"&amp;L$4:L$8), ROW(3:3)), COUNTIF(L$4:L$8, "&lt;"&amp;L$4:L$8), 0))</f>
        <v>Concreto</v>
      </c>
      <c r="M13" s="240" t="str">
        <f t="array" ref="M13">INDEX(M$4:M$8, MATCH(LARGE(COUNTIF(M$4:M$8, "&lt;"&amp;M$4:M$8), ROW(3:3)), COUNTIF(M$4:M$8, "&lt;"&amp;M$4:M$8), 0))</f>
        <v>Concreto</v>
      </c>
      <c r="N13" s="240" t="str">
        <f t="array" ref="N13">INDEX(N$4:N$8, MATCH(LARGE(COUNTIF(N$4:N$8, "&lt;"&amp;N$4:N$8), ROW(3:3)), COUNTIF(N$4:N$8, "&lt;"&amp;N$4:N$8), 0))</f>
        <v>Concreto</v>
      </c>
      <c r="O13" s="240" t="str">
        <f t="array" ref="O13">INDEX(O$4:O$8, MATCH(LARGE(COUNTIF(O$4:O$8, "&lt;"&amp;O$4:O$8), ROW(3:3)), COUNTIF(O$4:O$8, "&lt;"&amp;O$4:O$8), 0))</f>
        <v>Concreto</v>
      </c>
    </row>
    <row r="14" spans="1:15" x14ac:dyDescent="0.25">
      <c r="A14" s="250"/>
      <c r="B14" s="240" t="str">
        <f t="array" ref="B14">INDEX(B$4:B$8, MATCH(LARGE(COUNTIF(B$4:B$8, "&lt;"&amp;B$4:B$8), ROW(4:4)), COUNTIF(B$4:B$8, "&lt;"&amp;B$4:B$8), 0))</f>
        <v/>
      </c>
      <c r="C14" s="240" t="str">
        <f t="array" ref="C14">INDEX(C$4:C$8, MATCH(LARGE(COUNTIF(C$4:C$8, "&lt;"&amp;C$4:C$8), ROW(4:4)), COUNTIF(C$4:C$8, "&lt;"&amp;C$4:C$8), 0))</f>
        <v/>
      </c>
      <c r="D14" s="240" t="str">
        <f t="array" ref="D14">INDEX(D$4:D$8, MATCH(LARGE(COUNTIF(D$4:D$8, "&lt;"&amp;D$4:D$8), ROW(4:4)), COUNTIF(D$4:D$8, "&lt;"&amp;D$4:D$8), 0))</f>
        <v/>
      </c>
      <c r="E14" s="240" t="str">
        <f t="array" ref="E14">INDEX(E$4:E$8, MATCH(LARGE(COUNTIF(E$4:E$8, "&lt;"&amp;E$4:E$8), ROW(4:4)), COUNTIF(E$4:E$8, "&lt;"&amp;E$4:E$8), 0))</f>
        <v/>
      </c>
      <c r="F14" s="240" t="str">
        <f t="array" ref="F14">INDEX(F$4:F$8, MATCH(LARGE(COUNTIF(F$4:F$8, "&lt;"&amp;F$4:F$8), ROW(4:4)), COUNTIF(F$4:F$8, "&lt;"&amp;F$4:F$8), 0))</f>
        <v/>
      </c>
      <c r="G14" s="240" t="str">
        <f t="array" ref="G14">INDEX(G$4:G$8, MATCH(LARGE(COUNTIF(G$4:G$8, "&lt;"&amp;G$4:G$8), ROW(4:4)), COUNTIF(G$4:G$8, "&lt;"&amp;G$4:G$8), 0))</f>
        <v>Ferro</v>
      </c>
      <c r="H14" s="240" t="str">
        <f t="array" ref="H14">INDEX(H$4:H$8, MATCH(LARGE(COUNTIF(H$4:H$8, "&lt;"&amp;H$4:H$8), ROW(4:4)), COUNTIF(H$4:H$8, "&lt;"&amp;H$4:H$8), 0))</f>
        <v>Concreto</v>
      </c>
      <c r="I14" s="240" t="str">
        <f t="array" ref="I14">INDEX(I$4:I$8, MATCH(LARGE(COUNTIF(I$4:I$8, "&lt;"&amp;I$4:I$8), ROW(4:4)), COUNTIF(I$4:I$8, "&lt;"&amp;I$4:I$8), 0))</f>
        <v>Concreto</v>
      </c>
      <c r="J14" s="240" t="str">
        <f t="array" ref="J14">INDEX(J$4:J$8, MATCH(LARGE(COUNTIF(J$4:J$8, "&lt;"&amp;J$4:J$8), ROW(4:4)), COUNTIF(J$4:J$8, "&lt;"&amp;J$4:J$8), 0))</f>
        <v>Concreto</v>
      </c>
      <c r="K14" s="240" t="str">
        <f t="array" ref="K14">INDEX(K$4:K$8, MATCH(LARGE(COUNTIF(K$4:K$8, "&lt;"&amp;K$4:K$8), ROW(4:4)), COUNTIF(K$4:K$8, "&lt;"&amp;K$4:K$8), 0))</f>
        <v>Concreto</v>
      </c>
      <c r="L14" s="240" t="str">
        <f t="array" ref="L14">INDEX(L$4:L$8, MATCH(LARGE(COUNTIF(L$4:L$8, "&lt;"&amp;L$4:L$8), ROW(4:4)), COUNTIF(L$4:L$8, "&lt;"&amp;L$4:L$8), 0))</f>
        <v/>
      </c>
      <c r="M14" s="240" t="str">
        <f t="array" ref="M14">INDEX(M$4:M$8, MATCH(LARGE(COUNTIF(M$4:M$8, "&lt;"&amp;M$4:M$8), ROW(4:4)), COUNTIF(M$4:M$8, "&lt;"&amp;M$4:M$8), 0))</f>
        <v/>
      </c>
      <c r="N14" s="240" t="str">
        <f t="array" ref="N14">INDEX(N$4:N$8, MATCH(LARGE(COUNTIF(N$4:N$8, "&lt;"&amp;N$4:N$8), ROW(4:4)), COUNTIF(N$4:N$8, "&lt;"&amp;N$4:N$8), 0))</f>
        <v/>
      </c>
      <c r="O14" s="240" t="str">
        <f t="array" ref="O14">INDEX(O$4:O$8, MATCH(LARGE(COUNTIF(O$4:O$8, "&lt;"&amp;O$4:O$8), ROW(4:4)), COUNTIF(O$4:O$8, "&lt;"&amp;O$4:O$8), 0))</f>
        <v/>
      </c>
    </row>
    <row r="15" spans="1:15" x14ac:dyDescent="0.25">
      <c r="A15" s="250"/>
      <c r="B15" s="240" t="str">
        <f t="array" ref="B15">INDEX(B$4:B$8, MATCH(LARGE(COUNTIF(B$4:B$8, "&lt;"&amp;B$4:B$8), ROW(5:5)), COUNTIF(B$4:B$8, "&lt;"&amp;B$4:B$8), 0))</f>
        <v/>
      </c>
      <c r="C15" s="240" t="str">
        <f t="array" ref="C15">INDEX(C$4:C$8, MATCH(LARGE(COUNTIF(C$4:C$8, "&lt;"&amp;C$4:C$8), ROW(5:5)), COUNTIF(C$4:C$8, "&lt;"&amp;C$4:C$8), 0))</f>
        <v/>
      </c>
      <c r="D15" s="240" t="str">
        <f t="array" ref="D15">INDEX(D$4:D$8, MATCH(LARGE(COUNTIF(D$4:D$8, "&lt;"&amp;D$4:D$8), ROW(5:5)), COUNTIF(D$4:D$8, "&lt;"&amp;D$4:D$8), 0))</f>
        <v/>
      </c>
      <c r="E15" s="240" t="str">
        <f t="array" ref="E15">INDEX(E$4:E$8, MATCH(LARGE(COUNTIF(E$4:E$8, "&lt;"&amp;E$4:E$8), ROW(5:5)), COUNTIF(E$4:E$8, "&lt;"&amp;E$4:E$8), 0))</f>
        <v/>
      </c>
      <c r="F15" s="240" t="str">
        <f t="array" ref="F15">INDEX(F$4:F$8, MATCH(LARGE(COUNTIF(F$4:F$8, "&lt;"&amp;F$4:F$8), ROW(5:5)), COUNTIF(F$4:F$8, "&lt;"&amp;F$4:F$8), 0))</f>
        <v/>
      </c>
      <c r="G15" s="240" t="str">
        <f t="array" ref="G15">INDEX(G$4:G$8, MATCH(LARGE(COUNTIF(G$4:G$8, "&lt;"&amp;G$4:G$8), ROW(5:5)), COUNTIF(G$4:G$8, "&lt;"&amp;G$4:G$8), 0))</f>
        <v>Concreto</v>
      </c>
      <c r="H15" s="240" t="str">
        <f t="array" ref="H15">INDEX(H$4:H$8, MATCH(LARGE(COUNTIF(H$4:H$8, "&lt;"&amp;H$4:H$8), ROW(5:5)), COUNTIF(H$4:H$8, "&lt;"&amp;H$4:H$8), 0))</f>
        <v/>
      </c>
      <c r="I15" s="240" t="str">
        <f t="array" ref="I15">INDEX(I$4:I$8, MATCH(LARGE(COUNTIF(I$4:I$8, "&lt;"&amp;I$4:I$8), ROW(5:5)), COUNTIF(I$4:I$8, "&lt;"&amp;I$4:I$8), 0))</f>
        <v/>
      </c>
      <c r="J15" s="240" t="str">
        <f t="array" ref="J15">INDEX(J$4:J$8, MATCH(LARGE(COUNTIF(J$4:J$8, "&lt;"&amp;J$4:J$8), ROW(5:5)), COUNTIF(J$4:J$8, "&lt;"&amp;J$4:J$8), 0))</f>
        <v/>
      </c>
      <c r="K15" s="240" t="str">
        <f t="array" ref="K15">INDEX(K$4:K$8, MATCH(LARGE(COUNTIF(K$4:K$8, "&lt;"&amp;K$4:K$8), ROW(5:5)), COUNTIF(K$4:K$8, "&lt;"&amp;K$4:K$8), 0))</f>
        <v/>
      </c>
      <c r="L15" s="240" t="str">
        <f t="array" ref="L15">INDEX(L$4:L$8, MATCH(LARGE(COUNTIF(L$4:L$8, "&lt;"&amp;L$4:L$8), ROW(5:5)), COUNTIF(L$4:L$8, "&lt;"&amp;L$4:L$8), 0))</f>
        <v/>
      </c>
      <c r="M15" s="240" t="str">
        <f t="array" ref="M15">INDEX(M$4:M$8, MATCH(LARGE(COUNTIF(M$4:M$8, "&lt;"&amp;M$4:M$8), ROW(5:5)), COUNTIF(M$4:M$8, "&lt;"&amp;M$4:M$8), 0))</f>
        <v/>
      </c>
      <c r="N15" s="240" t="str">
        <f t="array" ref="N15">INDEX(N$4:N$8, MATCH(LARGE(COUNTIF(N$4:N$8, "&lt;"&amp;N$4:N$8), ROW(5:5)), COUNTIF(N$4:N$8, "&lt;"&amp;N$4:N$8), 0))</f>
        <v/>
      </c>
      <c r="O15" s="240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C6" sqref="C6"/>
    </sheetView>
  </sheetViews>
  <sheetFormatPr defaultRowHeight="13.2" x14ac:dyDescent="0.25"/>
  <cols>
    <col min="1" max="1" width="15.6640625" customWidth="1"/>
    <col min="3" max="3" width="20.44140625" customWidth="1"/>
    <col min="4" max="4" width="10.33203125" customWidth="1"/>
  </cols>
  <sheetData>
    <row r="1" spans="1:4" x14ac:dyDescent="0.25">
      <c r="A1" s="247" t="s">
        <v>27</v>
      </c>
      <c r="B1" s="247" t="s">
        <v>26</v>
      </c>
      <c r="C1" s="247" t="s">
        <v>159</v>
      </c>
      <c r="D1" s="249"/>
    </row>
    <row r="2" spans="1:4" x14ac:dyDescent="0.25">
      <c r="A2" s="247">
        <f>'A7'!B2</f>
        <v>100</v>
      </c>
      <c r="B2" s="247" t="str">
        <f>'A14'!B9</f>
        <v>PVC</v>
      </c>
      <c r="C2" s="248" t="s">
        <v>160</v>
      </c>
    </row>
    <row r="3" spans="1:4" x14ac:dyDescent="0.25">
      <c r="A3" s="247">
        <f>'A7'!B3</f>
        <v>150</v>
      </c>
      <c r="B3" s="247" t="str">
        <f>'A14'!C9</f>
        <v>PVC</v>
      </c>
      <c r="C3" s="248" t="s">
        <v>162</v>
      </c>
    </row>
    <row r="4" spans="1:4" x14ac:dyDescent="0.25">
      <c r="A4" s="247">
        <f>'A7'!B4</f>
        <v>200</v>
      </c>
      <c r="B4" s="247" t="str">
        <f>'A14'!D9</f>
        <v>PVC</v>
      </c>
      <c r="C4" s="248" t="s">
        <v>161</v>
      </c>
    </row>
    <row r="5" spans="1:4" x14ac:dyDescent="0.25">
      <c r="A5" s="247">
        <f>'A7'!B5</f>
        <v>250</v>
      </c>
      <c r="B5" s="247" t="str">
        <f>'A14'!E9</f>
        <v>PVC</v>
      </c>
      <c r="C5" s="248" t="s">
        <v>160</v>
      </c>
    </row>
    <row r="6" spans="1:4" x14ac:dyDescent="0.25">
      <c r="A6" s="247">
        <f>'A7'!B6</f>
        <v>300</v>
      </c>
      <c r="B6" s="247" t="str">
        <f>'A14'!F9</f>
        <v>PVC</v>
      </c>
      <c r="C6" s="248" t="s">
        <v>163</v>
      </c>
    </row>
    <row r="7" spans="1:4" x14ac:dyDescent="0.25">
      <c r="A7" s="247">
        <f>'A7'!B7</f>
        <v>350</v>
      </c>
      <c r="B7" s="247" t="str">
        <f>'A14'!G9</f>
        <v>PEAD</v>
      </c>
      <c r="C7" s="248" t="s">
        <v>160</v>
      </c>
    </row>
    <row r="8" spans="1:4" x14ac:dyDescent="0.25">
      <c r="A8" s="247">
        <f>'A7'!B8</f>
        <v>400</v>
      </c>
      <c r="B8" s="247" t="str">
        <f>'A14'!H9</f>
        <v>PEAD</v>
      </c>
      <c r="C8" s="248" t="s">
        <v>160</v>
      </c>
    </row>
    <row r="9" spans="1:4" x14ac:dyDescent="0.25">
      <c r="A9" s="247">
        <f>'A7'!B9</f>
        <v>450</v>
      </c>
      <c r="B9" s="247" t="str">
        <f>'A14'!I9</f>
        <v>PEAD</v>
      </c>
      <c r="C9" s="248" t="s">
        <v>160</v>
      </c>
    </row>
    <row r="10" spans="1:4" x14ac:dyDescent="0.25">
      <c r="A10" s="247">
        <f>'A7'!B10</f>
        <v>500</v>
      </c>
      <c r="B10" s="247" t="str">
        <f>'A14'!J9</f>
        <v>PEAD</v>
      </c>
      <c r="C10" s="248" t="s">
        <v>160</v>
      </c>
    </row>
    <row r="11" spans="1:4" x14ac:dyDescent="0.25">
      <c r="A11" s="247">
        <f>'A7'!B11</f>
        <v>600</v>
      </c>
      <c r="B11" s="247" t="str">
        <f>'A14'!K9</f>
        <v>PEAD</v>
      </c>
      <c r="C11" s="248" t="s">
        <v>160</v>
      </c>
    </row>
    <row r="12" spans="1:4" x14ac:dyDescent="0.25">
      <c r="A12" s="247">
        <f>'A7'!B12</f>
        <v>700</v>
      </c>
      <c r="B12" s="247" t="str">
        <f>'A14'!L9</f>
        <v>PEAD</v>
      </c>
      <c r="C12" s="248" t="s">
        <v>160</v>
      </c>
    </row>
    <row r="13" spans="1:4" x14ac:dyDescent="0.25">
      <c r="A13" s="247">
        <f>'A7'!B13</f>
        <v>800</v>
      </c>
      <c r="B13" s="247" t="str">
        <f>'A14'!M9</f>
        <v>PEAD</v>
      </c>
      <c r="C13" s="248" t="s">
        <v>160</v>
      </c>
    </row>
    <row r="14" spans="1:4" x14ac:dyDescent="0.25">
      <c r="A14" s="247">
        <f>'A7'!B14</f>
        <v>900</v>
      </c>
      <c r="B14" s="247" t="str">
        <f>'A14'!N9</f>
        <v>PEAD</v>
      </c>
      <c r="C14" s="248" t="s">
        <v>160</v>
      </c>
    </row>
    <row r="15" spans="1:4" x14ac:dyDescent="0.25">
      <c r="A15" s="247">
        <f>'A7'!B15</f>
        <v>1000</v>
      </c>
      <c r="B15" s="247" t="str">
        <f>'A14'!O9</f>
        <v>PEAD</v>
      </c>
      <c r="C15" s="248" t="s">
        <v>160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114</vt:i4>
      </vt:variant>
    </vt:vector>
  </HeadingPairs>
  <TitlesOfParts>
    <vt:vector size="131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ImportQGIS!sample_89</vt:lpstr>
      <vt:lpstr>ImportQGIS!sample_9</vt:lpstr>
      <vt:lpstr>ImportQGIS!sample_90</vt:lpstr>
      <vt:lpstr>ImportQGIS!sample_91</vt:lpstr>
      <vt:lpstr>ImportQGIS!sample_92</vt:lpstr>
      <vt:lpstr>ImportQGIS!sample_93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2024-05-24T09:00:33Z</dcterms:modified>
</cp:coreProperties>
</file>